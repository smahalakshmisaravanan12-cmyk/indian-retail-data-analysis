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D:\maha mca\"/>
    </mc:Choice>
  </mc:AlternateContent>
  <xr:revisionPtr revIDLastSave="0" documentId="13_ncr:1_{B849B0BC-7540-4CA0-B24F-B0B4B8E63022}" xr6:coauthVersionLast="47" xr6:coauthVersionMax="47" xr10:uidLastSave="{00000000-0000-0000-0000-000000000000}"/>
  <bookViews>
    <workbookView xWindow="-108" yWindow="-108" windowWidth="23256" windowHeight="12456" tabRatio="716" xr2:uid="{00000000-000D-0000-FFFF-FFFF00000000}"/>
  </bookViews>
  <sheets>
    <sheet name="RAW_DATA" sheetId="12" r:id="rId1"/>
    <sheet name="Clean_Data" sheetId="1" r:id="rId2"/>
    <sheet name="Pivottable overview" sheetId="5" r:id="rId3"/>
    <sheet name="RFM" sheetId="7" r:id="rId4"/>
    <sheet name="Data_Analysis" sheetId="21" r:id="rId5"/>
    <sheet name="Dashboard" sheetId="22" r:id="rId6"/>
  </sheets>
  <externalReferences>
    <externalReference r:id="rId7"/>
  </externalReferences>
  <definedNames>
    <definedName name="_xlcn.WorksheetConnection_mahaproject.xlsxTable11" hidden="1">Table1[]</definedName>
    <definedName name="_xlcn.WorksheetConnection_pivottable_overviewA4E111" hidden="1">'[1]pivottable _overview'!$A$4:$E$11</definedName>
    <definedName name="_xlcn.WorksheetConnection_PivottableoverviewA3D101" hidden="1">'Pivottable overview'!$A$3:$D$10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ivottable overview!$A$3:$D$10"/>
          <x15:modelTable id="Range 1" name="Range 1" connection="WorksheetConnection_pivottable _overview!$A$4:$E$11"/>
          <x15:modelTable id="Table1" name="Table1" connection="WorksheetConnection_maha@project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Sales Date" columnId="Sales Date">
                <x16:calculatedTimeColumn columnName="Sales Date (Year)" columnId="Sales Date (Year)" contentType="years" isSelected="0"/>
                <x16:calculatedTimeColumn columnName="Sales Date (Quarter)" columnId="Sales Date (Quarter)" contentType="quarters" isSelected="0"/>
                <x16:calculatedTimeColumn columnName="Sales Date (Month Index)" columnId="Sales Date (Month Index)" contentType="monthsindex" isSelected="1"/>
                <x16:calculatedTimeColumn columnName="Sales Date (Month)" columnId="Sales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5" l="1"/>
  <c r="E5" i="5"/>
  <c r="E6" i="5"/>
  <c r="E7" i="5"/>
  <c r="E8" i="5"/>
  <c r="E9" i="5"/>
  <c r="E4" i="5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2" i="7"/>
  <c r="B4" i="7"/>
  <c r="B6" i="7"/>
  <c r="B8" i="7"/>
  <c r="B10" i="7"/>
  <c r="B12" i="7"/>
  <c r="B14" i="7"/>
  <c r="B16" i="7"/>
  <c r="B18" i="7"/>
  <c r="B20" i="7"/>
  <c r="B22" i="7"/>
  <c r="B24" i="7"/>
  <c r="B26" i="7"/>
  <c r="B28" i="7"/>
  <c r="B30" i="7"/>
  <c r="B32" i="7"/>
  <c r="B34" i="7"/>
  <c r="B36" i="7"/>
  <c r="B38" i="7"/>
  <c r="B40" i="7"/>
  <c r="B42" i="7"/>
  <c r="B44" i="7"/>
  <c r="B46" i="7"/>
  <c r="B48" i="7"/>
  <c r="B50" i="7"/>
  <c r="B52" i="7"/>
  <c r="B54" i="7"/>
  <c r="B56" i="7"/>
  <c r="B58" i="7"/>
  <c r="B60" i="7"/>
  <c r="B62" i="7"/>
  <c r="B64" i="7"/>
  <c r="B66" i="7"/>
  <c r="B68" i="7"/>
  <c r="B70" i="7"/>
  <c r="B72" i="7"/>
  <c r="B74" i="7"/>
  <c r="B76" i="7"/>
  <c r="B78" i="7"/>
  <c r="B80" i="7"/>
  <c r="B82" i="7"/>
  <c r="B84" i="7"/>
  <c r="B86" i="7"/>
  <c r="B88" i="7"/>
  <c r="B90" i="7"/>
  <c r="B92" i="7"/>
  <c r="B94" i="7"/>
  <c r="B96" i="7"/>
  <c r="B98" i="7"/>
  <c r="B100" i="7"/>
  <c r="B102" i="7"/>
  <c r="B104" i="7"/>
  <c r="B106" i="7"/>
  <c r="B108" i="7"/>
  <c r="B110" i="7"/>
  <c r="B112" i="7"/>
  <c r="B114" i="7"/>
  <c r="B116" i="7"/>
  <c r="B118" i="7"/>
  <c r="B120" i="7"/>
  <c r="B122" i="7"/>
  <c r="B124" i="7"/>
  <c r="B126" i="7"/>
  <c r="B128" i="7"/>
  <c r="B130" i="7"/>
  <c r="B132" i="7"/>
  <c r="B134" i="7"/>
  <c r="B136" i="7"/>
  <c r="B138" i="7"/>
  <c r="B140" i="7"/>
  <c r="B142" i="7"/>
  <c r="B144" i="7"/>
  <c r="B146" i="7"/>
  <c r="B148" i="7"/>
  <c r="B150" i="7"/>
  <c r="B3" i="7"/>
  <c r="B139" i="7"/>
  <c r="B2" i="7"/>
  <c r="B5" i="7"/>
  <c r="B7" i="7"/>
  <c r="B9" i="7"/>
  <c r="B11" i="7"/>
  <c r="B13" i="7"/>
  <c r="B15" i="7"/>
  <c r="B17" i="7"/>
  <c r="B19" i="7"/>
  <c r="B21" i="7"/>
  <c r="B23" i="7"/>
  <c r="B25" i="7"/>
  <c r="B27" i="7"/>
  <c r="B29" i="7"/>
  <c r="B31" i="7"/>
  <c r="B33" i="7"/>
  <c r="B35" i="7"/>
  <c r="B37" i="7"/>
  <c r="B39" i="7"/>
  <c r="B41" i="7"/>
  <c r="B43" i="7"/>
  <c r="B45" i="7"/>
  <c r="B47" i="7"/>
  <c r="B49" i="7"/>
  <c r="B51" i="7"/>
  <c r="B53" i="7"/>
  <c r="B55" i="7"/>
  <c r="B57" i="7"/>
  <c r="B59" i="7"/>
  <c r="B61" i="7"/>
  <c r="B63" i="7"/>
  <c r="B65" i="7"/>
  <c r="B67" i="7"/>
  <c r="B69" i="7"/>
  <c r="B71" i="7"/>
  <c r="B73" i="7"/>
  <c r="B75" i="7"/>
  <c r="B77" i="7"/>
  <c r="B79" i="7"/>
  <c r="B81" i="7"/>
  <c r="B83" i="7"/>
  <c r="B85" i="7"/>
  <c r="B87" i="7"/>
  <c r="B89" i="7"/>
  <c r="B91" i="7"/>
  <c r="B93" i="7"/>
  <c r="B95" i="7"/>
  <c r="B97" i="7"/>
  <c r="B99" i="7"/>
  <c r="B101" i="7"/>
  <c r="B103" i="7"/>
  <c r="B105" i="7"/>
  <c r="B107" i="7"/>
  <c r="B109" i="7"/>
  <c r="B111" i="7"/>
  <c r="B113" i="7"/>
  <c r="B115" i="7"/>
  <c r="B117" i="7"/>
  <c r="B119" i="7"/>
  <c r="B121" i="7"/>
  <c r="B123" i="7"/>
  <c r="B125" i="7"/>
  <c r="B127" i="7"/>
  <c r="B129" i="7"/>
  <c r="B131" i="7"/>
  <c r="B133" i="7"/>
  <c r="B135" i="7"/>
  <c r="B137" i="7"/>
  <c r="B141" i="7"/>
  <c r="B143" i="7"/>
  <c r="B145" i="7"/>
  <c r="B147" i="7"/>
  <c r="B149" i="7"/>
  <c r="B151" i="7"/>
  <c r="F2" i="7" l="1"/>
  <c r="G2" i="7"/>
  <c r="F150" i="7"/>
  <c r="F148" i="7"/>
  <c r="F146" i="7"/>
  <c r="F144" i="7"/>
  <c r="F142" i="7"/>
  <c r="F140" i="7"/>
  <c r="F138" i="7"/>
  <c r="F136" i="7"/>
  <c r="F134" i="7"/>
  <c r="F132" i="7"/>
  <c r="F130" i="7"/>
  <c r="F128" i="7"/>
  <c r="F126" i="7"/>
  <c r="F124" i="7"/>
  <c r="F122" i="7"/>
  <c r="F120" i="7"/>
  <c r="F118" i="7"/>
  <c r="F116" i="7"/>
  <c r="F114" i="7"/>
  <c r="F112" i="7"/>
  <c r="F110" i="7"/>
  <c r="F108" i="7"/>
  <c r="F106" i="7"/>
  <c r="F104" i="7"/>
  <c r="F102" i="7"/>
  <c r="F100" i="7"/>
  <c r="F98" i="7"/>
  <c r="F96" i="7"/>
  <c r="F94" i="7"/>
  <c r="F92" i="7"/>
  <c r="F90" i="7"/>
  <c r="F88" i="7"/>
  <c r="F86" i="7"/>
  <c r="F84" i="7"/>
  <c r="F82" i="7"/>
  <c r="F80" i="7"/>
  <c r="F78" i="7"/>
  <c r="F76" i="7"/>
  <c r="F74" i="7"/>
  <c r="F72" i="7"/>
  <c r="F70" i="7"/>
  <c r="F68" i="7"/>
  <c r="F66" i="7"/>
  <c r="F64" i="7"/>
  <c r="F62" i="7"/>
  <c r="F60" i="7"/>
  <c r="F58" i="7"/>
  <c r="F56" i="7"/>
  <c r="F54" i="7"/>
  <c r="F52" i="7"/>
  <c r="F50" i="7"/>
  <c r="F48" i="7"/>
  <c r="F46" i="7"/>
  <c r="F44" i="7"/>
  <c r="F42" i="7"/>
  <c r="F40" i="7"/>
  <c r="F38" i="7"/>
  <c r="F36" i="7"/>
  <c r="F34" i="7"/>
  <c r="F32" i="7"/>
  <c r="F30" i="7"/>
  <c r="F28" i="7"/>
  <c r="F26" i="7"/>
  <c r="F24" i="7"/>
  <c r="F22" i="7"/>
  <c r="F20" i="7"/>
  <c r="F18" i="7"/>
  <c r="F16" i="7"/>
  <c r="F14" i="7"/>
  <c r="F12" i="7"/>
  <c r="F10" i="7"/>
  <c r="F8" i="7"/>
  <c r="F6" i="7"/>
  <c r="F4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F151" i="7"/>
  <c r="F149" i="7"/>
  <c r="F147" i="7"/>
  <c r="F145" i="7"/>
  <c r="F143" i="7"/>
  <c r="F141" i="7"/>
  <c r="F139" i="7"/>
  <c r="F137" i="7"/>
  <c r="F135" i="7"/>
  <c r="F133" i="7"/>
  <c r="F131" i="7"/>
  <c r="F129" i="7"/>
  <c r="F127" i="7"/>
  <c r="F125" i="7"/>
  <c r="F123" i="7"/>
  <c r="F121" i="7"/>
  <c r="F119" i="7"/>
  <c r="F117" i="7"/>
  <c r="F115" i="7"/>
  <c r="F113" i="7"/>
  <c r="F111" i="7"/>
  <c r="F109" i="7"/>
  <c r="F107" i="7"/>
  <c r="F105" i="7"/>
  <c r="F103" i="7"/>
  <c r="F101" i="7"/>
  <c r="F99" i="7"/>
  <c r="F97" i="7"/>
  <c r="F95" i="7"/>
  <c r="F93" i="7"/>
  <c r="F91" i="7"/>
  <c r="F89" i="7"/>
  <c r="F87" i="7"/>
  <c r="F85" i="7"/>
  <c r="F83" i="7"/>
  <c r="F81" i="7"/>
  <c r="F79" i="7"/>
  <c r="F77" i="7"/>
  <c r="F75" i="7"/>
  <c r="F73" i="7"/>
  <c r="F71" i="7"/>
  <c r="F69" i="7"/>
  <c r="F67" i="7"/>
  <c r="F65" i="7"/>
  <c r="F63" i="7"/>
  <c r="F61" i="7"/>
  <c r="F59" i="7"/>
  <c r="F57" i="7"/>
  <c r="F55" i="7"/>
  <c r="F53" i="7"/>
  <c r="F51" i="7"/>
  <c r="F49" i="7"/>
  <c r="F47" i="7"/>
  <c r="F45" i="7"/>
  <c r="F43" i="7"/>
  <c r="F41" i="7"/>
  <c r="F39" i="7"/>
  <c r="F37" i="7"/>
  <c r="F35" i="7"/>
  <c r="F33" i="7"/>
  <c r="F31" i="7"/>
  <c r="F29" i="7"/>
  <c r="F27" i="7"/>
  <c r="F25" i="7"/>
  <c r="F23" i="7"/>
  <c r="F21" i="7"/>
  <c r="F19" i="7"/>
  <c r="F17" i="7"/>
  <c r="F15" i="7"/>
  <c r="F13" i="7"/>
  <c r="F11" i="7"/>
  <c r="F9" i="7"/>
  <c r="F7" i="7"/>
  <c r="F5" i="7"/>
  <c r="F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E130" i="7"/>
  <c r="H130" i="7" s="1"/>
  <c r="I130" i="7" s="1"/>
  <c r="E4" i="7"/>
  <c r="E5" i="7"/>
  <c r="E6" i="7"/>
  <c r="H6" i="7" s="1"/>
  <c r="I6" i="7" s="1"/>
  <c r="E7" i="7"/>
  <c r="E8" i="7"/>
  <c r="H8" i="7" s="1"/>
  <c r="I8" i="7" s="1"/>
  <c r="E9" i="7"/>
  <c r="H9" i="7" s="1"/>
  <c r="I9" i="7" s="1"/>
  <c r="E10" i="7"/>
  <c r="E11" i="7"/>
  <c r="E12" i="7"/>
  <c r="E13" i="7"/>
  <c r="H13" i="7" s="1"/>
  <c r="I13" i="7" s="1"/>
  <c r="E14" i="7"/>
  <c r="E15" i="7"/>
  <c r="E16" i="7"/>
  <c r="E17" i="7"/>
  <c r="H17" i="7" s="1"/>
  <c r="I17" i="7" s="1"/>
  <c r="E18" i="7"/>
  <c r="E19" i="7"/>
  <c r="E20" i="7"/>
  <c r="H20" i="7" s="1"/>
  <c r="I20" i="7" s="1"/>
  <c r="E21" i="7"/>
  <c r="E22" i="7"/>
  <c r="E23" i="7"/>
  <c r="E24" i="7"/>
  <c r="H24" i="7" s="1"/>
  <c r="I24" i="7" s="1"/>
  <c r="E25" i="7"/>
  <c r="E26" i="7"/>
  <c r="H26" i="7" s="1"/>
  <c r="I26" i="7" s="1"/>
  <c r="E27" i="7"/>
  <c r="E28" i="7"/>
  <c r="E29" i="7"/>
  <c r="E30" i="7"/>
  <c r="H30" i="7" s="1"/>
  <c r="I30" i="7" s="1"/>
  <c r="E31" i="7"/>
  <c r="E32" i="7"/>
  <c r="H32" i="7" s="1"/>
  <c r="I32" i="7" s="1"/>
  <c r="E33" i="7"/>
  <c r="H33" i="7" s="1"/>
  <c r="I33" i="7" s="1"/>
  <c r="E35" i="7"/>
  <c r="H35" i="7" s="1"/>
  <c r="I35" i="7" s="1"/>
  <c r="E40" i="7"/>
  <c r="E46" i="7"/>
  <c r="H46" i="7" s="1"/>
  <c r="I46" i="7" s="1"/>
  <c r="E52" i="7"/>
  <c r="H52" i="7" s="1"/>
  <c r="I52" i="7" s="1"/>
  <c r="E58" i="7"/>
  <c r="E64" i="7"/>
  <c r="H64" i="7" s="1"/>
  <c r="I64" i="7" s="1"/>
  <c r="E107" i="7"/>
  <c r="H107" i="7" s="1"/>
  <c r="I107" i="7" s="1"/>
  <c r="E115" i="7"/>
  <c r="E122" i="7"/>
  <c r="E129" i="7"/>
  <c r="E67" i="7"/>
  <c r="E68" i="7"/>
  <c r="H68" i="7" s="1"/>
  <c r="I68" i="7" s="1"/>
  <c r="E69" i="7"/>
  <c r="E70" i="7"/>
  <c r="E71" i="7"/>
  <c r="E72" i="7"/>
  <c r="H72" i="7" s="1"/>
  <c r="I72" i="7" s="1"/>
  <c r="E73" i="7"/>
  <c r="E74" i="7"/>
  <c r="H74" i="7" s="1"/>
  <c r="I74" i="7" s="1"/>
  <c r="E75" i="7"/>
  <c r="E76" i="7"/>
  <c r="E77" i="7"/>
  <c r="E78" i="7"/>
  <c r="H78" i="7" s="1"/>
  <c r="I78" i="7" s="1"/>
  <c r="E79" i="7"/>
  <c r="E80" i="7"/>
  <c r="H80" i="7" s="1"/>
  <c r="I80" i="7" s="1"/>
  <c r="E81" i="7"/>
  <c r="E82" i="7"/>
  <c r="E83" i="7"/>
  <c r="H83" i="7" s="1"/>
  <c r="I83" i="7" s="1"/>
  <c r="E84" i="7"/>
  <c r="E85" i="7"/>
  <c r="H85" i="7" s="1"/>
  <c r="I85" i="7" s="1"/>
  <c r="E86" i="7"/>
  <c r="H86" i="7" s="1"/>
  <c r="I86" i="7" s="1"/>
  <c r="E87" i="7"/>
  <c r="E88" i="7"/>
  <c r="E89" i="7"/>
  <c r="H89" i="7" s="1"/>
  <c r="I89" i="7" s="1"/>
  <c r="E90" i="7"/>
  <c r="E91" i="7"/>
  <c r="E92" i="7"/>
  <c r="H92" i="7" s="1"/>
  <c r="I92" i="7" s="1"/>
  <c r="E93" i="7"/>
  <c r="E94" i="7"/>
  <c r="E95" i="7"/>
  <c r="E96" i="7"/>
  <c r="H96" i="7" s="1"/>
  <c r="I96" i="7" s="1"/>
  <c r="E97" i="7"/>
  <c r="E98" i="7"/>
  <c r="H98" i="7" s="1"/>
  <c r="I98" i="7" s="1"/>
  <c r="E99" i="7"/>
  <c r="E100" i="7"/>
  <c r="E101" i="7"/>
  <c r="E102" i="7"/>
  <c r="H102" i="7" s="1"/>
  <c r="I102" i="7" s="1"/>
  <c r="E105" i="7"/>
  <c r="H105" i="7" s="1"/>
  <c r="I105" i="7" s="1"/>
  <c r="E112" i="7"/>
  <c r="E119" i="7"/>
  <c r="E126" i="7"/>
  <c r="H126" i="7" s="1"/>
  <c r="I126" i="7" s="1"/>
  <c r="E131" i="7"/>
  <c r="H131" i="7" s="1"/>
  <c r="I131" i="7" s="1"/>
  <c r="E132" i="7"/>
  <c r="E133" i="7"/>
  <c r="H133" i="7" s="1"/>
  <c r="I133" i="7" s="1"/>
  <c r="E134" i="7"/>
  <c r="H134" i="7" s="1"/>
  <c r="I134" i="7" s="1"/>
  <c r="E135" i="7"/>
  <c r="E136" i="7"/>
  <c r="E137" i="7"/>
  <c r="H137" i="7" s="1"/>
  <c r="I137" i="7" s="1"/>
  <c r="E138" i="7"/>
  <c r="E139" i="7"/>
  <c r="E140" i="7"/>
  <c r="H140" i="7" s="1"/>
  <c r="I140" i="7" s="1"/>
  <c r="E141" i="7"/>
  <c r="E142" i="7"/>
  <c r="E143" i="7"/>
  <c r="E144" i="7"/>
  <c r="E145" i="7"/>
  <c r="E146" i="7"/>
  <c r="H146" i="7" s="1"/>
  <c r="I146" i="7" s="1"/>
  <c r="E147" i="7"/>
  <c r="E148" i="7"/>
  <c r="E149" i="7"/>
  <c r="E150" i="7"/>
  <c r="H150" i="7" s="1"/>
  <c r="I150" i="7" s="1"/>
  <c r="E151" i="7"/>
  <c r="E3" i="7"/>
  <c r="E37" i="7"/>
  <c r="E43" i="7"/>
  <c r="E49" i="7"/>
  <c r="E55" i="7"/>
  <c r="E61" i="7"/>
  <c r="H61" i="7" s="1"/>
  <c r="I61" i="7" s="1"/>
  <c r="E103" i="7"/>
  <c r="H103" i="7" s="1"/>
  <c r="I103" i="7" s="1"/>
  <c r="E109" i="7"/>
  <c r="E116" i="7"/>
  <c r="E123" i="7"/>
  <c r="E36" i="7"/>
  <c r="E39" i="7"/>
  <c r="H39" i="7" s="1"/>
  <c r="I39" i="7" s="1"/>
  <c r="E42" i="7"/>
  <c r="E45" i="7"/>
  <c r="E48" i="7"/>
  <c r="H48" i="7" s="1"/>
  <c r="I48" i="7" s="1"/>
  <c r="E51" i="7"/>
  <c r="E54" i="7"/>
  <c r="H54" i="7" s="1"/>
  <c r="I54" i="7" s="1"/>
  <c r="E57" i="7"/>
  <c r="H57" i="7" s="1"/>
  <c r="I57" i="7" s="1"/>
  <c r="E60" i="7"/>
  <c r="H60" i="7" s="1"/>
  <c r="I60" i="7" s="1"/>
  <c r="E63" i="7"/>
  <c r="E66" i="7"/>
  <c r="E106" i="7"/>
  <c r="E110" i="7"/>
  <c r="E113" i="7"/>
  <c r="H113" i="7" s="1"/>
  <c r="I113" i="7" s="1"/>
  <c r="E117" i="7"/>
  <c r="E120" i="7"/>
  <c r="E125" i="7"/>
  <c r="E128" i="7"/>
  <c r="H128" i="7" s="1"/>
  <c r="I128" i="7" s="1"/>
  <c r="E34" i="7"/>
  <c r="E38" i="7"/>
  <c r="E41" i="7"/>
  <c r="H41" i="7" s="1"/>
  <c r="I41" i="7" s="1"/>
  <c r="E44" i="7"/>
  <c r="E47" i="7"/>
  <c r="E50" i="7"/>
  <c r="E53" i="7"/>
  <c r="E56" i="7"/>
  <c r="H56" i="7" s="1"/>
  <c r="I56" i="7" s="1"/>
  <c r="E59" i="7"/>
  <c r="E62" i="7"/>
  <c r="E65" i="7"/>
  <c r="H65" i="7" s="1"/>
  <c r="I65" i="7" s="1"/>
  <c r="E104" i="7"/>
  <c r="H104" i="7" s="1"/>
  <c r="I104" i="7" s="1"/>
  <c r="E108" i="7"/>
  <c r="H108" i="7" s="1"/>
  <c r="I108" i="7" s="1"/>
  <c r="E111" i="7"/>
  <c r="H111" i="7" s="1"/>
  <c r="I111" i="7" s="1"/>
  <c r="E114" i="7"/>
  <c r="H114" i="7" s="1"/>
  <c r="I114" i="7" s="1"/>
  <c r="E118" i="7"/>
  <c r="E121" i="7"/>
  <c r="E124" i="7"/>
  <c r="E127" i="7"/>
  <c r="E2" i="7"/>
  <c r="H145" i="7" l="1"/>
  <c r="I145" i="7" s="1"/>
  <c r="H49" i="7"/>
  <c r="I49" i="7" s="1"/>
  <c r="H143" i="7"/>
  <c r="I143" i="7" s="1"/>
  <c r="H95" i="7"/>
  <c r="I95" i="7" s="1"/>
  <c r="H125" i="7"/>
  <c r="I125" i="7" s="1"/>
  <c r="H70" i="7"/>
  <c r="I70" i="7" s="1"/>
  <c r="H38" i="7"/>
  <c r="I38" i="7" s="1"/>
  <c r="H73" i="7"/>
  <c r="I73" i="7" s="1"/>
  <c r="H34" i="7"/>
  <c r="I34" i="7" s="1"/>
  <c r="H144" i="7"/>
  <c r="I144" i="7" s="1"/>
  <c r="H84" i="7"/>
  <c r="I84" i="7" s="1"/>
  <c r="H51" i="7"/>
  <c r="I51" i="7" s="1"/>
  <c r="H71" i="7"/>
  <c r="I71" i="7" s="1"/>
  <c r="H12" i="7"/>
  <c r="I12" i="7" s="1"/>
  <c r="H142" i="7"/>
  <c r="I142" i="7" s="1"/>
  <c r="H94" i="7"/>
  <c r="I94" i="7" s="1"/>
  <c r="H82" i="7"/>
  <c r="I82" i="7" s="1"/>
  <c r="H40" i="7"/>
  <c r="I40" i="7" s="1"/>
  <c r="H62" i="7"/>
  <c r="I62" i="7" s="1"/>
  <c r="H120" i="7"/>
  <c r="I120" i="7" s="1"/>
  <c r="H45" i="7"/>
  <c r="I45" i="7" s="1"/>
  <c r="H37" i="7"/>
  <c r="I37" i="7" s="1"/>
  <c r="H141" i="7"/>
  <c r="I141" i="7" s="1"/>
  <c r="H119" i="7"/>
  <c r="I119" i="7" s="1"/>
  <c r="H93" i="7"/>
  <c r="I93" i="7" s="1"/>
  <c r="H81" i="7"/>
  <c r="I81" i="7" s="1"/>
  <c r="H69" i="7"/>
  <c r="I69" i="7" s="1"/>
  <c r="H22" i="7"/>
  <c r="I22" i="7" s="1"/>
  <c r="H10" i="7"/>
  <c r="I10" i="7" s="1"/>
  <c r="H127" i="7"/>
  <c r="I127" i="7" s="1"/>
  <c r="H53" i="7"/>
  <c r="I53" i="7" s="1"/>
  <c r="H110" i="7"/>
  <c r="I110" i="7" s="1"/>
  <c r="H36" i="7"/>
  <c r="I36" i="7" s="1"/>
  <c r="H138" i="7"/>
  <c r="I138" i="7" s="1"/>
  <c r="H90" i="7"/>
  <c r="I90" i="7" s="1"/>
  <c r="H129" i="7"/>
  <c r="I129" i="7" s="1"/>
  <c r="H14" i="7"/>
  <c r="I14" i="7" s="1"/>
  <c r="H42" i="7"/>
  <c r="I42" i="7" s="1"/>
  <c r="H112" i="7"/>
  <c r="I112" i="7" s="1"/>
  <c r="H67" i="7"/>
  <c r="I67" i="7" s="1"/>
  <c r="H124" i="7"/>
  <c r="I124" i="7" s="1"/>
  <c r="H50" i="7"/>
  <c r="I50" i="7" s="1"/>
  <c r="H106" i="7"/>
  <c r="I106" i="7" s="1"/>
  <c r="H123" i="7"/>
  <c r="I123" i="7" s="1"/>
  <c r="H149" i="7"/>
  <c r="I149" i="7" s="1"/>
  <c r="H101" i="7"/>
  <c r="I101" i="7" s="1"/>
  <c r="H77" i="7"/>
  <c r="I77" i="7" s="1"/>
  <c r="H122" i="7"/>
  <c r="I122" i="7" s="1"/>
  <c r="H18" i="7"/>
  <c r="I18" i="7" s="1"/>
  <c r="H97" i="7"/>
  <c r="I97" i="7" s="1"/>
  <c r="H132" i="7"/>
  <c r="I132" i="7" s="1"/>
  <c r="H25" i="7"/>
  <c r="I25" i="7" s="1"/>
  <c r="H21" i="7"/>
  <c r="I21" i="7" s="1"/>
  <c r="H2" i="7"/>
  <c r="I2" i="7" s="1"/>
  <c r="H139" i="7"/>
  <c r="I139" i="7" s="1"/>
  <c r="H91" i="7"/>
  <c r="I91" i="7" s="1"/>
  <c r="H121" i="7"/>
  <c r="I121" i="7" s="1"/>
  <c r="H66" i="7"/>
  <c r="I66" i="7" s="1"/>
  <c r="H116" i="7"/>
  <c r="I116" i="7" s="1"/>
  <c r="H148" i="7"/>
  <c r="I148" i="7" s="1"/>
  <c r="H136" i="7"/>
  <c r="I136" i="7" s="1"/>
  <c r="H100" i="7"/>
  <c r="I100" i="7" s="1"/>
  <c r="H88" i="7"/>
  <c r="I88" i="7" s="1"/>
  <c r="H76" i="7"/>
  <c r="I76" i="7" s="1"/>
  <c r="H115" i="7"/>
  <c r="I115" i="7" s="1"/>
  <c r="H29" i="7"/>
  <c r="I29" i="7" s="1"/>
  <c r="H5" i="7"/>
  <c r="I5" i="7" s="1"/>
  <c r="H58" i="7"/>
  <c r="I58" i="7" s="1"/>
  <c r="H117" i="7"/>
  <c r="I117" i="7" s="1"/>
  <c r="H151" i="7"/>
  <c r="I151" i="7" s="1"/>
  <c r="H79" i="7"/>
  <c r="I79" i="7" s="1"/>
  <c r="H118" i="7"/>
  <c r="I118" i="7" s="1"/>
  <c r="H44" i="7"/>
  <c r="I44" i="7" s="1"/>
  <c r="H63" i="7"/>
  <c r="I63" i="7" s="1"/>
  <c r="H109" i="7"/>
  <c r="I109" i="7" s="1"/>
  <c r="H147" i="7"/>
  <c r="I147" i="7" s="1"/>
  <c r="H135" i="7"/>
  <c r="I135" i="7" s="1"/>
  <c r="H99" i="7"/>
  <c r="I99" i="7" s="1"/>
  <c r="H87" i="7"/>
  <c r="I87" i="7" s="1"/>
  <c r="H75" i="7"/>
  <c r="I75" i="7" s="1"/>
  <c r="H28" i="7"/>
  <c r="I28" i="7" s="1"/>
  <c r="H16" i="7"/>
  <c r="I16" i="7" s="1"/>
  <c r="H4" i="7"/>
  <c r="I4" i="7" s="1"/>
  <c r="H59" i="7"/>
  <c r="I59" i="7" s="1"/>
  <c r="H47" i="7"/>
  <c r="I47" i="7" s="1"/>
  <c r="H55" i="7"/>
  <c r="I55" i="7" s="1"/>
  <c r="H43" i="7"/>
  <c r="I43" i="7" s="1"/>
  <c r="H3" i="7"/>
  <c r="I3" i="7" s="1"/>
  <c r="H31" i="7"/>
  <c r="I31" i="7" s="1"/>
  <c r="H27" i="7"/>
  <c r="I27" i="7" s="1"/>
  <c r="H23" i="7"/>
  <c r="I23" i="7" s="1"/>
  <c r="H19" i="7"/>
  <c r="I19" i="7" s="1"/>
  <c r="H15" i="7"/>
  <c r="I15" i="7" s="1"/>
  <c r="H11" i="7"/>
  <c r="I11" i="7" s="1"/>
  <c r="H7" i="7"/>
  <c r="I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maha@projec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ahaproject.xlsxTable11"/>
        </x15:connection>
      </ext>
    </extLst>
  </connection>
  <connection id="3" xr16:uid="{00000000-0015-0000-FFFF-FFFF02000000}" name="WorksheetConnection_pivottable _overview!$A$4:$E$1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ivottable_overviewA4E111"/>
        </x15:connection>
      </ext>
    </extLst>
  </connection>
  <connection id="4" xr16:uid="{00000000-0015-0000-FFFF-FFFF03000000}" name="WorksheetConnection_Pivottable overview!$A$3:$D$1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ivottableoverviewA3D101"/>
        </x15:connection>
      </ext>
    </extLst>
  </connection>
</connections>
</file>

<file path=xl/sharedStrings.xml><?xml version="1.0" encoding="utf-8"?>
<sst xmlns="http://schemas.openxmlformats.org/spreadsheetml/2006/main" count="18943" uniqueCount="1612">
  <si>
    <t>Customer ID</t>
  </si>
  <si>
    <t>Customer Name</t>
  </si>
  <si>
    <t>Last Name</t>
  </si>
  <si>
    <t>Date of Birth</t>
  </si>
  <si>
    <t>Sales</t>
  </si>
  <si>
    <t>Year</t>
  </si>
  <si>
    <t>Outlet Type</t>
  </si>
  <si>
    <t>City Type</t>
  </si>
  <si>
    <t>Category of Goods</t>
  </si>
  <si>
    <t>Region</t>
  </si>
  <si>
    <t>Country</t>
  </si>
  <si>
    <t>Segment</t>
  </si>
  <si>
    <t>Sales Date</t>
  </si>
  <si>
    <t>Order ID</t>
  </si>
  <si>
    <t>Order Date</t>
  </si>
  <si>
    <t>Ship Date</t>
  </si>
  <si>
    <t>Ship Mode</t>
  </si>
  <si>
    <t>State</t>
  </si>
  <si>
    <t>Postal Code</t>
  </si>
  <si>
    <t>Product ID</t>
  </si>
  <si>
    <t>Sub-Category</t>
  </si>
  <si>
    <t>Product Name</t>
  </si>
  <si>
    <t>Quantity</t>
  </si>
  <si>
    <t>Discount</t>
  </si>
  <si>
    <t>Profit</t>
  </si>
  <si>
    <t>CUST0001</t>
  </si>
  <si>
    <t>Mohammed</t>
  </si>
  <si>
    <t>Nair</t>
  </si>
  <si>
    <t>Medium</t>
  </si>
  <si>
    <t>Tier 2</t>
  </si>
  <si>
    <t>Snacks</t>
  </si>
  <si>
    <t>West</t>
  </si>
  <si>
    <t>India</t>
  </si>
  <si>
    <t>Consumer</t>
  </si>
  <si>
    <t>ORD00001</t>
  </si>
  <si>
    <t>Same Day</t>
  </si>
  <si>
    <t>Goa</t>
  </si>
  <si>
    <t>PROD0001</t>
  </si>
  <si>
    <t>Namkeen</t>
  </si>
  <si>
    <t>Namkeen - 202</t>
  </si>
  <si>
    <t>ORD00002</t>
  </si>
  <si>
    <t>Standard Class</t>
  </si>
  <si>
    <t>Namkeen - 814</t>
  </si>
  <si>
    <t>Bakery</t>
  </si>
  <si>
    <t>ORD00003</t>
  </si>
  <si>
    <t>PROD0002</t>
  </si>
  <si>
    <t>Bread</t>
  </si>
  <si>
    <t>Bread - 152</t>
  </si>
  <si>
    <t>Small</t>
  </si>
  <si>
    <t>Staples</t>
  </si>
  <si>
    <t>ORD00004</t>
  </si>
  <si>
    <t>PROD0003</t>
  </si>
  <si>
    <t>Pulses</t>
  </si>
  <si>
    <t>Pulses - 154</t>
  </si>
  <si>
    <t>ORD00005</t>
  </si>
  <si>
    <t>PROD0004</t>
  </si>
  <si>
    <t>Biscuits</t>
  </si>
  <si>
    <t>Biscuits - 331</t>
  </si>
  <si>
    <t>CUST0002</t>
  </si>
  <si>
    <t>Ishaan</t>
  </si>
  <si>
    <t>Venkatesh</t>
  </si>
  <si>
    <t>Dairy</t>
  </si>
  <si>
    <t>East</t>
  </si>
  <si>
    <t>Home Office</t>
  </si>
  <si>
    <t>ORD00006</t>
  </si>
  <si>
    <t>Jharkhand</t>
  </si>
  <si>
    <t>PROD0005</t>
  </si>
  <si>
    <t>Yogurt</t>
  </si>
  <si>
    <t>Yogurt - 277</t>
  </si>
  <si>
    <t>ORD00007</t>
  </si>
  <si>
    <t>PROD0006</t>
  </si>
  <si>
    <t>Cookies</t>
  </si>
  <si>
    <t>Cookies - 389</t>
  </si>
  <si>
    <t>ORD00008</t>
  </si>
  <si>
    <t>Second Class</t>
  </si>
  <si>
    <t>PROD0007</t>
  </si>
  <si>
    <t>Chips</t>
  </si>
  <si>
    <t>Chips - 763</t>
  </si>
  <si>
    <t>Fruits &amp; Vegetables</t>
  </si>
  <si>
    <t>ORD00009</t>
  </si>
  <si>
    <t>PROD0008</t>
  </si>
  <si>
    <t>Onions</t>
  </si>
  <si>
    <t>Onions - 805</t>
  </si>
  <si>
    <t>ORD00010</t>
  </si>
  <si>
    <t>PROD0009</t>
  </si>
  <si>
    <t>Wheat Flour</t>
  </si>
  <si>
    <t>Wheat Flour - 718</t>
  </si>
  <si>
    <t>Large</t>
  </si>
  <si>
    <t>ORD00011</t>
  </si>
  <si>
    <t>PROD0010</t>
  </si>
  <si>
    <t>Bananas</t>
  </si>
  <si>
    <t>Bananas - 581</t>
  </si>
  <si>
    <t>Beverages</t>
  </si>
  <si>
    <t>ORD00012</t>
  </si>
  <si>
    <t>PROD0011</t>
  </si>
  <si>
    <t>Juice</t>
  </si>
  <si>
    <t>Juice - 518</t>
  </si>
  <si>
    <t>ORD00013</t>
  </si>
  <si>
    <t>Wheat Flour - 933</t>
  </si>
  <si>
    <t>CUST0003</t>
  </si>
  <si>
    <t>Manoj</t>
  </si>
  <si>
    <t>Verma</t>
  </si>
  <si>
    <t>South</t>
  </si>
  <si>
    <t>ORD00014</t>
  </si>
  <si>
    <t>Kerala</t>
  </si>
  <si>
    <t>Namkeen - 740</t>
  </si>
  <si>
    <t>ORD00015</t>
  </si>
  <si>
    <t>Bananas - 826</t>
  </si>
  <si>
    <t>ORD00016</t>
  </si>
  <si>
    <t>PROD0012</t>
  </si>
  <si>
    <t>Rice</t>
  </si>
  <si>
    <t>Rice - 610</t>
  </si>
  <si>
    <t>ORD00017</t>
  </si>
  <si>
    <t>PROD0013</t>
  </si>
  <si>
    <t>Butter</t>
  </si>
  <si>
    <t>Butter - 295</t>
  </si>
  <si>
    <t>ORD00018</t>
  </si>
  <si>
    <t>PROD0014</t>
  </si>
  <si>
    <t>Tomatoes</t>
  </si>
  <si>
    <t>Tomatoes - 843</t>
  </si>
  <si>
    <t>ORD00019</t>
  </si>
  <si>
    <t>First Class</t>
  </si>
  <si>
    <t>Cookies - 881</t>
  </si>
  <si>
    <t>CUST0004</t>
  </si>
  <si>
    <t>Pooja</t>
  </si>
  <si>
    <t>Shetty</t>
  </si>
  <si>
    <t>ORD00020</t>
  </si>
  <si>
    <t>PROD0015</t>
  </si>
  <si>
    <t>Soft Drinks</t>
  </si>
  <si>
    <t>Soft Drinks - 779</t>
  </si>
  <si>
    <t>ORD00021</t>
  </si>
  <si>
    <t>Namkeen - 115</t>
  </si>
  <si>
    <t>ORD00022</t>
  </si>
  <si>
    <t>Wheat Flour - 765</t>
  </si>
  <si>
    <t>ORD00023</t>
  </si>
  <si>
    <t>PROD0016</t>
  </si>
  <si>
    <t>Apples</t>
  </si>
  <si>
    <t>Apples - 340</t>
  </si>
  <si>
    <t>ORD00024</t>
  </si>
  <si>
    <t>Bread - 147</t>
  </si>
  <si>
    <t>CUST0005</t>
  </si>
  <si>
    <t>Farhan</t>
  </si>
  <si>
    <t>Raghavan</t>
  </si>
  <si>
    <t>North</t>
  </si>
  <si>
    <t>Corporate</t>
  </si>
  <si>
    <t>ORD00025</t>
  </si>
  <si>
    <t>Uttarakhand</t>
  </si>
  <si>
    <t>PROD0017</t>
  </si>
  <si>
    <t>Coffee</t>
  </si>
  <si>
    <t>Coffee - 609</t>
  </si>
  <si>
    <t>ORD00026</t>
  </si>
  <si>
    <t>Juice - 793</t>
  </si>
  <si>
    <t>ORD00027</t>
  </si>
  <si>
    <t>PROD0018</t>
  </si>
  <si>
    <t>Buns</t>
  </si>
  <si>
    <t>Buns - 965</t>
  </si>
  <si>
    <t>ORD00028</t>
  </si>
  <si>
    <t>Cookies - 402</t>
  </si>
  <si>
    <t>ORD00029</t>
  </si>
  <si>
    <t>Bread - 721</t>
  </si>
  <si>
    <t>CUST0006</t>
  </si>
  <si>
    <t>Lakshmi</t>
  </si>
  <si>
    <t>Pillai</t>
  </si>
  <si>
    <t>Tier 1</t>
  </si>
  <si>
    <t>ORD00030</t>
  </si>
  <si>
    <t>Tamil Nadu</t>
  </si>
  <si>
    <t>Tomatoes - 434</t>
  </si>
  <si>
    <t>ORD00031</t>
  </si>
  <si>
    <t>Juice - 864</t>
  </si>
  <si>
    <t>ORD00032</t>
  </si>
  <si>
    <t>Namkeen - 192</t>
  </si>
  <si>
    <t>ORD00033</t>
  </si>
  <si>
    <t>Wheat Flour - 210</t>
  </si>
  <si>
    <t>ORD00034</t>
  </si>
  <si>
    <t>Onions - 817</t>
  </si>
  <si>
    <t>CUST0007</t>
  </si>
  <si>
    <t>Kumar</t>
  </si>
  <si>
    <t>ORD00035</t>
  </si>
  <si>
    <t>Telangana</t>
  </si>
  <si>
    <t>Soft Drinks - 479</t>
  </si>
  <si>
    <t>ORD00036</t>
  </si>
  <si>
    <t>Tomatoes - 322</t>
  </si>
  <si>
    <t>CUST0008</t>
  </si>
  <si>
    <t>Reyansh</t>
  </si>
  <si>
    <t>Iyer</t>
  </si>
  <si>
    <t>ORD00037</t>
  </si>
  <si>
    <t>Andhra Pradesh</t>
  </si>
  <si>
    <t>PROD0019</t>
  </si>
  <si>
    <t>Tea</t>
  </si>
  <si>
    <t>Tea - 778</t>
  </si>
  <si>
    <t>ORD00038</t>
  </si>
  <si>
    <t>Chips - 170</t>
  </si>
  <si>
    <t>ORD00039</t>
  </si>
  <si>
    <t>Yogurt - 653</t>
  </si>
  <si>
    <t>CUST0009</t>
  </si>
  <si>
    <t>Deepa</t>
  </si>
  <si>
    <t>ORD00040</t>
  </si>
  <si>
    <t>Karnataka</t>
  </si>
  <si>
    <t>Bananas - 859</t>
  </si>
  <si>
    <t>ORD00041</t>
  </si>
  <si>
    <t>Chips - 729</t>
  </si>
  <si>
    <t>ORD00042</t>
  </si>
  <si>
    <t>Soft Drinks - 536</t>
  </si>
  <si>
    <t>ORD00043</t>
  </si>
  <si>
    <t>PROD0020</t>
  </si>
  <si>
    <t>Paneer</t>
  </si>
  <si>
    <t>Paneer - 739</t>
  </si>
  <si>
    <t>ORD00044</t>
  </si>
  <si>
    <t>Namkeen - 201</t>
  </si>
  <si>
    <t>CUST0010</t>
  </si>
  <si>
    <t>Krishna</t>
  </si>
  <si>
    <t>Yadav</t>
  </si>
  <si>
    <t>ORD00045</t>
  </si>
  <si>
    <t>Rice - 420</t>
  </si>
  <si>
    <t>ORD00046</t>
  </si>
  <si>
    <t>Apples - 542</t>
  </si>
  <si>
    <t>ORD00047</t>
  </si>
  <si>
    <t>Onions - 462</t>
  </si>
  <si>
    <t>ORD00048</t>
  </si>
  <si>
    <t>Chips - 258</t>
  </si>
  <si>
    <t>ORD00049</t>
  </si>
  <si>
    <t>Butter - 965</t>
  </si>
  <si>
    <t>ORD00050</t>
  </si>
  <si>
    <t>Paneer - 819</t>
  </si>
  <si>
    <t>CUST0011</t>
  </si>
  <si>
    <t>Kavitha</t>
  </si>
  <si>
    <t>Mishra</t>
  </si>
  <si>
    <t>Central</t>
  </si>
  <si>
    <t>ORD00051</t>
  </si>
  <si>
    <t>Madhya Pradesh</t>
  </si>
  <si>
    <t>Bananas - 485</t>
  </si>
  <si>
    <t>ORD00052</t>
  </si>
  <si>
    <t>Chips - 790</t>
  </si>
  <si>
    <t>CUST0012</t>
  </si>
  <si>
    <t>Arjun</t>
  </si>
  <si>
    <t>ORD00053</t>
  </si>
  <si>
    <t>Rajasthan</t>
  </si>
  <si>
    <t>Pulses - 707</t>
  </si>
  <si>
    <t>ORD00054</t>
  </si>
  <si>
    <t>Bread - 885</t>
  </si>
  <si>
    <t>ORD00055</t>
  </si>
  <si>
    <t>Butter - 645</t>
  </si>
  <si>
    <t>ORD00056</t>
  </si>
  <si>
    <t>Onions - 179</t>
  </si>
  <si>
    <t>ORD00057</t>
  </si>
  <si>
    <t>Bread - 920</t>
  </si>
  <si>
    <t>CUST0013</t>
  </si>
  <si>
    <t>Kavya</t>
  </si>
  <si>
    <t>Pandey</t>
  </si>
  <si>
    <t>ORD00058</t>
  </si>
  <si>
    <t>Uttar Pradesh</t>
  </si>
  <si>
    <t>Cookies - 447</t>
  </si>
  <si>
    <t>ORD00059</t>
  </si>
  <si>
    <t>Rice - 341</t>
  </si>
  <si>
    <t>ORD00060</t>
  </si>
  <si>
    <t>Wheat Flour - 575</t>
  </si>
  <si>
    <t>ORD00061</t>
  </si>
  <si>
    <t>Bread - 550</t>
  </si>
  <si>
    <t>CUST0014</t>
  </si>
  <si>
    <t>Kulkarni</t>
  </si>
  <si>
    <t>ORD00062</t>
  </si>
  <si>
    <t>Maharashtra</t>
  </si>
  <si>
    <t>Bread - 760</t>
  </si>
  <si>
    <t>ORD00063</t>
  </si>
  <si>
    <t>Biscuits - 292</t>
  </si>
  <si>
    <t>ORD00064</t>
  </si>
  <si>
    <t>Bananas - 140</t>
  </si>
  <si>
    <t>ORD00065</t>
  </si>
  <si>
    <t>Soft Drinks - 893</t>
  </si>
  <si>
    <t>CUST0015</t>
  </si>
  <si>
    <t>Aadhya</t>
  </si>
  <si>
    <t>Subramaniam</t>
  </si>
  <si>
    <t>ORD00066</t>
  </si>
  <si>
    <t>Chips - 441</t>
  </si>
  <si>
    <t>ORD00067</t>
  </si>
  <si>
    <t>Namkeen - 758</t>
  </si>
  <si>
    <t>ORD00068</t>
  </si>
  <si>
    <t>Bread - 471</t>
  </si>
  <si>
    <t>ORD00069</t>
  </si>
  <si>
    <t>Tomatoes - 964</t>
  </si>
  <si>
    <t>ORD00070</t>
  </si>
  <si>
    <t>Chips - 711</t>
  </si>
  <si>
    <t>CUST0016</t>
  </si>
  <si>
    <t>Naveen</t>
  </si>
  <si>
    <t>Menon</t>
  </si>
  <si>
    <t>ORD00071</t>
  </si>
  <si>
    <t>West Bengal</t>
  </si>
  <si>
    <t>Juice - 870</t>
  </si>
  <si>
    <t>ORD00072</t>
  </si>
  <si>
    <t>Buns - 614</t>
  </si>
  <si>
    <t>ORD00073</t>
  </si>
  <si>
    <t>Juice - 667</t>
  </si>
  <si>
    <t>CUST0017</t>
  </si>
  <si>
    <t>ORD00074</t>
  </si>
  <si>
    <t>Bread - 524</t>
  </si>
  <si>
    <t>ORD00075</t>
  </si>
  <si>
    <t>Tomatoes - 910</t>
  </si>
  <si>
    <t>ORD00076</t>
  </si>
  <si>
    <t>Chips - 181</t>
  </si>
  <si>
    <t>ORD00077</t>
  </si>
  <si>
    <t>Bread - 408</t>
  </si>
  <si>
    <t>ORD00078</t>
  </si>
  <si>
    <t>Tea - 747</t>
  </si>
  <si>
    <t>ORD00079</t>
  </si>
  <si>
    <t>Namkeen - 291</t>
  </si>
  <si>
    <t>ORD00080</t>
  </si>
  <si>
    <t>Tea - 750</t>
  </si>
  <si>
    <t>CUST0018</t>
  </si>
  <si>
    <t>ORD00081</t>
  </si>
  <si>
    <t>Punjab</t>
  </si>
  <si>
    <t>Bread - 145</t>
  </si>
  <si>
    <t>ORD00082</t>
  </si>
  <si>
    <t>PROD0021</t>
  </si>
  <si>
    <t>Milk</t>
  </si>
  <si>
    <t>Milk - 833</t>
  </si>
  <si>
    <t>ORD00083</t>
  </si>
  <si>
    <t>Soft Drinks - 359</t>
  </si>
  <si>
    <t>ORD00084</t>
  </si>
  <si>
    <t>Buns - 509</t>
  </si>
  <si>
    <t>ORD00085</t>
  </si>
  <si>
    <t>Namkeen - 920</t>
  </si>
  <si>
    <t>CUST0019</t>
  </si>
  <si>
    <t>Gupta</t>
  </si>
  <si>
    <t>ORD00086</t>
  </si>
  <si>
    <t>Buns - 556</t>
  </si>
  <si>
    <t>CUST0020</t>
  </si>
  <si>
    <t>Neha</t>
  </si>
  <si>
    <t>Das</t>
  </si>
  <si>
    <t>ORD00087</t>
  </si>
  <si>
    <t>Cookies - 920</t>
  </si>
  <si>
    <t>ORD00088</t>
  </si>
  <si>
    <t>Wheat Flour - 470</t>
  </si>
  <si>
    <t>ORD00089</t>
  </si>
  <si>
    <t>Bananas - 642</t>
  </si>
  <si>
    <t>ORD00090</t>
  </si>
  <si>
    <t>Namkeen - 675</t>
  </si>
  <si>
    <t>ORD00091</t>
  </si>
  <si>
    <t>Bananas - 973</t>
  </si>
  <si>
    <t>ORD00092</t>
  </si>
  <si>
    <t>Tomatoes - 407</t>
  </si>
  <si>
    <t>ORD00093</t>
  </si>
  <si>
    <t>Yogurt - 909</t>
  </si>
  <si>
    <t>ORD00094</t>
  </si>
  <si>
    <t>Buns - 834</t>
  </si>
  <si>
    <t>CUST0021</t>
  </si>
  <si>
    <t>ORD00095</t>
  </si>
  <si>
    <t>Pulses - 452</t>
  </si>
  <si>
    <t>CUST0022</t>
  </si>
  <si>
    <t>Chatterjee</t>
  </si>
  <si>
    <t>ORD00096</t>
  </si>
  <si>
    <t>Paneer - 826</t>
  </si>
  <si>
    <t>ORD00097</t>
  </si>
  <si>
    <t>Wheat Flour - 729</t>
  </si>
  <si>
    <t>ORD00098</t>
  </si>
  <si>
    <t>Chips - 945</t>
  </si>
  <si>
    <t>ORD00099</t>
  </si>
  <si>
    <t>Rice - 609</t>
  </si>
  <si>
    <t>ORD00100</t>
  </si>
  <si>
    <t>Bananas - 550</t>
  </si>
  <si>
    <t>ORD00101</t>
  </si>
  <si>
    <t>Buns - 233</t>
  </si>
  <si>
    <t>ORD00102</t>
  </si>
  <si>
    <t>Milk - 151</t>
  </si>
  <si>
    <t>CUST0023</t>
  </si>
  <si>
    <t>Naidu</t>
  </si>
  <si>
    <t>ORD00103</t>
  </si>
  <si>
    <t>Buns - 123</t>
  </si>
  <si>
    <t>ORD00104</t>
  </si>
  <si>
    <t>Tomatoes - 606</t>
  </si>
  <si>
    <t>ORD00105</t>
  </si>
  <si>
    <t>Cookies - 474</t>
  </si>
  <si>
    <t>ORD00106</t>
  </si>
  <si>
    <t>Soft Drinks - 882</t>
  </si>
  <si>
    <t>ORD00107</t>
  </si>
  <si>
    <t>CUST0024</t>
  </si>
  <si>
    <t>Rohan</t>
  </si>
  <si>
    <t>Krishnan</t>
  </si>
  <si>
    <t>ORD00108</t>
  </si>
  <si>
    <t>Yogurt - 435</t>
  </si>
  <si>
    <t>ORD00109</t>
  </si>
  <si>
    <t>Namkeen - 586</t>
  </si>
  <si>
    <t>ORD00110</t>
  </si>
  <si>
    <t>Juice - 771</t>
  </si>
  <si>
    <t>CUST0025</t>
  </si>
  <si>
    <t>Karthik</t>
  </si>
  <si>
    <t>ORD00111</t>
  </si>
  <si>
    <t>Bihar</t>
  </si>
  <si>
    <t>Onions - 421</t>
  </si>
  <si>
    <t>ORD00112</t>
  </si>
  <si>
    <t>Yogurt - 674</t>
  </si>
  <si>
    <t>ORD00113</t>
  </si>
  <si>
    <t>Cookies - 890</t>
  </si>
  <si>
    <t>ORD00114</t>
  </si>
  <si>
    <t>Cookies - 312</t>
  </si>
  <si>
    <t>ORD00115</t>
  </si>
  <si>
    <t>Bread - 397</t>
  </si>
  <si>
    <t>ORD00116</t>
  </si>
  <si>
    <t>Paneer - 675</t>
  </si>
  <si>
    <t>CUST0026</t>
  </si>
  <si>
    <t>Aarav</t>
  </si>
  <si>
    <t>ORD00117</t>
  </si>
  <si>
    <t>Cookies - 583</t>
  </si>
  <si>
    <t>ORD00118</t>
  </si>
  <si>
    <t>Rice - 874</t>
  </si>
  <si>
    <t>CUST0027</t>
  </si>
  <si>
    <t>Amit</t>
  </si>
  <si>
    <t>ORD00119</t>
  </si>
  <si>
    <t>Soft Drinks - 290</t>
  </si>
  <si>
    <t>ORD00120</t>
  </si>
  <si>
    <t>Pulses - 636</t>
  </si>
  <si>
    <t>ORD00121</t>
  </si>
  <si>
    <t>Butter - 763</t>
  </si>
  <si>
    <t>CUST0028</t>
  </si>
  <si>
    <t>ORD00122</t>
  </si>
  <si>
    <t>Rice - 289</t>
  </si>
  <si>
    <t>ORD00123</t>
  </si>
  <si>
    <t>Cookies - 840</t>
  </si>
  <si>
    <t>ORD00124</t>
  </si>
  <si>
    <t>Bread - 515</t>
  </si>
  <si>
    <t>CUST0029</t>
  </si>
  <si>
    <t>ORD00125</t>
  </si>
  <si>
    <t>Delhi</t>
  </si>
  <si>
    <t>Pulses - 582</t>
  </si>
  <si>
    <t>ORD00126</t>
  </si>
  <si>
    <t>Juice - 179</t>
  </si>
  <si>
    <t>ORD00127</t>
  </si>
  <si>
    <t>Cookies - 552</t>
  </si>
  <si>
    <t>ORD00128</t>
  </si>
  <si>
    <t>Namkeen - 567</t>
  </si>
  <si>
    <t>ORD00129</t>
  </si>
  <si>
    <t>Bananas - 692</t>
  </si>
  <si>
    <t>ORD00130</t>
  </si>
  <si>
    <t>Buns - 284</t>
  </si>
  <si>
    <t>ORD00131</t>
  </si>
  <si>
    <t>Tea - 799</t>
  </si>
  <si>
    <t>CUST0030</t>
  </si>
  <si>
    <t>Ramesh</t>
  </si>
  <si>
    <t>Joshi</t>
  </si>
  <si>
    <t>ORD00132</t>
  </si>
  <si>
    <t>Namkeen - 644</t>
  </si>
  <si>
    <t>ORD00133</t>
  </si>
  <si>
    <t>ORD00134</t>
  </si>
  <si>
    <t>Rice - 511</t>
  </si>
  <si>
    <t>ORD00135</t>
  </si>
  <si>
    <t>Pulses - 426</t>
  </si>
  <si>
    <t>ORD00136</t>
  </si>
  <si>
    <t>Buns - 162</t>
  </si>
  <si>
    <t>ORD00137</t>
  </si>
  <si>
    <t>Pulses - 490</t>
  </si>
  <si>
    <t>ORD00138</t>
  </si>
  <si>
    <t>Paneer - 978</t>
  </si>
  <si>
    <t>ORD00139</t>
  </si>
  <si>
    <t>Paneer - 308</t>
  </si>
  <si>
    <t>CUST0031</t>
  </si>
  <si>
    <t>Rahul</t>
  </si>
  <si>
    <t>Bose</t>
  </si>
  <si>
    <t>ORD00140</t>
  </si>
  <si>
    <t>Biscuits - 787</t>
  </si>
  <si>
    <t>ORD00141</t>
  </si>
  <si>
    <t>Rice - 864</t>
  </si>
  <si>
    <t>ORD00142</t>
  </si>
  <si>
    <t>Buns - 577</t>
  </si>
  <si>
    <t>ORD00143</t>
  </si>
  <si>
    <t>Wheat Flour - 879</t>
  </si>
  <si>
    <t>ORD00144</t>
  </si>
  <si>
    <t>Cookies - 698</t>
  </si>
  <si>
    <t>CUST0032</t>
  </si>
  <si>
    <t>Myra</t>
  </si>
  <si>
    <t>ORD00145</t>
  </si>
  <si>
    <t>Soft Drinks - 571</t>
  </si>
  <si>
    <t>ORD00146</t>
  </si>
  <si>
    <t>Apples - 937</t>
  </si>
  <si>
    <t>ORD00147</t>
  </si>
  <si>
    <t>Butter - 482</t>
  </si>
  <si>
    <t>ORD00148</t>
  </si>
  <si>
    <t>Namkeen - 112</t>
  </si>
  <si>
    <t>CUST0033</t>
  </si>
  <si>
    <t>ORD00149</t>
  </si>
  <si>
    <t>Biscuits - 358</t>
  </si>
  <si>
    <t>ORD00150</t>
  </si>
  <si>
    <t>Paneer - 800</t>
  </si>
  <si>
    <t>ORD00151</t>
  </si>
  <si>
    <t>Namkeen - 157</t>
  </si>
  <si>
    <t>ORD00152</t>
  </si>
  <si>
    <t>Bananas - 316</t>
  </si>
  <si>
    <t>ORD00153</t>
  </si>
  <si>
    <t>Yogurt - 870</t>
  </si>
  <si>
    <t>ORD00154</t>
  </si>
  <si>
    <t>Rice - 909</t>
  </si>
  <si>
    <t>ORD00155</t>
  </si>
  <si>
    <t>Biscuits - 506</t>
  </si>
  <si>
    <t>CUST0034</t>
  </si>
  <si>
    <t>Imran</t>
  </si>
  <si>
    <t>ORD00156</t>
  </si>
  <si>
    <t>Namkeen - 917</t>
  </si>
  <si>
    <t>ORD00157</t>
  </si>
  <si>
    <t>Bread - 193</t>
  </si>
  <si>
    <t>ORD00158</t>
  </si>
  <si>
    <t>Soft Drinks - 670</t>
  </si>
  <si>
    <t>ORD00159</t>
  </si>
  <si>
    <t>Tomatoes - 523</t>
  </si>
  <si>
    <t>ORD00160</t>
  </si>
  <si>
    <t>Coffee - 242</t>
  </si>
  <si>
    <t>ORD00161</t>
  </si>
  <si>
    <t>Tea - 469</t>
  </si>
  <si>
    <t>ORD00162</t>
  </si>
  <si>
    <t>Paneer - 106</t>
  </si>
  <si>
    <t>CUST0035</t>
  </si>
  <si>
    <t>ORD00163</t>
  </si>
  <si>
    <t>Rice - 590</t>
  </si>
  <si>
    <t>ORD00164</t>
  </si>
  <si>
    <t>Juice - 936</t>
  </si>
  <si>
    <t>ORD00165</t>
  </si>
  <si>
    <t>Coffee - 548</t>
  </si>
  <si>
    <t>ORD00166</t>
  </si>
  <si>
    <t>Cookies - 257</t>
  </si>
  <si>
    <t>ORD00167</t>
  </si>
  <si>
    <t>Biscuits - 528</t>
  </si>
  <si>
    <t>ORD00168</t>
  </si>
  <si>
    <t>Paneer - 270</t>
  </si>
  <si>
    <t>CUST0036</t>
  </si>
  <si>
    <t>Riya</t>
  </si>
  <si>
    <t>ORD00169</t>
  </si>
  <si>
    <t>Haryana</t>
  </si>
  <si>
    <t>Biscuits - 631</t>
  </si>
  <si>
    <t>CUST0037</t>
  </si>
  <si>
    <t>Deepak</t>
  </si>
  <si>
    <t>ORD00170</t>
  </si>
  <si>
    <t>Paneer - 419</t>
  </si>
  <si>
    <t>ORD00171</t>
  </si>
  <si>
    <t>Wheat Flour - 426</t>
  </si>
  <si>
    <t>ORD00172</t>
  </si>
  <si>
    <t>Yogurt - 628</t>
  </si>
  <si>
    <t>ORD00173</t>
  </si>
  <si>
    <t>Pulses - 542</t>
  </si>
  <si>
    <t>ORD00174</t>
  </si>
  <si>
    <t>Rice - 310</t>
  </si>
  <si>
    <t>ORD00175</t>
  </si>
  <si>
    <t>Bread - 568</t>
  </si>
  <si>
    <t>ORD00176</t>
  </si>
  <si>
    <t>Tomatoes - 460</t>
  </si>
  <si>
    <t>ORD00177</t>
  </si>
  <si>
    <t>Bananas - 412</t>
  </si>
  <si>
    <t>CUST0038</t>
  </si>
  <si>
    <t>Vivaan</t>
  </si>
  <si>
    <t>Bhat</t>
  </si>
  <si>
    <t>ORD00178</t>
  </si>
  <si>
    <t>Biscuits - 760</t>
  </si>
  <si>
    <t>ORD00179</t>
  </si>
  <si>
    <t>Onions - 239</t>
  </si>
  <si>
    <t>ORD00180</t>
  </si>
  <si>
    <t>Wheat Flour - 600</t>
  </si>
  <si>
    <t>CUST0039</t>
  </si>
  <si>
    <t>ORD00181</t>
  </si>
  <si>
    <t>Wheat Flour - 662</t>
  </si>
  <si>
    <t>ORD00182</t>
  </si>
  <si>
    <t>Wheat Flour - 659</t>
  </si>
  <si>
    <t>ORD00183</t>
  </si>
  <si>
    <t>Bread - 549</t>
  </si>
  <si>
    <t>ORD00184</t>
  </si>
  <si>
    <t>Chips - 903</t>
  </si>
  <si>
    <t>CUST0040</t>
  </si>
  <si>
    <t>Aditya</t>
  </si>
  <si>
    <t>ORD00185</t>
  </si>
  <si>
    <t>Bananas - 868</t>
  </si>
  <si>
    <t>ORD00186</t>
  </si>
  <si>
    <t>Wheat Flour - 948</t>
  </si>
  <si>
    <t>ORD00187</t>
  </si>
  <si>
    <t>Soft Drinks - 562</t>
  </si>
  <si>
    <t>ORD00188</t>
  </si>
  <si>
    <t>Juice - 695</t>
  </si>
  <si>
    <t>ORD00189</t>
  </si>
  <si>
    <t>Coffee - 606</t>
  </si>
  <si>
    <t>ORD00190</t>
  </si>
  <si>
    <t>Cookies - 880</t>
  </si>
  <si>
    <t>ORD00191</t>
  </si>
  <si>
    <t>Tea - 538</t>
  </si>
  <si>
    <t>ORD00192</t>
  </si>
  <si>
    <t>Buns - 184</t>
  </si>
  <si>
    <t>CUST0041</t>
  </si>
  <si>
    <t>ORD00193</t>
  </si>
  <si>
    <t>Bananas - 707</t>
  </si>
  <si>
    <t>ORD00194</t>
  </si>
  <si>
    <t>Bananas - 492</t>
  </si>
  <si>
    <t>ORD00195</t>
  </si>
  <si>
    <t>Yogurt - 170</t>
  </si>
  <si>
    <t>ORD00196</t>
  </si>
  <si>
    <t>Rice - 521</t>
  </si>
  <si>
    <t>ORD00197</t>
  </si>
  <si>
    <t>Juice - 910</t>
  </si>
  <si>
    <t>CUST0042</t>
  </si>
  <si>
    <t>Swathi</t>
  </si>
  <si>
    <t>ORD00198</t>
  </si>
  <si>
    <t>Biscuits - 621</t>
  </si>
  <si>
    <t>ORD00199</t>
  </si>
  <si>
    <t>Tea - 640</t>
  </si>
  <si>
    <t>ORD00200</t>
  </si>
  <si>
    <t>Tea - 117</t>
  </si>
  <si>
    <t>ORD00201</t>
  </si>
  <si>
    <t>Pulses - 885</t>
  </si>
  <si>
    <t>ORD00202</t>
  </si>
  <si>
    <t>Tomatoes - 180</t>
  </si>
  <si>
    <t>ORD00203</t>
  </si>
  <si>
    <t>Wheat Flour - 847</t>
  </si>
  <si>
    <t>ORD00204</t>
  </si>
  <si>
    <t>Pulses - 773</t>
  </si>
  <si>
    <t>CUST0043</t>
  </si>
  <si>
    <t>Saanvi</t>
  </si>
  <si>
    <t>ORD00205</t>
  </si>
  <si>
    <t>Bread - 867</t>
  </si>
  <si>
    <t>ORD00206</t>
  </si>
  <si>
    <t>Tomatoes - 829</t>
  </si>
  <si>
    <t>ORD00207</t>
  </si>
  <si>
    <t>Paneer - 891</t>
  </si>
  <si>
    <t>ORD00208</t>
  </si>
  <si>
    <t>Bananas - 147</t>
  </si>
  <si>
    <t>CUST0044</t>
  </si>
  <si>
    <t>Sandeep</t>
  </si>
  <si>
    <t>Mukherjee</t>
  </si>
  <si>
    <t>ORD00209</t>
  </si>
  <si>
    <t>Tomatoes - 222</t>
  </si>
  <si>
    <t>ORD00210</t>
  </si>
  <si>
    <t>Buns - 435</t>
  </si>
  <si>
    <t>ORD00211</t>
  </si>
  <si>
    <t>Cookies - 605</t>
  </si>
  <si>
    <t>CUST0045</t>
  </si>
  <si>
    <t>Vijay</t>
  </si>
  <si>
    <t>ORD00212</t>
  </si>
  <si>
    <t>Rice - 443</t>
  </si>
  <si>
    <t>ORD00213</t>
  </si>
  <si>
    <t>Tea - 245</t>
  </si>
  <si>
    <t>CUST0046</t>
  </si>
  <si>
    <t>Chowdhury</t>
  </si>
  <si>
    <t>ORD00214</t>
  </si>
  <si>
    <t>Apples - 545</t>
  </si>
  <si>
    <t>ORD00215</t>
  </si>
  <si>
    <t>Milk - 307</t>
  </si>
  <si>
    <t>ORD00216</t>
  </si>
  <si>
    <t>Tea - 648</t>
  </si>
  <si>
    <t>ORD00217</t>
  </si>
  <si>
    <t>Wheat Flour - 946</t>
  </si>
  <si>
    <t>ORD00218</t>
  </si>
  <si>
    <t>Tea - 793</t>
  </si>
  <si>
    <t>ORD00219</t>
  </si>
  <si>
    <t>Tea - 923</t>
  </si>
  <si>
    <t>ORD00220</t>
  </si>
  <si>
    <t>Pulses - 760</t>
  </si>
  <si>
    <t>ORD00221</t>
  </si>
  <si>
    <t>Coffee - 194</t>
  </si>
  <si>
    <t>CUST0047</t>
  </si>
  <si>
    <t>Anika</t>
  </si>
  <si>
    <t>ORD00222</t>
  </si>
  <si>
    <t>Coffee - 462</t>
  </si>
  <si>
    <t>CUST0048</t>
  </si>
  <si>
    <t>ORD00223</t>
  </si>
  <si>
    <t>Tea - 189</t>
  </si>
  <si>
    <t>ORD00224</t>
  </si>
  <si>
    <t>Wheat Flour - 591</t>
  </si>
  <si>
    <t>ORD00225</t>
  </si>
  <si>
    <t>Tomatoes - 711</t>
  </si>
  <si>
    <t>CUST0049</t>
  </si>
  <si>
    <t>Ganesh</t>
  </si>
  <si>
    <t>ORD00226</t>
  </si>
  <si>
    <t>Rice - 372</t>
  </si>
  <si>
    <t>ORD00227</t>
  </si>
  <si>
    <t>Yogurt - 342</t>
  </si>
  <si>
    <t>ORD00228</t>
  </si>
  <si>
    <t>Chips - 676</t>
  </si>
  <si>
    <t>ORD00229</t>
  </si>
  <si>
    <t>Apples - 157</t>
  </si>
  <si>
    <t>CUST0050</t>
  </si>
  <si>
    <t>Priya</t>
  </si>
  <si>
    <t>ORD00230</t>
  </si>
  <si>
    <t>Bread - 122</t>
  </si>
  <si>
    <t>ORD00231</t>
  </si>
  <si>
    <t>Wheat Flour - 700</t>
  </si>
  <si>
    <t>CUST0051</t>
  </si>
  <si>
    <t>ORD00232</t>
  </si>
  <si>
    <t>Namkeen - 328</t>
  </si>
  <si>
    <t>ORD00233</t>
  </si>
  <si>
    <t>Namkeen - 971</t>
  </si>
  <si>
    <t>ORD00234</t>
  </si>
  <si>
    <t>Paneer - 863</t>
  </si>
  <si>
    <t>CUST0052</t>
  </si>
  <si>
    <t>Ayesha</t>
  </si>
  <si>
    <t>ORD00235</t>
  </si>
  <si>
    <t>Buns - 905</t>
  </si>
  <si>
    <t>ORD00236</t>
  </si>
  <si>
    <t>Cookies - 484</t>
  </si>
  <si>
    <t>CUST0053</t>
  </si>
  <si>
    <t>Patel</t>
  </si>
  <si>
    <t>ORD00237</t>
  </si>
  <si>
    <t>Bread - 484</t>
  </si>
  <si>
    <t>ORD00238</t>
  </si>
  <si>
    <t>Onions - 769</t>
  </si>
  <si>
    <t>ORD00239</t>
  </si>
  <si>
    <t>Pulses - 839</t>
  </si>
  <si>
    <t>ORD00240</t>
  </si>
  <si>
    <t>Tomatoes - 103</t>
  </si>
  <si>
    <t>ORD00241</t>
  </si>
  <si>
    <t>Yogurt - 753</t>
  </si>
  <si>
    <t>ORD00242</t>
  </si>
  <si>
    <t>Bread - 757</t>
  </si>
  <si>
    <t>CUST0054</t>
  </si>
  <si>
    <t>ORD00243</t>
  </si>
  <si>
    <t>Cookies - 163</t>
  </si>
  <si>
    <t>ORD00244</t>
  </si>
  <si>
    <t>Onions - 938</t>
  </si>
  <si>
    <t>ORD00245</t>
  </si>
  <si>
    <t>Onions - 974</t>
  </si>
  <si>
    <t>CUST0055</t>
  </si>
  <si>
    <t>Sneha</t>
  </si>
  <si>
    <t>Rao</t>
  </si>
  <si>
    <t>ORD00246</t>
  </si>
  <si>
    <t>Onions - 306</t>
  </si>
  <si>
    <t>ORD00247</t>
  </si>
  <si>
    <t>Buns - 632</t>
  </si>
  <si>
    <t>ORD00248</t>
  </si>
  <si>
    <t>Coffee - 251</t>
  </si>
  <si>
    <t>ORD00249</t>
  </si>
  <si>
    <t>Cookies - 452</t>
  </si>
  <si>
    <t>ORD00250</t>
  </si>
  <si>
    <t>Coffee - 733</t>
  </si>
  <si>
    <t>ORD00251</t>
  </si>
  <si>
    <t>Bread - 445</t>
  </si>
  <si>
    <t>ORD00252</t>
  </si>
  <si>
    <t>Juice - 375</t>
  </si>
  <si>
    <t>CUST0056</t>
  </si>
  <si>
    <t>ORD00253</t>
  </si>
  <si>
    <t>Milk - 418</t>
  </si>
  <si>
    <t>ORD00254</t>
  </si>
  <si>
    <t>Milk - 355</t>
  </si>
  <si>
    <t>ORD00255</t>
  </si>
  <si>
    <t>Apples - 347</t>
  </si>
  <si>
    <t>ORD00256</t>
  </si>
  <si>
    <t>Paneer - 866</t>
  </si>
  <si>
    <t>CUST0057</t>
  </si>
  <si>
    <t>ORD00257</t>
  </si>
  <si>
    <t>Chhattisgarh</t>
  </si>
  <si>
    <t>Chips - 985</t>
  </si>
  <si>
    <t>ORD00258</t>
  </si>
  <si>
    <t>Cookies - 826</t>
  </si>
  <si>
    <t>CUST0058</t>
  </si>
  <si>
    <t>Sai</t>
  </si>
  <si>
    <t>ORD00259</t>
  </si>
  <si>
    <t>Tomatoes - 674</t>
  </si>
  <si>
    <t>ORD00260</t>
  </si>
  <si>
    <t>Buns - 367</t>
  </si>
  <si>
    <t>ORD00261</t>
  </si>
  <si>
    <t>Milk - 771</t>
  </si>
  <si>
    <t>ORD00262</t>
  </si>
  <si>
    <t>Pulses - 935</t>
  </si>
  <si>
    <t>ORD00263</t>
  </si>
  <si>
    <t>Bread - 960</t>
  </si>
  <si>
    <t>CUST0059</t>
  </si>
  <si>
    <t>ORD00264</t>
  </si>
  <si>
    <t>Paneer - 530</t>
  </si>
  <si>
    <t>CUST0060</t>
  </si>
  <si>
    <t>Reddy</t>
  </si>
  <si>
    <t>ORD00265</t>
  </si>
  <si>
    <t>Buns - 155</t>
  </si>
  <si>
    <t>ORD00266</t>
  </si>
  <si>
    <t>Milk - 599</t>
  </si>
  <si>
    <t>ORD00267</t>
  </si>
  <si>
    <t>Yogurt - 601</t>
  </si>
  <si>
    <t>ORD00268</t>
  </si>
  <si>
    <t>Bananas - 848</t>
  </si>
  <si>
    <t>ORD00269</t>
  </si>
  <si>
    <t>Rice - 331</t>
  </si>
  <si>
    <t>ORD00270</t>
  </si>
  <si>
    <t>Tomatoes - 397</t>
  </si>
  <si>
    <t>CUST0061</t>
  </si>
  <si>
    <t>ORD00271</t>
  </si>
  <si>
    <t>Yogurt - 316</t>
  </si>
  <si>
    <t>ORD00272</t>
  </si>
  <si>
    <t>Biscuits - 149</t>
  </si>
  <si>
    <t>ORD00273</t>
  </si>
  <si>
    <t>Soft Drinks - 226</t>
  </si>
  <si>
    <t>ORD00274</t>
  </si>
  <si>
    <t>Namkeen - 737</t>
  </si>
  <si>
    <t>ORD00275</t>
  </si>
  <si>
    <t>Onions - 303</t>
  </si>
  <si>
    <t>CUST0062</t>
  </si>
  <si>
    <t>ORD00276</t>
  </si>
  <si>
    <t>Butter - 438</t>
  </si>
  <si>
    <t>ORD00277</t>
  </si>
  <si>
    <t>Chips - 840</t>
  </si>
  <si>
    <t>CUST0063</t>
  </si>
  <si>
    <t>Ira</t>
  </si>
  <si>
    <t>ORD00278</t>
  </si>
  <si>
    <t>Wheat Flour - 536</t>
  </si>
  <si>
    <t>ORD00279</t>
  </si>
  <si>
    <t>Buns - 736</t>
  </si>
  <si>
    <t>ORD00280</t>
  </si>
  <si>
    <t>Juice - 955</t>
  </si>
  <si>
    <t>ORD00281</t>
  </si>
  <si>
    <t>Milk - 526</t>
  </si>
  <si>
    <t>ORD00282</t>
  </si>
  <si>
    <t>Bananas - 594</t>
  </si>
  <si>
    <t>ORD00283</t>
  </si>
  <si>
    <t>Pulses - 637</t>
  </si>
  <si>
    <t>CUST0064</t>
  </si>
  <si>
    <t>Meera</t>
  </si>
  <si>
    <t>ORD00284</t>
  </si>
  <si>
    <t>Milk - 111</t>
  </si>
  <si>
    <t>ORD00285</t>
  </si>
  <si>
    <t>Buns - 151</t>
  </si>
  <si>
    <t>ORD00286</t>
  </si>
  <si>
    <t>Namkeen - 190</t>
  </si>
  <si>
    <t>CUST0065</t>
  </si>
  <si>
    <t>ORD00287</t>
  </si>
  <si>
    <t>Biscuits - 752</t>
  </si>
  <si>
    <t>ORD00288</t>
  </si>
  <si>
    <t>Butter - 439</t>
  </si>
  <si>
    <t>ORD00289</t>
  </si>
  <si>
    <t>Rice - 102</t>
  </si>
  <si>
    <t>ORD00290</t>
  </si>
  <si>
    <t>Butter - 243</t>
  </si>
  <si>
    <t>CUST0066</t>
  </si>
  <si>
    <t>ORD00291</t>
  </si>
  <si>
    <t>Apples - 890</t>
  </si>
  <si>
    <t>ORD00292</t>
  </si>
  <si>
    <t>Soft Drinks - 620</t>
  </si>
  <si>
    <t>ORD00293</t>
  </si>
  <si>
    <t>Soft Drinks - 723</t>
  </si>
  <si>
    <t>ORD00294</t>
  </si>
  <si>
    <t>Pulses - 624</t>
  </si>
  <si>
    <t>ORD00295</t>
  </si>
  <si>
    <t>Biscuits - 397</t>
  </si>
  <si>
    <t>CUST0067</t>
  </si>
  <si>
    <t>Praveen</t>
  </si>
  <si>
    <t>ORD00296</t>
  </si>
  <si>
    <t>Soft Drinks - 790</t>
  </si>
  <si>
    <t>ORD00297</t>
  </si>
  <si>
    <t>Apples - 304</t>
  </si>
  <si>
    <t>CUST0068</t>
  </si>
  <si>
    <t>ORD00298</t>
  </si>
  <si>
    <t>Gujarat</t>
  </si>
  <si>
    <t>Biscuits - 857</t>
  </si>
  <si>
    <t>ORD00299</t>
  </si>
  <si>
    <t>Rice - 490</t>
  </si>
  <si>
    <t>ORD00300</t>
  </si>
  <si>
    <t>Namkeen - 949</t>
  </si>
  <si>
    <t>ORD00301</t>
  </si>
  <si>
    <t>Coffee - 799</t>
  </si>
  <si>
    <t>ORD00302</t>
  </si>
  <si>
    <t>Namkeen - 233</t>
  </si>
  <si>
    <t>CUST0069</t>
  </si>
  <si>
    <t>ORD00303</t>
  </si>
  <si>
    <t>Wheat Flour - 602</t>
  </si>
  <si>
    <t>ORD00304</t>
  </si>
  <si>
    <t>Chips - 525</t>
  </si>
  <si>
    <t>ORD00305</t>
  </si>
  <si>
    <t>Bread - 870</t>
  </si>
  <si>
    <t>ORD00306</t>
  </si>
  <si>
    <t>Yogurt - 140</t>
  </si>
  <si>
    <t>CUST0070</t>
  </si>
  <si>
    <t>ORD00307</t>
  </si>
  <si>
    <t>Tea - 403</t>
  </si>
  <si>
    <t>ORD00308</t>
  </si>
  <si>
    <t>Bananas - 786</t>
  </si>
  <si>
    <t>ORD00309</t>
  </si>
  <si>
    <t>Bananas - 124</t>
  </si>
  <si>
    <t>ORD00310</t>
  </si>
  <si>
    <t>Paneer - 517</t>
  </si>
  <si>
    <t>ORD00311</t>
  </si>
  <si>
    <t>Apples - 874</t>
  </si>
  <si>
    <t>ORD00312</t>
  </si>
  <si>
    <t>Tomatoes - 883</t>
  </si>
  <si>
    <t>ORD00313</t>
  </si>
  <si>
    <t>Wheat Flour - 915</t>
  </si>
  <si>
    <t>CUST0071</t>
  </si>
  <si>
    <t>Suresh</t>
  </si>
  <si>
    <t>ORD00314</t>
  </si>
  <si>
    <t>Namkeen - 650</t>
  </si>
  <si>
    <t>CUST0072</t>
  </si>
  <si>
    <t>ORD00315</t>
  </si>
  <si>
    <t>Bread - 217</t>
  </si>
  <si>
    <t>ORD00316</t>
  </si>
  <si>
    <t>Rice - 356</t>
  </si>
  <si>
    <t>CUST0073</t>
  </si>
  <si>
    <t>ORD00317</t>
  </si>
  <si>
    <t>Soft Drinks - 436</t>
  </si>
  <si>
    <t>ORD00318</t>
  </si>
  <si>
    <t>Milk - 420</t>
  </si>
  <si>
    <t>ORD00319</t>
  </si>
  <si>
    <t>Wheat Flour - 998</t>
  </si>
  <si>
    <t>CUST0074</t>
  </si>
  <si>
    <t>ORD00320</t>
  </si>
  <si>
    <t>Yogurt - 369</t>
  </si>
  <si>
    <t>ORD00321</t>
  </si>
  <si>
    <t>Namkeen - 656</t>
  </si>
  <si>
    <t>ORD00322</t>
  </si>
  <si>
    <t>Tea - 506</t>
  </si>
  <si>
    <t>ORD00323</t>
  </si>
  <si>
    <t>Yogurt - 679</t>
  </si>
  <si>
    <t>CUST0075</t>
  </si>
  <si>
    <t>Singh</t>
  </si>
  <si>
    <t>ORD00324</t>
  </si>
  <si>
    <t>Bananas - 630</t>
  </si>
  <si>
    <t>ORD00325</t>
  </si>
  <si>
    <t>Wheat Flour - 692</t>
  </si>
  <si>
    <t>ORD00326</t>
  </si>
  <si>
    <t>Butter - 461</t>
  </si>
  <si>
    <t>ORD00327</t>
  </si>
  <si>
    <t>Tomatoes - 316</t>
  </si>
  <si>
    <t>CUST0076</t>
  </si>
  <si>
    <t>Zainab</t>
  </si>
  <si>
    <t>ORD00328</t>
  </si>
  <si>
    <t>Coffee - 704</t>
  </si>
  <si>
    <t>ORD00329</t>
  </si>
  <si>
    <t>Pulses - 140</t>
  </si>
  <si>
    <t>CUST0077</t>
  </si>
  <si>
    <t>ORD00330</t>
  </si>
  <si>
    <t>Namkeen - 988</t>
  </si>
  <si>
    <t>ORD00331</t>
  </si>
  <si>
    <t>Pulses - 450</t>
  </si>
  <si>
    <t>ORD00332</t>
  </si>
  <si>
    <t>Biscuits - 800</t>
  </si>
  <si>
    <t>ORD00333</t>
  </si>
  <si>
    <t>Biscuits - 870</t>
  </si>
  <si>
    <t>ORD00334</t>
  </si>
  <si>
    <t>Juice - 995</t>
  </si>
  <si>
    <t>CUST0078</t>
  </si>
  <si>
    <t>Diya</t>
  </si>
  <si>
    <t>ORD00335</t>
  </si>
  <si>
    <t>Milk - 390</t>
  </si>
  <si>
    <t>ORD00336</t>
  </si>
  <si>
    <t>Onions - 770</t>
  </si>
  <si>
    <t>CUST0079</t>
  </si>
  <si>
    <t>Deshmukh</t>
  </si>
  <si>
    <t>ORD00337</t>
  </si>
  <si>
    <t>Coffee - 523</t>
  </si>
  <si>
    <t>ORD00338</t>
  </si>
  <si>
    <t>Namkeen - 892</t>
  </si>
  <si>
    <t>ORD00339</t>
  </si>
  <si>
    <t>Butter - 904</t>
  </si>
  <si>
    <t>ORD00340</t>
  </si>
  <si>
    <t>Bananas - 582</t>
  </si>
  <si>
    <t>ORD00341</t>
  </si>
  <si>
    <t>Soft Drinks - 728</t>
  </si>
  <si>
    <t>ORD00342</t>
  </si>
  <si>
    <t>Paneer - 299</t>
  </si>
  <si>
    <t>CUST0080</t>
  </si>
  <si>
    <t>ORD00343</t>
  </si>
  <si>
    <t>Tomatoes - 898</t>
  </si>
  <si>
    <t>ORD00344</t>
  </si>
  <si>
    <t>Namkeen - 843</t>
  </si>
  <si>
    <t>CUST0081</t>
  </si>
  <si>
    <t>ORD00345</t>
  </si>
  <si>
    <t>Chips - 615</t>
  </si>
  <si>
    <t>ORD00346</t>
  </si>
  <si>
    <t>Namkeen - 888</t>
  </si>
  <si>
    <t>ORD00347</t>
  </si>
  <si>
    <t>Bread - 491</t>
  </si>
  <si>
    <t>ORD00348</t>
  </si>
  <si>
    <t>Bread - 394</t>
  </si>
  <si>
    <t>ORD00349</t>
  </si>
  <si>
    <t>Paneer - 287</t>
  </si>
  <si>
    <t>ORD00350</t>
  </si>
  <si>
    <t>Paneer - 259</t>
  </si>
  <si>
    <t>ORD00351</t>
  </si>
  <si>
    <t>Juice - 735</t>
  </si>
  <si>
    <t>CUST0082</t>
  </si>
  <si>
    <t>Sharma</t>
  </si>
  <si>
    <t>ORD00352</t>
  </si>
  <si>
    <t>Onions - 589</t>
  </si>
  <si>
    <t>ORD00353</t>
  </si>
  <si>
    <t>Rice - 112</t>
  </si>
  <si>
    <t>CUST0083</t>
  </si>
  <si>
    <t>ORD00354</t>
  </si>
  <si>
    <t>Butter - 534</t>
  </si>
  <si>
    <t>ORD00355</t>
  </si>
  <si>
    <t>Yogurt - 933</t>
  </si>
  <si>
    <t>ORD00356</t>
  </si>
  <si>
    <t>Rice - 584</t>
  </si>
  <si>
    <t>CUST0084</t>
  </si>
  <si>
    <t>ORD00357</t>
  </si>
  <si>
    <t>Onions - 201</t>
  </si>
  <si>
    <t>ORD00358</t>
  </si>
  <si>
    <t>Buns - 673</t>
  </si>
  <si>
    <t>ORD00359</t>
  </si>
  <si>
    <t>Biscuits - 764</t>
  </si>
  <si>
    <t>ORD00360</t>
  </si>
  <si>
    <t>Juice - 574</t>
  </si>
  <si>
    <t>CUST0085</t>
  </si>
  <si>
    <t>ORD00361</t>
  </si>
  <si>
    <t>Cookies - 373</t>
  </si>
  <si>
    <t>ORD00362</t>
  </si>
  <si>
    <t>Bananas - 845</t>
  </si>
  <si>
    <t>ORD00363</t>
  </si>
  <si>
    <t>Apples - 999</t>
  </si>
  <si>
    <t>ORD00364</t>
  </si>
  <si>
    <t>Milk - 770</t>
  </si>
  <si>
    <t>ORD00365</t>
  </si>
  <si>
    <t>Tomatoes - 981</t>
  </si>
  <si>
    <t>ORD00366</t>
  </si>
  <si>
    <t>Pulses - 281</t>
  </si>
  <si>
    <t>ORD00367</t>
  </si>
  <si>
    <t>Coffee - 924</t>
  </si>
  <si>
    <t>CUST0086</t>
  </si>
  <si>
    <t>ORD00368</t>
  </si>
  <si>
    <t>Onions - 873</t>
  </si>
  <si>
    <t>ORD00369</t>
  </si>
  <si>
    <t>Soft Drinks - 504</t>
  </si>
  <si>
    <t>ORD00370</t>
  </si>
  <si>
    <t>Rice - 629</t>
  </si>
  <si>
    <t>ORD00371</t>
  </si>
  <si>
    <t>Bananas - 239</t>
  </si>
  <si>
    <t>ORD00372</t>
  </si>
  <si>
    <t>Milk - 647</t>
  </si>
  <si>
    <t>ORD00373</t>
  </si>
  <si>
    <t>Bananas - 115</t>
  </si>
  <si>
    <t>CUST0087</t>
  </si>
  <si>
    <t>ORD00374</t>
  </si>
  <si>
    <t>Milk - 372</t>
  </si>
  <si>
    <t>CUST0088</t>
  </si>
  <si>
    <t>ORD00375</t>
  </si>
  <si>
    <t>Bananas - 571</t>
  </si>
  <si>
    <t>ORD00376</t>
  </si>
  <si>
    <t>Biscuits - 225</t>
  </si>
  <si>
    <t>ORD00377</t>
  </si>
  <si>
    <t>Juice - 115</t>
  </si>
  <si>
    <t>ORD00378</t>
  </si>
  <si>
    <t>Chips - 480</t>
  </si>
  <si>
    <t>ORD00379</t>
  </si>
  <si>
    <t>CUST0089</t>
  </si>
  <si>
    <t>ORD00380</t>
  </si>
  <si>
    <t>Soft Drinks - 672</t>
  </si>
  <si>
    <t>ORD00381</t>
  </si>
  <si>
    <t>Juice - 988</t>
  </si>
  <si>
    <t>ORD00382</t>
  </si>
  <si>
    <t>Cookies - 475</t>
  </si>
  <si>
    <t>ORD00383</t>
  </si>
  <si>
    <t>Chips - 428</t>
  </si>
  <si>
    <t>ORD00384</t>
  </si>
  <si>
    <t>Chips - 727</t>
  </si>
  <si>
    <t>CUST0090</t>
  </si>
  <si>
    <t>ORD00385</t>
  </si>
  <si>
    <t>Biscuits - 956</t>
  </si>
  <si>
    <t>ORD00386</t>
  </si>
  <si>
    <t>Biscuits - 172</t>
  </si>
  <si>
    <t>ORD00387</t>
  </si>
  <si>
    <t>Biscuits - 525</t>
  </si>
  <si>
    <t>ORD00388</t>
  </si>
  <si>
    <t>Bread - 321</t>
  </si>
  <si>
    <t>ORD00389</t>
  </si>
  <si>
    <t>Rice - 671</t>
  </si>
  <si>
    <t>ORD00390</t>
  </si>
  <si>
    <t>Wheat Flour - 206</t>
  </si>
  <si>
    <t>CUST0091</t>
  </si>
  <si>
    <t>ORD00391</t>
  </si>
  <si>
    <t>Juice - 723</t>
  </si>
  <si>
    <t>ORD00392</t>
  </si>
  <si>
    <t>Soft Drinks - 100</t>
  </si>
  <si>
    <t>ORD00393</t>
  </si>
  <si>
    <t>Paneer - 122</t>
  </si>
  <si>
    <t>ORD00394</t>
  </si>
  <si>
    <t>Bread - 241</t>
  </si>
  <si>
    <t>ORD00395</t>
  </si>
  <si>
    <t>Milk - 840</t>
  </si>
  <si>
    <t>ORD00396</t>
  </si>
  <si>
    <t>ORD00397</t>
  </si>
  <si>
    <t>Pulses - 111</t>
  </si>
  <si>
    <t>CUST0092</t>
  </si>
  <si>
    <t>ORD00398</t>
  </si>
  <si>
    <t>Tea - 327</t>
  </si>
  <si>
    <t>ORD00399</t>
  </si>
  <si>
    <t>Juice - 187</t>
  </si>
  <si>
    <t>ORD00400</t>
  </si>
  <si>
    <t>Coffee - 674</t>
  </si>
  <si>
    <t>ORD00401</t>
  </si>
  <si>
    <t>Chips - 215</t>
  </si>
  <si>
    <t>ORD00402</t>
  </si>
  <si>
    <t>Namkeen - 738</t>
  </si>
  <si>
    <t>CUST0093</t>
  </si>
  <si>
    <t>ORD00403</t>
  </si>
  <si>
    <t>Bread - 451</t>
  </si>
  <si>
    <t>ORD00404</t>
  </si>
  <si>
    <t>Biscuits - 868</t>
  </si>
  <si>
    <t>ORD00405</t>
  </si>
  <si>
    <t>Biscuits - 639</t>
  </si>
  <si>
    <t>ORD00406</t>
  </si>
  <si>
    <t>Apples - 497</t>
  </si>
  <si>
    <t>ORD00407</t>
  </si>
  <si>
    <t>Tea - 423</t>
  </si>
  <si>
    <t>CUST0094</t>
  </si>
  <si>
    <t>ORD00408</t>
  </si>
  <si>
    <t>Buns - 502</t>
  </si>
  <si>
    <t>ORD00409</t>
  </si>
  <si>
    <t>Tomatoes - 999</t>
  </si>
  <si>
    <t>CUST0095</t>
  </si>
  <si>
    <t>ORD00410</t>
  </si>
  <si>
    <t>Pulses - 993</t>
  </si>
  <si>
    <t>ORD00411</t>
  </si>
  <si>
    <t>Rice - 694</t>
  </si>
  <si>
    <t>ORD00412</t>
  </si>
  <si>
    <t>Chips - 425</t>
  </si>
  <si>
    <t>ORD00413</t>
  </si>
  <si>
    <t>Buns - 521</t>
  </si>
  <si>
    <t>ORD00414</t>
  </si>
  <si>
    <t>Milk - 880</t>
  </si>
  <si>
    <t>ORD00415</t>
  </si>
  <si>
    <t>Tomatoes - 181</t>
  </si>
  <si>
    <t>CUST0096</t>
  </si>
  <si>
    <t>ORD00416</t>
  </si>
  <si>
    <t>Onions - 882</t>
  </si>
  <si>
    <t>ORD00417</t>
  </si>
  <si>
    <t>Namkeen - 804</t>
  </si>
  <si>
    <t>CUST0097</t>
  </si>
  <si>
    <t>Ananya</t>
  </si>
  <si>
    <t>ORD00418</t>
  </si>
  <si>
    <t>Biscuits - 996</t>
  </si>
  <si>
    <t>ORD00419</t>
  </si>
  <si>
    <t>Onions - 628</t>
  </si>
  <si>
    <t>ORD00420</t>
  </si>
  <si>
    <t>Cookies - 155</t>
  </si>
  <si>
    <t>ORD00421</t>
  </si>
  <si>
    <t>Biscuits - 659</t>
  </si>
  <si>
    <t>CUST0098</t>
  </si>
  <si>
    <t>ORD00422</t>
  </si>
  <si>
    <t>Pulses - 828</t>
  </si>
  <si>
    <t>CUST0099</t>
  </si>
  <si>
    <t>ORD00423</t>
  </si>
  <si>
    <t>Tea - 886</t>
  </si>
  <si>
    <t>ORD00424</t>
  </si>
  <si>
    <t>Rice - 529</t>
  </si>
  <si>
    <t>ORD00425</t>
  </si>
  <si>
    <t>Tomatoes - 112</t>
  </si>
  <si>
    <t>ORD00426</t>
  </si>
  <si>
    <t>Wheat Flour - 564</t>
  </si>
  <si>
    <t>ORD00427</t>
  </si>
  <si>
    <t>Yogurt - 156</t>
  </si>
  <si>
    <t>CUST0100</t>
  </si>
  <si>
    <t>ORD00428</t>
  </si>
  <si>
    <t>Yogurt - 788</t>
  </si>
  <si>
    <t>CUST0101</t>
  </si>
  <si>
    <t>ORD00429</t>
  </si>
  <si>
    <t>Buns - 488</t>
  </si>
  <si>
    <t>ORD00430</t>
  </si>
  <si>
    <t>Buns - 639</t>
  </si>
  <si>
    <t>ORD00431</t>
  </si>
  <si>
    <t>Pulses - 719</t>
  </si>
  <si>
    <t>ORD00432</t>
  </si>
  <si>
    <t>Biscuits - 608</t>
  </si>
  <si>
    <t>CUST0102</t>
  </si>
  <si>
    <t>ORD00433</t>
  </si>
  <si>
    <t>Tea - 855</t>
  </si>
  <si>
    <t>CUST0103</t>
  </si>
  <si>
    <t>ORD00434</t>
  </si>
  <si>
    <t>ORD00435</t>
  </si>
  <si>
    <t>Yogurt - 438</t>
  </si>
  <si>
    <t>ORD00436</t>
  </si>
  <si>
    <t>Juice - 573</t>
  </si>
  <si>
    <t>ORD00437</t>
  </si>
  <si>
    <t>Biscuits - 439</t>
  </si>
  <si>
    <t>CUST0104</t>
  </si>
  <si>
    <t>Divya</t>
  </si>
  <si>
    <t>ORD00438</t>
  </si>
  <si>
    <t>Cookies - 978</t>
  </si>
  <si>
    <t>ORD00439</t>
  </si>
  <si>
    <t>Bread - 637</t>
  </si>
  <si>
    <t>ORD00440</t>
  </si>
  <si>
    <t>Coffee - 294</t>
  </si>
  <si>
    <t>ORD00441</t>
  </si>
  <si>
    <t>Biscuits - 235</t>
  </si>
  <si>
    <t>CUST0105</t>
  </si>
  <si>
    <t>ORD00442</t>
  </si>
  <si>
    <t>Apples - 633</t>
  </si>
  <si>
    <t>ORD00443</t>
  </si>
  <si>
    <t>Cookies - 426</t>
  </si>
  <si>
    <t>ORD00444</t>
  </si>
  <si>
    <t>Namkeen - 662</t>
  </si>
  <si>
    <t>ORD00445</t>
  </si>
  <si>
    <t>Namkeen - 653</t>
  </si>
  <si>
    <t>ORD00446</t>
  </si>
  <si>
    <t>Soft Drinks - 283</t>
  </si>
  <si>
    <t>CUST0106</t>
  </si>
  <si>
    <t>ORD00447</t>
  </si>
  <si>
    <t>Coffee - 195</t>
  </si>
  <si>
    <t>ORD00448</t>
  </si>
  <si>
    <t>Namkeen - 472</t>
  </si>
  <si>
    <t>ORD00449</t>
  </si>
  <si>
    <t>Tea - 459</t>
  </si>
  <si>
    <t>ORD00450</t>
  </si>
  <si>
    <t>Rice - 433</t>
  </si>
  <si>
    <t>ORD00451</t>
  </si>
  <si>
    <t>Chips - 661</t>
  </si>
  <si>
    <t>ORD00452</t>
  </si>
  <si>
    <t>Juice - 657</t>
  </si>
  <si>
    <t>CUST0107</t>
  </si>
  <si>
    <t>ORD00453</t>
  </si>
  <si>
    <t>Odisha</t>
  </si>
  <si>
    <t>Tea - 712</t>
  </si>
  <si>
    <t>ORD00454</t>
  </si>
  <si>
    <t>Yogurt - 694</t>
  </si>
  <si>
    <t>ORD00455</t>
  </si>
  <si>
    <t>Paneer - 406</t>
  </si>
  <si>
    <t>ORD00456</t>
  </si>
  <si>
    <t>Namkeen - 967</t>
  </si>
  <si>
    <t>CUST0108</t>
  </si>
  <si>
    <t>ORD00457</t>
  </si>
  <si>
    <t>Juice - 828</t>
  </si>
  <si>
    <t>ORD00458</t>
  </si>
  <si>
    <t>Juice - 960</t>
  </si>
  <si>
    <t>ORD00459</t>
  </si>
  <si>
    <t>Wheat Flour - 773</t>
  </si>
  <si>
    <t>ORD00460</t>
  </si>
  <si>
    <t>Butter - 621</t>
  </si>
  <si>
    <t>ORD00461</t>
  </si>
  <si>
    <t>Coffee - 829</t>
  </si>
  <si>
    <t>ORD00462</t>
  </si>
  <si>
    <t>Bread - 694</t>
  </si>
  <si>
    <t>CUST0109</t>
  </si>
  <si>
    <t>ORD00463</t>
  </si>
  <si>
    <t>Rice - 800</t>
  </si>
  <si>
    <t>ORD00464</t>
  </si>
  <si>
    <t>Juice - 531</t>
  </si>
  <si>
    <t>ORD00465</t>
  </si>
  <si>
    <t>Namkeen - 162</t>
  </si>
  <si>
    <t>ORD00466</t>
  </si>
  <si>
    <t>Milk - 971</t>
  </si>
  <si>
    <t>ORD00467</t>
  </si>
  <si>
    <t>Yogurt - 774</t>
  </si>
  <si>
    <t>ORD00468</t>
  </si>
  <si>
    <t>Bananas - 709</t>
  </si>
  <si>
    <t>CUST0110</t>
  </si>
  <si>
    <t>ORD00469</t>
  </si>
  <si>
    <t>ORD00470</t>
  </si>
  <si>
    <t>Pulses - 339</t>
  </si>
  <si>
    <t>ORD00471</t>
  </si>
  <si>
    <t>Soft Drinks - 794</t>
  </si>
  <si>
    <t>ORD00472</t>
  </si>
  <si>
    <t>Buns - 921</t>
  </si>
  <si>
    <t>CUST0111</t>
  </si>
  <si>
    <t>ORD00473</t>
  </si>
  <si>
    <t>Chips - 788</t>
  </si>
  <si>
    <t>ORD00474</t>
  </si>
  <si>
    <t>Paneer - 357</t>
  </si>
  <si>
    <t>ORD00475</t>
  </si>
  <si>
    <t>Apples - 976</t>
  </si>
  <si>
    <t>CUST0112</t>
  </si>
  <si>
    <t>ORD00476</t>
  </si>
  <si>
    <t>Juice - 887</t>
  </si>
  <si>
    <t>ORD00477</t>
  </si>
  <si>
    <t>Onions - 497</t>
  </si>
  <si>
    <t>ORD00478</t>
  </si>
  <si>
    <t>Butter - 282</t>
  </si>
  <si>
    <t>CUST0113</t>
  </si>
  <si>
    <t>Vihaan</t>
  </si>
  <si>
    <t>ORD00479</t>
  </si>
  <si>
    <t>Wheat Flour - 895</t>
  </si>
  <si>
    <t>ORD00480</t>
  </si>
  <si>
    <t>Paneer - 500</t>
  </si>
  <si>
    <t>ORD00481</t>
  </si>
  <si>
    <t>Rice - 653</t>
  </si>
  <si>
    <t>ORD00482</t>
  </si>
  <si>
    <t>Wheat Flour - 510</t>
  </si>
  <si>
    <t>ORD00483</t>
  </si>
  <si>
    <t>Cookies - 307</t>
  </si>
  <si>
    <t>CUST0114</t>
  </si>
  <si>
    <t>ORD00484</t>
  </si>
  <si>
    <t>Coffee - 243</t>
  </si>
  <si>
    <t>CUST0115</t>
  </si>
  <si>
    <t>ORD00485</t>
  </si>
  <si>
    <t>Tea - 137</t>
  </si>
  <si>
    <t>ORD00486</t>
  </si>
  <si>
    <t>Chips - 858</t>
  </si>
  <si>
    <t>ORD00487</t>
  </si>
  <si>
    <t>Chips - 348</t>
  </si>
  <si>
    <t>ORD00488</t>
  </si>
  <si>
    <t>Chips - 937</t>
  </si>
  <si>
    <t>CUST0116</t>
  </si>
  <si>
    <t>ORD00489</t>
  </si>
  <si>
    <t>Biscuits - 240</t>
  </si>
  <si>
    <t>ORD00490</t>
  </si>
  <si>
    <t>Bread - 875</t>
  </si>
  <si>
    <t>ORD00491</t>
  </si>
  <si>
    <t>Onions - 896</t>
  </si>
  <si>
    <t>ORD00492</t>
  </si>
  <si>
    <t>Wheat Flour - 808</t>
  </si>
  <si>
    <t>ORD00493</t>
  </si>
  <si>
    <t>Rice - 710</t>
  </si>
  <si>
    <t>ORD00494</t>
  </si>
  <si>
    <t>Yogurt - 220</t>
  </si>
  <si>
    <t>CUST0117</t>
  </si>
  <si>
    <t>ORD00495</t>
  </si>
  <si>
    <t>Bananas - 801</t>
  </si>
  <si>
    <t>ORD00496</t>
  </si>
  <si>
    <t>Butter - 357</t>
  </si>
  <si>
    <t>ORD00497</t>
  </si>
  <si>
    <t>Onions - 627</t>
  </si>
  <si>
    <t>ORD00498</t>
  </si>
  <si>
    <t>Pulses - 433</t>
  </si>
  <si>
    <t>CUST0118</t>
  </si>
  <si>
    <t>ORD00499</t>
  </si>
  <si>
    <t>Coffee - 321</t>
  </si>
  <si>
    <t>ORD00500</t>
  </si>
  <si>
    <t>Paneer - 230</t>
  </si>
  <si>
    <t>ORD00501</t>
  </si>
  <si>
    <t>Bread - 402</t>
  </si>
  <si>
    <t>ORD00502</t>
  </si>
  <si>
    <t>Soft Drinks - 982</t>
  </si>
  <si>
    <t>ORD00503</t>
  </si>
  <si>
    <t>Buns - 693</t>
  </si>
  <si>
    <t>ORD00504</t>
  </si>
  <si>
    <t>Tea - 535</t>
  </si>
  <si>
    <t>CUST0119</t>
  </si>
  <si>
    <t>Ajay</t>
  </si>
  <si>
    <t>ORD00505</t>
  </si>
  <si>
    <t>Yogurt - 467</t>
  </si>
  <si>
    <t>ORD00506</t>
  </si>
  <si>
    <t>Biscuits - 697</t>
  </si>
  <si>
    <t>ORD00507</t>
  </si>
  <si>
    <t>Rice - 981</t>
  </si>
  <si>
    <t>ORD00508</t>
  </si>
  <si>
    <t>Biscuits - 689</t>
  </si>
  <si>
    <t>CUST0120</t>
  </si>
  <si>
    <t>ORD00509</t>
  </si>
  <si>
    <t>Chips - 474</t>
  </si>
  <si>
    <t>ORD00510</t>
  </si>
  <si>
    <t>Milk - 764</t>
  </si>
  <si>
    <t>CUST0121</t>
  </si>
  <si>
    <t>ORD00511</t>
  </si>
  <si>
    <t>Buns - 563</t>
  </si>
  <si>
    <t>ORD00512</t>
  </si>
  <si>
    <t>Namkeen - 919</t>
  </si>
  <si>
    <t>ORD00513</t>
  </si>
  <si>
    <t>Paneer - 214</t>
  </si>
  <si>
    <t>ORD00514</t>
  </si>
  <si>
    <t>Buns - 554</t>
  </si>
  <si>
    <t>ORD00515</t>
  </si>
  <si>
    <t>Namkeen - 771</t>
  </si>
  <si>
    <t>ORD00516</t>
  </si>
  <si>
    <t>Paneer - 275</t>
  </si>
  <si>
    <t>CUST0122</t>
  </si>
  <si>
    <t>ORD00517</t>
  </si>
  <si>
    <t>Pulses - 782</t>
  </si>
  <si>
    <t>ORD00518</t>
  </si>
  <si>
    <t>Yogurt - 675</t>
  </si>
  <si>
    <t>ORD00519</t>
  </si>
  <si>
    <t>Onions - 611</t>
  </si>
  <si>
    <t>ORD00520</t>
  </si>
  <si>
    <t>Cookies - 782</t>
  </si>
  <si>
    <t>ORD00521</t>
  </si>
  <si>
    <t>Tea - 242</t>
  </si>
  <si>
    <t>ORD00522</t>
  </si>
  <si>
    <t>Bananas - 697</t>
  </si>
  <si>
    <t>ORD00523</t>
  </si>
  <si>
    <t>Rice - 624</t>
  </si>
  <si>
    <t>CUST0123</t>
  </si>
  <si>
    <t>ORD00524</t>
  </si>
  <si>
    <t>Buns - 481</t>
  </si>
  <si>
    <t>ORD00525</t>
  </si>
  <si>
    <t>Soft Drinks - 922</t>
  </si>
  <si>
    <t>CUST0124</t>
  </si>
  <si>
    <t>ORD00526</t>
  </si>
  <si>
    <t>Namkeen - 167</t>
  </si>
  <si>
    <t>ORD00527</t>
  </si>
  <si>
    <t>Chips - 304</t>
  </si>
  <si>
    <t>CUST0125</t>
  </si>
  <si>
    <t>ORD00528</t>
  </si>
  <si>
    <t>Bananas - 368</t>
  </si>
  <si>
    <t>ORD00529</t>
  </si>
  <si>
    <t>Pulses - 350</t>
  </si>
  <si>
    <t>ORD00530</t>
  </si>
  <si>
    <t>Juice - 743</t>
  </si>
  <si>
    <t>ORD00531</t>
  </si>
  <si>
    <t>Bread - 695</t>
  </si>
  <si>
    <t>CUST0126</t>
  </si>
  <si>
    <t>ORD00532</t>
  </si>
  <si>
    <t>Buns - 642</t>
  </si>
  <si>
    <t>ORD00533</t>
  </si>
  <si>
    <t>Wheat Flour - 377</t>
  </si>
  <si>
    <t>ORD00534</t>
  </si>
  <si>
    <t>Soft Drinks - 448</t>
  </si>
  <si>
    <t>CUST0127</t>
  </si>
  <si>
    <t>ORD00535</t>
  </si>
  <si>
    <t>Onions - 456</t>
  </si>
  <si>
    <t>ORD00536</t>
  </si>
  <si>
    <t>Bread - 862</t>
  </si>
  <si>
    <t>ORD00537</t>
  </si>
  <si>
    <t>Onions - 807</t>
  </si>
  <si>
    <t>ORD00538</t>
  </si>
  <si>
    <t>CUST0128</t>
  </si>
  <si>
    <t>ORD00539</t>
  </si>
  <si>
    <t>Wheat Flour - 129</t>
  </si>
  <si>
    <t>ORD00540</t>
  </si>
  <si>
    <t>Biscuits - 727</t>
  </si>
  <si>
    <t>CUST0129</t>
  </si>
  <si>
    <t>ORD00541</t>
  </si>
  <si>
    <t>Chips - 842</t>
  </si>
  <si>
    <t>ORD00542</t>
  </si>
  <si>
    <t>Rice - 285</t>
  </si>
  <si>
    <t>CUST0130</t>
  </si>
  <si>
    <t>ORD00543</t>
  </si>
  <si>
    <t>Cookies - 395</t>
  </si>
  <si>
    <t>ORD00544</t>
  </si>
  <si>
    <t>Wheat Flour - 803</t>
  </si>
  <si>
    <t>ORD00545</t>
  </si>
  <si>
    <t>Bread - 113</t>
  </si>
  <si>
    <t>ORD00546</t>
  </si>
  <si>
    <t>Pulses - 204</t>
  </si>
  <si>
    <t>CUST0131</t>
  </si>
  <si>
    <t>Sana</t>
  </si>
  <si>
    <t>ORD00547</t>
  </si>
  <si>
    <t>ORD00548</t>
  </si>
  <si>
    <t>Namkeen - 250</t>
  </si>
  <si>
    <t>ORD00549</t>
  </si>
  <si>
    <t>Rice - 950</t>
  </si>
  <si>
    <t>CUST0132</t>
  </si>
  <si>
    <t>ORD00550</t>
  </si>
  <si>
    <t>Onions - 911</t>
  </si>
  <si>
    <t>ORD00551</t>
  </si>
  <si>
    <t>Biscuits - 118</t>
  </si>
  <si>
    <t>ORD00552</t>
  </si>
  <si>
    <t>Bananas - 670</t>
  </si>
  <si>
    <t>CUST0133</t>
  </si>
  <si>
    <t>ORD00553</t>
  </si>
  <si>
    <t>Pulses - 685</t>
  </si>
  <si>
    <t>ORD00554</t>
  </si>
  <si>
    <t>Juice - 884</t>
  </si>
  <si>
    <t>ORD00555</t>
  </si>
  <si>
    <t>Wheat Flour - 489</t>
  </si>
  <si>
    <t>ORD00556</t>
  </si>
  <si>
    <t>Cookies - 186</t>
  </si>
  <si>
    <t>ORD00557</t>
  </si>
  <si>
    <t>Soft Drinks - 373</t>
  </si>
  <si>
    <t>CUST0134</t>
  </si>
  <si>
    <t>ORD00558</t>
  </si>
  <si>
    <t>Rice - 444</t>
  </si>
  <si>
    <t>ORD00559</t>
  </si>
  <si>
    <t>Butter - 750</t>
  </si>
  <si>
    <t>ORD00560</t>
  </si>
  <si>
    <t>Milk - 834</t>
  </si>
  <si>
    <t>ORD00561</t>
  </si>
  <si>
    <t>Bread - 767</t>
  </si>
  <si>
    <t>CUST0135</t>
  </si>
  <si>
    <t>ORD00562</t>
  </si>
  <si>
    <t>Chips - 119</t>
  </si>
  <si>
    <t>ORD00563</t>
  </si>
  <si>
    <t>Pulses - 161</t>
  </si>
  <si>
    <t>ORD00564</t>
  </si>
  <si>
    <t>Soft Drinks - 426</t>
  </si>
  <si>
    <t>CUST0136</t>
  </si>
  <si>
    <t>ORD00565</t>
  </si>
  <si>
    <t>Bananas - 916</t>
  </si>
  <si>
    <t>ORD00566</t>
  </si>
  <si>
    <t>Milk - 364</t>
  </si>
  <si>
    <t>CUST0137</t>
  </si>
  <si>
    <t>ORD00567</t>
  </si>
  <si>
    <t>Juice - 787</t>
  </si>
  <si>
    <t>ORD00568</t>
  </si>
  <si>
    <t>Pulses - 893</t>
  </si>
  <si>
    <t>ORD00569</t>
  </si>
  <si>
    <t>Pulses - 341</t>
  </si>
  <si>
    <t>CUST0138</t>
  </si>
  <si>
    <t>ORD00570</t>
  </si>
  <si>
    <t>Cookies - 215</t>
  </si>
  <si>
    <t>CUST0139</t>
  </si>
  <si>
    <t>ORD00571</t>
  </si>
  <si>
    <t>Chips - 961</t>
  </si>
  <si>
    <t>ORD00572</t>
  </si>
  <si>
    <t>Rice - 647</t>
  </si>
  <si>
    <t>ORD00573</t>
  </si>
  <si>
    <t>Paneer - 315</t>
  </si>
  <si>
    <t>CUST0140</t>
  </si>
  <si>
    <t>ORD00574</t>
  </si>
  <si>
    <t>Cookies - 532</t>
  </si>
  <si>
    <t>ORD00575</t>
  </si>
  <si>
    <t>Rice - 880</t>
  </si>
  <si>
    <t>ORD00576</t>
  </si>
  <si>
    <t>Buns - 689</t>
  </si>
  <si>
    <t>ORD00577</t>
  </si>
  <si>
    <t>Buns - 589</t>
  </si>
  <si>
    <t>ORD00578</t>
  </si>
  <si>
    <t>Bread - 502</t>
  </si>
  <si>
    <t>CUST0141</t>
  </si>
  <si>
    <t>ORD00579</t>
  </si>
  <si>
    <t>Soft Drinks - 714</t>
  </si>
  <si>
    <t>ORD00580</t>
  </si>
  <si>
    <t>Soft Drinks - 221</t>
  </si>
  <si>
    <t>ORD00581</t>
  </si>
  <si>
    <t>Butter - 976</t>
  </si>
  <si>
    <t>CUST0142</t>
  </si>
  <si>
    <t>ORD00582</t>
  </si>
  <si>
    <t>Butter - 354</t>
  </si>
  <si>
    <t>ORD00583</t>
  </si>
  <si>
    <t>Coffee - 830</t>
  </si>
  <si>
    <t>CUST0143</t>
  </si>
  <si>
    <t>ORD00584</t>
  </si>
  <si>
    <t>Biscuits - 921</t>
  </si>
  <si>
    <t>ORD00585</t>
  </si>
  <si>
    <t>Bread - 672</t>
  </si>
  <si>
    <t>ORD00586</t>
  </si>
  <si>
    <t>Cookies - 643</t>
  </si>
  <si>
    <t>CUST0144</t>
  </si>
  <si>
    <t>ORD00587</t>
  </si>
  <si>
    <t>Cookies - 420</t>
  </si>
  <si>
    <t>ORD00588</t>
  </si>
  <si>
    <t>Yogurt - 155</t>
  </si>
  <si>
    <t>ORD00589</t>
  </si>
  <si>
    <t>Juice - 826</t>
  </si>
  <si>
    <t>CUST0145</t>
  </si>
  <si>
    <t>ORD00590</t>
  </si>
  <si>
    <t>Cookies - 779</t>
  </si>
  <si>
    <t>ORD00591</t>
  </si>
  <si>
    <t>Tea - 436</t>
  </si>
  <si>
    <t>ORD00592</t>
  </si>
  <si>
    <t>Onions - 950</t>
  </si>
  <si>
    <t>ORD00593</t>
  </si>
  <si>
    <t>Pulses - 916</t>
  </si>
  <si>
    <t>ORD00594</t>
  </si>
  <si>
    <t>Namkeen - 194</t>
  </si>
  <si>
    <t>ORD00595</t>
  </si>
  <si>
    <t>Soft Drinks - 391</t>
  </si>
  <si>
    <t>CUST0146</t>
  </si>
  <si>
    <t>ORD00596</t>
  </si>
  <si>
    <t>Soft Drinks - 374</t>
  </si>
  <si>
    <t>ORD00597</t>
  </si>
  <si>
    <t>Tomatoes - 574</t>
  </si>
  <si>
    <t>ORD00598</t>
  </si>
  <si>
    <t>Soft Drinks - 181</t>
  </si>
  <si>
    <t>CUST0147</t>
  </si>
  <si>
    <t>ORD00599</t>
  </si>
  <si>
    <t>Onions - 522</t>
  </si>
  <si>
    <t>ORD00600</t>
  </si>
  <si>
    <t>Chips - 216</t>
  </si>
  <si>
    <t>ORD00601</t>
  </si>
  <si>
    <t>Biscuits - 565</t>
  </si>
  <si>
    <t>ORD00602</t>
  </si>
  <si>
    <t>Namkeen - 992</t>
  </si>
  <si>
    <t>CUST0148</t>
  </si>
  <si>
    <t>ORD00603</t>
  </si>
  <si>
    <t>Juice - 733</t>
  </si>
  <si>
    <t>ORD00604</t>
  </si>
  <si>
    <t>Bananas - 214</t>
  </si>
  <si>
    <t>ORD00605</t>
  </si>
  <si>
    <t>Butter - 962</t>
  </si>
  <si>
    <t>ORD00606</t>
  </si>
  <si>
    <t>Yogurt - 856</t>
  </si>
  <si>
    <t>ORD00607</t>
  </si>
  <si>
    <t>Namkeen - 152</t>
  </si>
  <si>
    <t>CUST0149</t>
  </si>
  <si>
    <t>ORD00608</t>
  </si>
  <si>
    <t>Biscuits - 936</t>
  </si>
  <si>
    <t>ORD00609</t>
  </si>
  <si>
    <t>Wheat Flour - 584</t>
  </si>
  <si>
    <t>ORD00610</t>
  </si>
  <si>
    <t>Butter - 452</t>
  </si>
  <si>
    <t>ORD00611</t>
  </si>
  <si>
    <t>Wheat Flour - 526</t>
  </si>
  <si>
    <t>CUST0150</t>
  </si>
  <si>
    <t>Anjali</t>
  </si>
  <si>
    <t>ORD00612</t>
  </si>
  <si>
    <t>Butter - 203</t>
  </si>
  <si>
    <t>ORD00613</t>
  </si>
  <si>
    <t>Buns - 793</t>
  </si>
  <si>
    <t>ORD00614</t>
  </si>
  <si>
    <t>Chips - 223</t>
  </si>
  <si>
    <t>ORD00615</t>
  </si>
  <si>
    <t>Pulses - 718</t>
  </si>
  <si>
    <t>ORD00616</t>
  </si>
  <si>
    <t>Chips - 619</t>
  </si>
  <si>
    <t>Sum of Sales</t>
  </si>
  <si>
    <t>Count of Orders</t>
  </si>
  <si>
    <t>Sum of Profit</t>
  </si>
  <si>
    <t>Grand Total</t>
  </si>
  <si>
    <t>Region-wise Sales Overview</t>
  </si>
  <si>
    <t>CustomerID</t>
  </si>
  <si>
    <t>Frequency</t>
  </si>
  <si>
    <t>Monetary</t>
  </si>
  <si>
    <t>R Score</t>
  </si>
  <si>
    <t>F Score</t>
  </si>
  <si>
    <t>M Score</t>
  </si>
  <si>
    <t>RFM Score</t>
  </si>
  <si>
    <t>Row Labels</t>
  </si>
  <si>
    <t>Count of Order ID</t>
  </si>
  <si>
    <t>Recency</t>
  </si>
  <si>
    <t xml:space="preserve">Category-wise Sales Overview </t>
  </si>
  <si>
    <t>Average</t>
  </si>
  <si>
    <t xml:space="preserve"> Sum of Sales</t>
  </si>
  <si>
    <t>Potential Loyalist</t>
  </si>
  <si>
    <t>Champions</t>
  </si>
  <si>
    <t>Loyal Customers</t>
  </si>
  <si>
    <t>At Risk</t>
  </si>
  <si>
    <t>Lost</t>
  </si>
  <si>
    <t>(blank)</t>
  </si>
  <si>
    <t>Count of Segment</t>
  </si>
  <si>
    <t>Sum of Monetary</t>
  </si>
  <si>
    <t>Count of CustomerID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</si>
  <si>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</si>
  <si>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</si>
  <si>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</si>
  <si>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</si>
  <si>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</si>
  <si>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</si>
  <si>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</si>
  <si>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</si>
  <si>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</si>
  <si>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</si>
  <si>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</si>
  <si>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</si>
  <si>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</si>
  <si>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</si>
  <si>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</si>
  <si>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RFM Segment Destribution</t>
  </si>
  <si>
    <t xml:space="preserve">Customer Count by Segment </t>
  </si>
  <si>
    <t>Sales by Category</t>
  </si>
  <si>
    <t>Monthly Sales Trend</t>
  </si>
  <si>
    <t>Monetary Value by RFM Segment</t>
  </si>
  <si>
    <t>Top Customer by Monetary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</si>
</sst>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4"/>
      <color rgb="FF595959"/>
      <name val="Calibri"/>
      <family val="2"/>
      <charset val="1"/>
    </font>
    <font>
      <sz val="12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7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4" fontId="3" fillId="0" borderId="0" xfId="0" applyNumberFormat="1" applyFont="1"/>
    <xf numFmtId="9" fontId="3" fillId="0" borderId="0" xfId="0" applyNumberFormat="1" applyFont="1"/>
    <xf numFmtId="4" fontId="0" fillId="0" borderId="0" xfId="0" applyNumberFormat="1"/>
    <xf numFmtId="0" fontId="0" fillId="0" borderId="0" xfId="0" applyAlignment="1">
      <alignment horizontal="left"/>
    </xf>
    <xf numFmtId="0" fontId="4" fillId="3" borderId="0" xfId="0" applyFont="1" applyFill="1"/>
    <xf numFmtId="14" fontId="3" fillId="0" borderId="0" xfId="0" applyNumberFormat="1" applyFont="1"/>
    <xf numFmtId="14" fontId="0" fillId="0" borderId="0" xfId="0" applyNumberFormat="1"/>
    <xf numFmtId="0" fontId="6" fillId="0" borderId="0" xfId="0" applyFont="1"/>
    <xf numFmtId="14" fontId="6" fillId="0" borderId="0" xfId="0" applyNumberFormat="1" applyFont="1"/>
    <xf numFmtId="0" fontId="4" fillId="4" borderId="0" xfId="1"/>
    <xf numFmtId="0" fontId="5" fillId="4" borderId="0" xfId="1" applyFont="1"/>
    <xf numFmtId="0" fontId="7" fillId="0" borderId="0" xfId="0" applyFont="1"/>
    <xf numFmtId="0" fontId="0" fillId="0" borderId="0" xfId="0" pivotButton="1"/>
    <xf numFmtId="0" fontId="10" fillId="0" borderId="0" xfId="0" applyFont="1"/>
    <xf numFmtId="10" fontId="0" fillId="0" borderId="0" xfId="0" applyNumberFormat="1"/>
    <xf numFmtId="10" fontId="4" fillId="3" borderId="0" xfId="0" applyNumberFormat="1" applyFont="1" applyFill="1"/>
    <xf numFmtId="0" fontId="9" fillId="0" borderId="0" xfId="0" applyFont="1"/>
    <xf numFmtId="10" fontId="8" fillId="5" borderId="0" xfId="2" applyNumberFormat="1" applyFont="1"/>
    <xf numFmtId="0" fontId="0" fillId="0" borderId="0" xfId="0" applyAlignment="1">
      <alignment horizontal="left" indent="1"/>
    </xf>
    <xf numFmtId="0" fontId="11" fillId="0" borderId="0" xfId="0" applyFont="1" applyAlignment="1">
      <alignment horizontal="center" vertical="center" readingOrder="1"/>
    </xf>
    <xf numFmtId="0" fontId="12" fillId="0" borderId="0" xfId="0" applyFont="1" applyAlignment="1">
      <alignment horizontal="center" vertical="center" readingOrder="1"/>
    </xf>
  </cellXfs>
  <cellStyles count="3">
    <cellStyle name="20% - Accent5" xfId="2" builtinId="46"/>
    <cellStyle name="Accent1" xfId="1" builtinId="29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[maha@project.xlsx]Data_Analysis!PivotTable7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RFM</a:t>
            </a:r>
            <a:r>
              <a:rPr lang="en-US" baseline="0"/>
              <a:t> Segment Destribution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Data_Analysis!$A$4:$A$10</c:f>
              <c:strCache>
                <c:ptCount val="6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Loyal Customers</c:v>
                </c:pt>
                <c:pt idx="4">
                  <c:v>Potential Loyalist</c:v>
                </c:pt>
                <c:pt idx="5">
                  <c:v>(blank)</c:v>
                </c:pt>
              </c:strCache>
            </c:strRef>
          </c:cat>
          <c:val>
            <c:numRef>
              <c:f>Data_Analysis!$B$4:$B$10</c:f>
              <c:numCache>
                <c:formatCode>General</c:formatCode>
                <c:ptCount val="6"/>
                <c:pt idx="0">
                  <c:v>35</c:v>
                </c:pt>
                <c:pt idx="1">
                  <c:v>21</c:v>
                </c:pt>
                <c:pt idx="2">
                  <c:v>9</c:v>
                </c:pt>
                <c:pt idx="3">
                  <c:v>49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A-4133-AF7F-931FD55755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8562944"/>
        <c:axId val="138581120"/>
      </c:barChart>
      <c:catAx>
        <c:axId val="1385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1120"/>
        <c:crosses val="autoZero"/>
        <c:auto val="1"/>
        <c:lblAlgn val="ctr"/>
        <c:lblOffset val="100"/>
        <c:noMultiLvlLbl val="0"/>
      </c:catAx>
      <c:valAx>
        <c:axId val="1385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Count by RFM  Segment </a:t>
            </a:r>
            <a:endParaRPr lang="en-IN"/>
          </a:p>
        </c:rich>
      </c:tx>
      <c:layout>
        <c:manualLayout>
          <c:xMode val="edge"/>
          <c:yMode val="edge"/>
          <c:x val="0.20250553169619309"/>
          <c:y val="5.4901963609796912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At Risk</c:v>
              </c:pt>
              <c:pt idx="1">
                <c:v>Champions</c:v>
              </c:pt>
              <c:pt idx="2">
                <c:v>Lost</c:v>
              </c:pt>
              <c:pt idx="3">
                <c:v>Loyal Customers</c:v>
              </c:pt>
              <c:pt idx="4">
                <c:v>Potential Loyalist</c:v>
              </c:pt>
            </c:strLit>
          </c:cat>
          <c:val>
            <c:numLit>
              <c:formatCode>General</c:formatCode>
              <c:ptCount val="5"/>
              <c:pt idx="0">
                <c:v>35</c:v>
              </c:pt>
              <c:pt idx="1">
                <c:v>21</c:v>
              </c:pt>
              <c:pt idx="2">
                <c:v>9</c:v>
              </c:pt>
              <c:pt idx="3">
                <c:v>49</c:v>
              </c:pt>
              <c:pt idx="4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0-862E-41E7-96C3-A8F47C47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48960"/>
        <c:axId val="138671232"/>
      </c:barChart>
      <c:catAx>
        <c:axId val="13864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1232"/>
        <c:crosses val="autoZero"/>
        <c:auto val="1"/>
        <c:lblAlgn val="ctr"/>
        <c:lblOffset val="100"/>
        <c:noMultiLvlLbl val="0"/>
      </c:catAx>
      <c:valAx>
        <c:axId val="13867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1"/>
              <c:pt idx="0">
                <c:v>2023 Jan</c:v>
              </c:pt>
              <c:pt idx="1">
                <c:v>2023 Feb</c:v>
              </c:pt>
              <c:pt idx="2">
                <c:v>2023 Mar</c:v>
              </c:pt>
              <c:pt idx="3">
                <c:v>2023 Apr</c:v>
              </c:pt>
              <c:pt idx="4">
                <c:v>2023 May</c:v>
              </c:pt>
              <c:pt idx="5">
                <c:v>2023 Jun</c:v>
              </c:pt>
              <c:pt idx="6">
                <c:v>2023 Jul</c:v>
              </c:pt>
              <c:pt idx="7">
                <c:v>2023 Aug</c:v>
              </c:pt>
              <c:pt idx="8">
                <c:v>2023 Sep</c:v>
              </c:pt>
              <c:pt idx="9">
                <c:v>2023 Oct</c:v>
              </c:pt>
              <c:pt idx="10">
                <c:v>2023 Nov</c:v>
              </c:pt>
              <c:pt idx="11">
                <c:v>2023 Dec</c:v>
              </c:pt>
              <c:pt idx="12">
                <c:v>2024 Jan</c:v>
              </c:pt>
              <c:pt idx="13">
                <c:v>2024 Feb</c:v>
              </c:pt>
              <c:pt idx="14">
                <c:v>2024 Mar</c:v>
              </c:pt>
              <c:pt idx="15">
                <c:v>2024 Apr</c:v>
              </c:pt>
              <c:pt idx="16">
                <c:v>2024 May</c:v>
              </c:pt>
              <c:pt idx="17">
                <c:v>2024 Jun</c:v>
              </c:pt>
              <c:pt idx="18">
                <c:v>2024 Jul</c:v>
              </c:pt>
              <c:pt idx="19">
                <c:v>2024 Aug</c:v>
              </c:pt>
              <c:pt idx="20">
                <c:v>2024 Sep</c:v>
              </c:pt>
              <c:pt idx="21">
                <c:v>2024 Oct</c:v>
              </c:pt>
              <c:pt idx="22">
                <c:v>2024 Nov</c:v>
              </c:pt>
              <c:pt idx="23">
                <c:v>2024 Dec</c:v>
              </c:pt>
              <c:pt idx="24">
                <c:v>2025 Jan</c:v>
              </c:pt>
              <c:pt idx="25">
                <c:v>2025 Feb</c:v>
              </c:pt>
              <c:pt idx="26">
                <c:v>2025 Mar</c:v>
              </c:pt>
              <c:pt idx="27">
                <c:v>2025 Apr</c:v>
              </c:pt>
              <c:pt idx="28">
                <c:v>2025 May</c:v>
              </c:pt>
              <c:pt idx="29">
                <c:v>2025 Jun</c:v>
              </c:pt>
              <c:pt idx="30">
                <c:v>2025 Jul</c:v>
              </c:pt>
            </c:strLit>
          </c:cat>
          <c:val>
            <c:numLit>
              <c:formatCode>General</c:formatCode>
              <c:ptCount val="31"/>
              <c:pt idx="0">
                <c:v>17102.09</c:v>
              </c:pt>
              <c:pt idx="1">
                <c:v>31424.77</c:v>
              </c:pt>
              <c:pt idx="2">
                <c:v>30456.429999999997</c:v>
              </c:pt>
              <c:pt idx="3">
                <c:v>41322.420000000006</c:v>
              </c:pt>
              <c:pt idx="4">
                <c:v>32680.800000000003</c:v>
              </c:pt>
              <c:pt idx="5">
                <c:v>30455.66</c:v>
              </c:pt>
              <c:pt idx="6">
                <c:v>36950.620000000003</c:v>
              </c:pt>
              <c:pt idx="7">
                <c:v>27418.500000000004</c:v>
              </c:pt>
              <c:pt idx="8">
                <c:v>25574.620000000003</c:v>
              </c:pt>
              <c:pt idx="9">
                <c:v>35858.560000000005</c:v>
              </c:pt>
              <c:pt idx="10">
                <c:v>24667.519999999993</c:v>
              </c:pt>
              <c:pt idx="11">
                <c:v>21165.79</c:v>
              </c:pt>
              <c:pt idx="12">
                <c:v>20383.71999999999</c:v>
              </c:pt>
              <c:pt idx="13">
                <c:v>19772.480000000003</c:v>
              </c:pt>
              <c:pt idx="14">
                <c:v>22459.45</c:v>
              </c:pt>
              <c:pt idx="15">
                <c:v>36783.180000000008</c:v>
              </c:pt>
              <c:pt idx="16">
                <c:v>30174.360000000004</c:v>
              </c:pt>
              <c:pt idx="17">
                <c:v>37113.630000000005</c:v>
              </c:pt>
              <c:pt idx="18">
                <c:v>23176.800000000007</c:v>
              </c:pt>
              <c:pt idx="19">
                <c:v>32941.219999999994</c:v>
              </c:pt>
              <c:pt idx="20">
                <c:v>18412.200000000004</c:v>
              </c:pt>
              <c:pt idx="21">
                <c:v>19649.190000000002</c:v>
              </c:pt>
              <c:pt idx="22">
                <c:v>33377.33</c:v>
              </c:pt>
              <c:pt idx="23">
                <c:v>12332.4</c:v>
              </c:pt>
              <c:pt idx="24">
                <c:v>28735.559999999994</c:v>
              </c:pt>
              <c:pt idx="25">
                <c:v>27269.850000000002</c:v>
              </c:pt>
              <c:pt idx="26">
                <c:v>11233.06</c:v>
              </c:pt>
              <c:pt idx="27">
                <c:v>27337.039999999994</c:v>
              </c:pt>
              <c:pt idx="28">
                <c:v>30727.729999999996</c:v>
              </c:pt>
              <c:pt idx="29">
                <c:v>28749.309999999994</c:v>
              </c:pt>
              <c:pt idx="30">
                <c:v>1506.74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005-45F4-9F46-2E2BE6A6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52768"/>
        <c:axId val="138754304"/>
      </c:lineChart>
      <c:catAx>
        <c:axId val="1387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4304"/>
        <c:crosses val="autoZero"/>
        <c:auto val="1"/>
        <c:lblAlgn val="ctr"/>
        <c:lblOffset val="100"/>
        <c:noMultiLvlLbl val="0"/>
      </c:catAx>
      <c:valAx>
        <c:axId val="1387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5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Bakery</c:v>
              </c:pt>
              <c:pt idx="1">
                <c:v>Beverages</c:v>
              </c:pt>
              <c:pt idx="2">
                <c:v>Dairy</c:v>
              </c:pt>
              <c:pt idx="3">
                <c:v>Fruits &amp; Vegetables</c:v>
              </c:pt>
              <c:pt idx="4">
                <c:v>Snacks</c:v>
              </c:pt>
              <c:pt idx="5">
                <c:v>Staples</c:v>
              </c:pt>
            </c:strLit>
          </c:cat>
          <c:val>
            <c:numLit>
              <c:formatCode>General</c:formatCode>
              <c:ptCount val="6"/>
              <c:pt idx="0">
                <c:v>142181.05999999991</c:v>
              </c:pt>
              <c:pt idx="1">
                <c:v>145495.56999999995</c:v>
              </c:pt>
              <c:pt idx="2">
                <c:v>126866.26000000001</c:v>
              </c:pt>
              <c:pt idx="3">
                <c:v>131070.93000000004</c:v>
              </c:pt>
              <c:pt idx="4">
                <c:v>137101.07999999999</c:v>
              </c:pt>
              <c:pt idx="5">
                <c:v>134498.13000000003</c:v>
              </c:pt>
            </c:numLit>
          </c:val>
          <c:extLst>
            <c:ext xmlns:c16="http://schemas.microsoft.com/office/drawing/2014/chart" uri="{C3380CC4-5D6E-409C-BE32-E72D297353CC}">
              <c16:uniqueId val="{00000000-4BCA-42EA-8B1E-D62D96890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59648"/>
        <c:axId val="138861184"/>
      </c:barChart>
      <c:catAx>
        <c:axId val="13885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1184"/>
        <c:crosses val="autoZero"/>
        <c:auto val="1"/>
        <c:lblAlgn val="ctr"/>
        <c:lblOffset val="100"/>
        <c:noMultiLvlLbl val="0"/>
      </c:catAx>
      <c:valAx>
        <c:axId val="1388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Monetary</a:t>
            </a:r>
            <a:r>
              <a:rPr lang="en-IN" baseline="0"/>
              <a:t> Value by RFM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At Risk</c:v>
              </c:pt>
              <c:pt idx="1">
                <c:v>Champions</c:v>
              </c:pt>
              <c:pt idx="2">
                <c:v>Lost</c:v>
              </c:pt>
              <c:pt idx="3">
                <c:v>Loyal Customers</c:v>
              </c:pt>
              <c:pt idx="4">
                <c:v>Potential Loyalist</c:v>
              </c:pt>
            </c:strLit>
          </c:cat>
          <c:val>
            <c:numLit>
              <c:formatCode>General</c:formatCode>
              <c:ptCount val="5"/>
              <c:pt idx="0">
                <c:v>91067.87000000001</c:v>
              </c:pt>
              <c:pt idx="1">
                <c:v>198368.57</c:v>
              </c:pt>
              <c:pt idx="2">
                <c:v>12753.869999999995</c:v>
              </c:pt>
              <c:pt idx="3">
                <c:v>355995.99000000005</c:v>
              </c:pt>
              <c:pt idx="4">
                <c:v>159026.73000000001</c:v>
              </c:pt>
            </c:numLit>
          </c:val>
          <c:extLst>
            <c:ext xmlns:c16="http://schemas.microsoft.com/office/drawing/2014/chart" uri="{C3380CC4-5D6E-409C-BE32-E72D297353CC}">
              <c16:uniqueId val="{00000000-A77E-4522-B5BA-90F6E76A3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58720"/>
        <c:axId val="138960256"/>
      </c:barChart>
      <c:catAx>
        <c:axId val="1389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0256"/>
        <c:crosses val="autoZero"/>
        <c:auto val="1"/>
        <c:lblAlgn val="ctr"/>
        <c:lblOffset val="100"/>
        <c:noMultiLvlLbl val="0"/>
      </c:catAx>
      <c:valAx>
        <c:axId val="1389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Customer by Monetary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0"/>
              <c:pt idx="0">
                <c:v>CUST0001</c:v>
              </c:pt>
              <c:pt idx="1">
                <c:v>CUST0002</c:v>
              </c:pt>
              <c:pt idx="2">
                <c:v>CUST0003</c:v>
              </c:pt>
              <c:pt idx="3">
                <c:v>CUST0004</c:v>
              </c:pt>
              <c:pt idx="4">
                <c:v>CUST0005</c:v>
              </c:pt>
              <c:pt idx="5">
                <c:v>CUST0006</c:v>
              </c:pt>
              <c:pt idx="6">
                <c:v>CUST0007</c:v>
              </c:pt>
              <c:pt idx="7">
                <c:v>CUST0008</c:v>
              </c:pt>
              <c:pt idx="8">
                <c:v>CUST0009</c:v>
              </c:pt>
              <c:pt idx="9">
                <c:v>CUST0010</c:v>
              </c:pt>
              <c:pt idx="10">
                <c:v>CUST0011</c:v>
              </c:pt>
              <c:pt idx="11">
                <c:v>CUST0012</c:v>
              </c:pt>
              <c:pt idx="12">
                <c:v>CUST0013</c:v>
              </c:pt>
              <c:pt idx="13">
                <c:v>CUST0014</c:v>
              </c:pt>
              <c:pt idx="14">
                <c:v>CUST0015</c:v>
              </c:pt>
              <c:pt idx="15">
                <c:v>CUST0016</c:v>
              </c:pt>
              <c:pt idx="16">
                <c:v>CUST0017</c:v>
              </c:pt>
              <c:pt idx="17">
                <c:v>CUST0018</c:v>
              </c:pt>
              <c:pt idx="18">
                <c:v>CUST0019</c:v>
              </c:pt>
              <c:pt idx="19">
                <c:v>CUST0020</c:v>
              </c:pt>
              <c:pt idx="20">
                <c:v>CUST0021</c:v>
              </c:pt>
              <c:pt idx="21">
                <c:v>CUST0022</c:v>
              </c:pt>
              <c:pt idx="22">
                <c:v>CUST0023</c:v>
              </c:pt>
              <c:pt idx="23">
                <c:v>CUST0024</c:v>
              </c:pt>
              <c:pt idx="24">
                <c:v>CUST0025</c:v>
              </c:pt>
              <c:pt idx="25">
                <c:v>CUST0026</c:v>
              </c:pt>
              <c:pt idx="26">
                <c:v>CUST0027</c:v>
              </c:pt>
              <c:pt idx="27">
                <c:v>CUST0028</c:v>
              </c:pt>
              <c:pt idx="28">
                <c:v>CUST0029</c:v>
              </c:pt>
              <c:pt idx="29">
                <c:v>CUST0030</c:v>
              </c:pt>
              <c:pt idx="30">
                <c:v>CUST0031</c:v>
              </c:pt>
              <c:pt idx="31">
                <c:v>CUST0032</c:v>
              </c:pt>
              <c:pt idx="32">
                <c:v>CUST0033</c:v>
              </c:pt>
              <c:pt idx="33">
                <c:v>CUST0034</c:v>
              </c:pt>
              <c:pt idx="34">
                <c:v>CUST0035</c:v>
              </c:pt>
              <c:pt idx="35">
                <c:v>CUST0036</c:v>
              </c:pt>
              <c:pt idx="36">
                <c:v>CUST0037</c:v>
              </c:pt>
              <c:pt idx="37">
                <c:v>CUST0038</c:v>
              </c:pt>
              <c:pt idx="38">
                <c:v>CUST0039</c:v>
              </c:pt>
              <c:pt idx="39">
                <c:v>CUST0040</c:v>
              </c:pt>
              <c:pt idx="40">
                <c:v>CUST0041</c:v>
              </c:pt>
              <c:pt idx="41">
                <c:v>CUST0042</c:v>
              </c:pt>
              <c:pt idx="42">
                <c:v>CUST0043</c:v>
              </c:pt>
              <c:pt idx="43">
                <c:v>CUST0044</c:v>
              </c:pt>
              <c:pt idx="44">
                <c:v>CUST0045</c:v>
              </c:pt>
              <c:pt idx="45">
                <c:v>CUST0046</c:v>
              </c:pt>
              <c:pt idx="46">
                <c:v>CUST0047</c:v>
              </c:pt>
              <c:pt idx="47">
                <c:v>CUST0048</c:v>
              </c:pt>
              <c:pt idx="48">
                <c:v>CUST0049</c:v>
              </c:pt>
              <c:pt idx="49">
                <c:v>CUST0050</c:v>
              </c:pt>
              <c:pt idx="50">
                <c:v>CUST0051</c:v>
              </c:pt>
              <c:pt idx="51">
                <c:v>CUST0052</c:v>
              </c:pt>
              <c:pt idx="52">
                <c:v>CUST0053</c:v>
              </c:pt>
              <c:pt idx="53">
                <c:v>CUST0054</c:v>
              </c:pt>
              <c:pt idx="54">
                <c:v>CUST0055</c:v>
              </c:pt>
              <c:pt idx="55">
                <c:v>CUST0056</c:v>
              </c:pt>
              <c:pt idx="56">
                <c:v>CUST0057</c:v>
              </c:pt>
              <c:pt idx="57">
                <c:v>CUST0058</c:v>
              </c:pt>
              <c:pt idx="58">
                <c:v>CUST0059</c:v>
              </c:pt>
              <c:pt idx="59">
                <c:v>CUST0060</c:v>
              </c:pt>
              <c:pt idx="60">
                <c:v>CUST0061</c:v>
              </c:pt>
              <c:pt idx="61">
                <c:v>CUST0062</c:v>
              </c:pt>
              <c:pt idx="62">
                <c:v>CUST0063</c:v>
              </c:pt>
              <c:pt idx="63">
                <c:v>CUST0064</c:v>
              </c:pt>
              <c:pt idx="64">
                <c:v>CUST0065</c:v>
              </c:pt>
              <c:pt idx="65">
                <c:v>CUST0066</c:v>
              </c:pt>
              <c:pt idx="66">
                <c:v>CUST0067</c:v>
              </c:pt>
              <c:pt idx="67">
                <c:v>CUST0068</c:v>
              </c:pt>
              <c:pt idx="68">
                <c:v>CUST0069</c:v>
              </c:pt>
              <c:pt idx="69">
                <c:v>CUST0070</c:v>
              </c:pt>
              <c:pt idx="70">
                <c:v>CUST0071</c:v>
              </c:pt>
              <c:pt idx="71">
                <c:v>CUST0072</c:v>
              </c:pt>
              <c:pt idx="72">
                <c:v>CUST0073</c:v>
              </c:pt>
              <c:pt idx="73">
                <c:v>CUST0074</c:v>
              </c:pt>
              <c:pt idx="74">
                <c:v>CUST0075</c:v>
              </c:pt>
              <c:pt idx="75">
                <c:v>CUST0076</c:v>
              </c:pt>
              <c:pt idx="76">
                <c:v>CUST0077</c:v>
              </c:pt>
              <c:pt idx="77">
                <c:v>CUST0078</c:v>
              </c:pt>
              <c:pt idx="78">
                <c:v>CUST0079</c:v>
              </c:pt>
              <c:pt idx="79">
                <c:v>CUST0080</c:v>
              </c:pt>
              <c:pt idx="80">
                <c:v>CUST0081</c:v>
              </c:pt>
              <c:pt idx="81">
                <c:v>CUST0082</c:v>
              </c:pt>
              <c:pt idx="82">
                <c:v>CUST0083</c:v>
              </c:pt>
              <c:pt idx="83">
                <c:v>CUST0084</c:v>
              </c:pt>
              <c:pt idx="84">
                <c:v>CUST0085</c:v>
              </c:pt>
              <c:pt idx="85">
                <c:v>CUST0086</c:v>
              </c:pt>
              <c:pt idx="86">
                <c:v>CUST0087</c:v>
              </c:pt>
              <c:pt idx="87">
                <c:v>CUST0088</c:v>
              </c:pt>
              <c:pt idx="88">
                <c:v>CUST0089</c:v>
              </c:pt>
              <c:pt idx="89">
                <c:v>CUST0090</c:v>
              </c:pt>
              <c:pt idx="90">
                <c:v>CUST0091</c:v>
              </c:pt>
              <c:pt idx="91">
                <c:v>CUST0092</c:v>
              </c:pt>
              <c:pt idx="92">
                <c:v>CUST0093</c:v>
              </c:pt>
              <c:pt idx="93">
                <c:v>CUST0094</c:v>
              </c:pt>
              <c:pt idx="94">
                <c:v>CUST0095</c:v>
              </c:pt>
              <c:pt idx="95">
                <c:v>CUST0096</c:v>
              </c:pt>
              <c:pt idx="96">
                <c:v>CUST0097</c:v>
              </c:pt>
              <c:pt idx="97">
                <c:v>CUST0098</c:v>
              </c:pt>
              <c:pt idx="98">
                <c:v>CUST0099</c:v>
              </c:pt>
              <c:pt idx="99">
                <c:v>CUST0100</c:v>
              </c:pt>
              <c:pt idx="100">
                <c:v>CUST0101</c:v>
              </c:pt>
              <c:pt idx="101">
                <c:v>CUST0102</c:v>
              </c:pt>
              <c:pt idx="102">
                <c:v>CUST0103</c:v>
              </c:pt>
              <c:pt idx="103">
                <c:v>CUST0104</c:v>
              </c:pt>
              <c:pt idx="104">
                <c:v>CUST0105</c:v>
              </c:pt>
              <c:pt idx="105">
                <c:v>CUST0106</c:v>
              </c:pt>
              <c:pt idx="106">
                <c:v>CUST0107</c:v>
              </c:pt>
              <c:pt idx="107">
                <c:v>CUST0108</c:v>
              </c:pt>
              <c:pt idx="108">
                <c:v>CUST0109</c:v>
              </c:pt>
              <c:pt idx="109">
                <c:v>CUST0110</c:v>
              </c:pt>
              <c:pt idx="110">
                <c:v>CUST0111</c:v>
              </c:pt>
              <c:pt idx="111">
                <c:v>CUST0112</c:v>
              </c:pt>
              <c:pt idx="112">
                <c:v>CUST0113</c:v>
              </c:pt>
              <c:pt idx="113">
                <c:v>CUST0114</c:v>
              </c:pt>
              <c:pt idx="114">
                <c:v>CUST0115</c:v>
              </c:pt>
              <c:pt idx="115">
                <c:v>CUST0116</c:v>
              </c:pt>
              <c:pt idx="116">
                <c:v>CUST0117</c:v>
              </c:pt>
              <c:pt idx="117">
                <c:v>CUST0118</c:v>
              </c:pt>
              <c:pt idx="118">
                <c:v>CUST0119</c:v>
              </c:pt>
              <c:pt idx="119">
                <c:v>CUST0120</c:v>
              </c:pt>
              <c:pt idx="120">
                <c:v>CUST0121</c:v>
              </c:pt>
              <c:pt idx="121">
                <c:v>CUST0122</c:v>
              </c:pt>
              <c:pt idx="122">
                <c:v>CUST0123</c:v>
              </c:pt>
              <c:pt idx="123">
                <c:v>CUST0124</c:v>
              </c:pt>
              <c:pt idx="124">
                <c:v>CUST0125</c:v>
              </c:pt>
              <c:pt idx="125">
                <c:v>CUST0126</c:v>
              </c:pt>
              <c:pt idx="126">
                <c:v>CUST0127</c:v>
              </c:pt>
              <c:pt idx="127">
                <c:v>CUST0128</c:v>
              </c:pt>
              <c:pt idx="128">
                <c:v>CUST0129</c:v>
              </c:pt>
              <c:pt idx="129">
                <c:v>CUST0130</c:v>
              </c:pt>
              <c:pt idx="130">
                <c:v>CUST0131</c:v>
              </c:pt>
              <c:pt idx="131">
                <c:v>CUST0132</c:v>
              </c:pt>
              <c:pt idx="132">
                <c:v>CUST0133</c:v>
              </c:pt>
              <c:pt idx="133">
                <c:v>CUST0134</c:v>
              </c:pt>
              <c:pt idx="134">
                <c:v>CUST0135</c:v>
              </c:pt>
              <c:pt idx="135">
                <c:v>CUST0136</c:v>
              </c:pt>
              <c:pt idx="136">
                <c:v>CUST0137</c:v>
              </c:pt>
              <c:pt idx="137">
                <c:v>CUST0138</c:v>
              </c:pt>
              <c:pt idx="138">
                <c:v>CUST0139</c:v>
              </c:pt>
              <c:pt idx="139">
                <c:v>CUST0140</c:v>
              </c:pt>
              <c:pt idx="140">
                <c:v>CUST0141</c:v>
              </c:pt>
              <c:pt idx="141">
                <c:v>CUST0142</c:v>
              </c:pt>
              <c:pt idx="142">
                <c:v>CUST0143</c:v>
              </c:pt>
              <c:pt idx="143">
                <c:v>CUST0144</c:v>
              </c:pt>
              <c:pt idx="144">
                <c:v>CUST0145</c:v>
              </c:pt>
              <c:pt idx="145">
                <c:v>CUST0146</c:v>
              </c:pt>
              <c:pt idx="146">
                <c:v>CUST0147</c:v>
              </c:pt>
              <c:pt idx="147">
                <c:v>CUST0148</c:v>
              </c:pt>
              <c:pt idx="148">
                <c:v>CUST0149</c:v>
              </c:pt>
              <c:pt idx="149">
                <c:v>CUST0150</c:v>
              </c:pt>
            </c:strLit>
          </c:cat>
          <c:val>
            <c:numLit>
              <c:formatCode>General</c:formatCode>
              <c:ptCount val="150"/>
              <c:pt idx="0">
                <c:v>5651.6600000000008</c:v>
              </c:pt>
              <c:pt idx="1">
                <c:v>8351.2099999999973</c:v>
              </c:pt>
              <c:pt idx="2">
                <c:v>11255.27</c:v>
              </c:pt>
              <c:pt idx="3">
                <c:v>6544.8799999999992</c:v>
              </c:pt>
              <c:pt idx="4">
                <c:v>3377.92</c:v>
              </c:pt>
              <c:pt idx="5">
                <c:v>5757.49</c:v>
              </c:pt>
              <c:pt idx="6">
                <c:v>3559.63</c:v>
              </c:pt>
              <c:pt idx="7">
                <c:v>4272.28</c:v>
              </c:pt>
              <c:pt idx="8">
                <c:v>5963.8600000000006</c:v>
              </c:pt>
              <c:pt idx="9">
                <c:v>11387.96</c:v>
              </c:pt>
              <c:pt idx="10">
                <c:v>1920.29</c:v>
              </c:pt>
              <c:pt idx="11">
                <c:v>7823.8200000000015</c:v>
              </c:pt>
              <c:pt idx="12">
                <c:v>4971.7300000000005</c:v>
              </c:pt>
              <c:pt idx="13">
                <c:v>5685.45</c:v>
              </c:pt>
              <c:pt idx="14">
                <c:v>4357.67</c:v>
              </c:pt>
              <c:pt idx="15">
                <c:v>3697.8500000000004</c:v>
              </c:pt>
              <c:pt idx="16">
                <c:v>6907.6600000000008</c:v>
              </c:pt>
              <c:pt idx="17">
                <c:v>6191.28</c:v>
              </c:pt>
              <c:pt idx="18">
                <c:v>3644.8</c:v>
              </c:pt>
              <c:pt idx="19">
                <c:v>9432.81</c:v>
              </c:pt>
              <c:pt idx="20">
                <c:v>1059.4100000000001</c:v>
              </c:pt>
              <c:pt idx="21">
                <c:v>7912.8600000000015</c:v>
              </c:pt>
              <c:pt idx="22">
                <c:v>7485.25</c:v>
              </c:pt>
              <c:pt idx="23">
                <c:v>4336.45</c:v>
              </c:pt>
              <c:pt idx="24">
                <c:v>6858.8700000000008</c:v>
              </c:pt>
              <c:pt idx="25">
                <c:v>1434.12</c:v>
              </c:pt>
              <c:pt idx="26">
                <c:v>7603.57</c:v>
              </c:pt>
              <c:pt idx="27">
                <c:v>4506.84</c:v>
              </c:pt>
              <c:pt idx="28">
                <c:v>6224.4699999999993</c:v>
              </c:pt>
              <c:pt idx="29">
                <c:v>14930.059999999994</c:v>
              </c:pt>
              <c:pt idx="30">
                <c:v>13630.140000000003</c:v>
              </c:pt>
              <c:pt idx="31">
                <c:v>2025.93</c:v>
              </c:pt>
              <c:pt idx="32">
                <c:v>8206.3499999999985</c:v>
              </c:pt>
              <c:pt idx="33">
                <c:v>10559.57</c:v>
              </c:pt>
              <c:pt idx="34">
                <c:v>7405.8400000000011</c:v>
              </c:pt>
              <c:pt idx="35">
                <c:v>2419.0700000000002</c:v>
              </c:pt>
              <c:pt idx="36">
                <c:v>6728.83</c:v>
              </c:pt>
              <c:pt idx="37">
                <c:v>2475.8500000000004</c:v>
              </c:pt>
              <c:pt idx="38">
                <c:v>4747.59</c:v>
              </c:pt>
              <c:pt idx="39">
                <c:v>10037.140000000001</c:v>
              </c:pt>
              <c:pt idx="40">
                <c:v>7267.7700000000013</c:v>
              </c:pt>
              <c:pt idx="41">
                <c:v>7733.8600000000006</c:v>
              </c:pt>
              <c:pt idx="42">
                <c:v>7232.0500000000011</c:v>
              </c:pt>
              <c:pt idx="43">
                <c:v>4997.4500000000007</c:v>
              </c:pt>
              <c:pt idx="44">
                <c:v>688.32999999999981</c:v>
              </c:pt>
              <c:pt idx="45">
                <c:v>6686.31</c:v>
              </c:pt>
              <c:pt idx="46">
                <c:v>1823.96</c:v>
              </c:pt>
              <c:pt idx="47">
                <c:v>4633.1200000000017</c:v>
              </c:pt>
              <c:pt idx="48">
                <c:v>7202.21</c:v>
              </c:pt>
              <c:pt idx="49">
                <c:v>1267.81</c:v>
              </c:pt>
              <c:pt idx="50">
                <c:v>4492.2699999999995</c:v>
              </c:pt>
              <c:pt idx="51">
                <c:v>1400.1299999999999</c:v>
              </c:pt>
              <c:pt idx="52">
                <c:v>7740.75</c:v>
              </c:pt>
              <c:pt idx="53">
                <c:v>2996.25</c:v>
              </c:pt>
              <c:pt idx="54">
                <c:v>14378.39</c:v>
              </c:pt>
              <c:pt idx="55">
                <c:v>3526.4700000000003</c:v>
              </c:pt>
              <c:pt idx="56">
                <c:v>1308.8599999999999</c:v>
              </c:pt>
              <c:pt idx="57">
                <c:v>9201.16</c:v>
              </c:pt>
              <c:pt idx="58">
                <c:v>1071.4100000000001</c:v>
              </c:pt>
              <c:pt idx="59">
                <c:v>8885.6</c:v>
              </c:pt>
              <c:pt idx="60">
                <c:v>10156.509999999995</c:v>
              </c:pt>
              <c:pt idx="61">
                <c:v>844.74</c:v>
              </c:pt>
              <c:pt idx="62">
                <c:v>11151.68</c:v>
              </c:pt>
              <c:pt idx="63">
                <c:v>3596.12</c:v>
              </c:pt>
              <c:pt idx="64">
                <c:v>6579.18</c:v>
              </c:pt>
              <c:pt idx="65">
                <c:v>8070.3700000000008</c:v>
              </c:pt>
              <c:pt idx="66">
                <c:v>3032.65</c:v>
              </c:pt>
              <c:pt idx="67">
                <c:v>7236.35</c:v>
              </c:pt>
              <c:pt idx="68">
                <c:v>8787.27</c:v>
              </c:pt>
              <c:pt idx="69">
                <c:v>9705.1400000000012</c:v>
              </c:pt>
              <c:pt idx="70">
                <c:v>4270.95</c:v>
              </c:pt>
              <c:pt idx="71">
                <c:v>1130.1599999999999</c:v>
              </c:pt>
              <c:pt idx="72">
                <c:v>6147.99</c:v>
              </c:pt>
              <c:pt idx="73">
                <c:v>7210.41</c:v>
              </c:pt>
              <c:pt idx="74">
                <c:v>5461.92</c:v>
              </c:pt>
              <c:pt idx="75">
                <c:v>1847.44</c:v>
              </c:pt>
              <c:pt idx="76">
                <c:v>6175.26</c:v>
              </c:pt>
              <c:pt idx="77">
                <c:v>5588.59</c:v>
              </c:pt>
              <c:pt idx="78">
                <c:v>11583.599999999997</c:v>
              </c:pt>
              <c:pt idx="79">
                <c:v>5392.9699999999993</c:v>
              </c:pt>
              <c:pt idx="80">
                <c:v>6459.8899999999994</c:v>
              </c:pt>
              <c:pt idx="81">
                <c:v>1129.1899999999998</c:v>
              </c:pt>
              <c:pt idx="82">
                <c:v>1392.82</c:v>
              </c:pt>
              <c:pt idx="83">
                <c:v>6183.74</c:v>
              </c:pt>
              <c:pt idx="84">
                <c:v>13439.130000000003</c:v>
              </c:pt>
              <c:pt idx="85">
                <c:v>6247.9400000000005</c:v>
              </c:pt>
              <c:pt idx="86">
                <c:v>360.83</c:v>
              </c:pt>
              <c:pt idx="87">
                <c:v>6742.73</c:v>
              </c:pt>
              <c:pt idx="88">
                <c:v>6949.22</c:v>
              </c:pt>
              <c:pt idx="89">
                <c:v>8553.76</c:v>
              </c:pt>
              <c:pt idx="90">
                <c:v>7886.39</c:v>
              </c:pt>
              <c:pt idx="91">
                <c:v>9124.8599999999933</c:v>
              </c:pt>
              <c:pt idx="92">
                <c:v>6311.3200000000006</c:v>
              </c:pt>
              <c:pt idx="93">
                <c:v>2578.8700000000003</c:v>
              </c:pt>
              <c:pt idx="94">
                <c:v>8732.6199999999972</c:v>
              </c:pt>
              <c:pt idx="95">
                <c:v>3057.3</c:v>
              </c:pt>
              <c:pt idx="96">
                <c:v>4867.6400000000003</c:v>
              </c:pt>
              <c:pt idx="97">
                <c:v>1094.46</c:v>
              </c:pt>
              <c:pt idx="98">
                <c:v>5520.75</c:v>
              </c:pt>
              <c:pt idx="99">
                <c:v>1331.61</c:v>
              </c:pt>
              <c:pt idx="100">
                <c:v>6295.42</c:v>
              </c:pt>
              <c:pt idx="101">
                <c:v>1534.4</c:v>
              </c:pt>
              <c:pt idx="102">
                <c:v>8250.19</c:v>
              </c:pt>
              <c:pt idx="103">
                <c:v>6445.06</c:v>
              </c:pt>
              <c:pt idx="104">
                <c:v>7787.03</c:v>
              </c:pt>
              <c:pt idx="105">
                <c:v>7235.67</c:v>
              </c:pt>
              <c:pt idx="106">
                <c:v>5652.73</c:v>
              </c:pt>
              <c:pt idx="107">
                <c:v>12328.689999999997</c:v>
              </c:pt>
              <c:pt idx="108">
                <c:v>11306.31</c:v>
              </c:pt>
              <c:pt idx="109">
                <c:v>6940.92</c:v>
              </c:pt>
              <c:pt idx="110">
                <c:v>1250.0899999999999</c:v>
              </c:pt>
              <c:pt idx="111">
                <c:v>5603.130000000001</c:v>
              </c:pt>
              <c:pt idx="112">
                <c:v>1569.52</c:v>
              </c:pt>
              <c:pt idx="113">
                <c:v>95.78</c:v>
              </c:pt>
              <c:pt idx="114">
                <c:v>1746.72</c:v>
              </c:pt>
              <c:pt idx="115">
                <c:v>8052.7699999999995</c:v>
              </c:pt>
              <c:pt idx="116">
                <c:v>5271.28</c:v>
              </c:pt>
              <c:pt idx="117">
                <c:v>7471.6</c:v>
              </c:pt>
              <c:pt idx="118">
                <c:v>3078.42</c:v>
              </c:pt>
              <c:pt idx="119">
                <c:v>2955.5199999999995</c:v>
              </c:pt>
              <c:pt idx="120">
                <c:v>4594.3500000000013</c:v>
              </c:pt>
              <c:pt idx="121">
                <c:v>5476.2</c:v>
              </c:pt>
              <c:pt idx="122">
                <c:v>1171.29</c:v>
              </c:pt>
              <c:pt idx="123">
                <c:v>5087.8</c:v>
              </c:pt>
              <c:pt idx="124">
                <c:v>5199.3900000000003</c:v>
              </c:pt>
              <c:pt idx="125">
                <c:v>990.54</c:v>
              </c:pt>
              <c:pt idx="126">
                <c:v>2298.1299999999997</c:v>
              </c:pt>
              <c:pt idx="127">
                <c:v>1202.22</c:v>
              </c:pt>
              <c:pt idx="128">
                <c:v>3633.34</c:v>
              </c:pt>
              <c:pt idx="129">
                <c:v>7032.68</c:v>
              </c:pt>
              <c:pt idx="130">
                <c:v>2625.2</c:v>
              </c:pt>
              <c:pt idx="131">
                <c:v>3513.96</c:v>
              </c:pt>
              <c:pt idx="132">
                <c:v>4103.0200000000013</c:v>
              </c:pt>
              <c:pt idx="133">
                <c:v>4400.4400000000005</c:v>
              </c:pt>
              <c:pt idx="134">
                <c:v>5029.5200000000013</c:v>
              </c:pt>
              <c:pt idx="135">
                <c:v>2773.3999999999996</c:v>
              </c:pt>
              <c:pt idx="136">
                <c:v>2477.13</c:v>
              </c:pt>
              <c:pt idx="137">
                <c:v>1607.1699999999998</c:v>
              </c:pt>
              <c:pt idx="138">
                <c:v>3093.63</c:v>
              </c:pt>
              <c:pt idx="139">
                <c:v>4533.9699999999993</c:v>
              </c:pt>
              <c:pt idx="140">
                <c:v>2893.9700000000007</c:v>
              </c:pt>
              <c:pt idx="141">
                <c:v>3671.29</c:v>
              </c:pt>
              <c:pt idx="142">
                <c:v>3799.77</c:v>
              </c:pt>
              <c:pt idx="143">
                <c:v>5711.71</c:v>
              </c:pt>
              <c:pt idx="144">
                <c:v>5132</c:v>
              </c:pt>
              <c:pt idx="145">
                <c:v>5520.01</c:v>
              </c:pt>
              <c:pt idx="146">
                <c:v>4274.57</c:v>
              </c:pt>
              <c:pt idx="147">
                <c:v>6790.13</c:v>
              </c:pt>
              <c:pt idx="148">
                <c:v>4469.4500000000007</c:v>
              </c:pt>
              <c:pt idx="149">
                <c:v>5423.2400000000007</c:v>
              </c:pt>
            </c:numLit>
          </c:val>
          <c:extLst>
            <c:ext xmlns:c16="http://schemas.microsoft.com/office/drawing/2014/chart" uri="{C3380CC4-5D6E-409C-BE32-E72D297353CC}">
              <c16:uniqueId val="{00000000-4380-433F-B9EF-95EB99BEE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94656"/>
        <c:axId val="139100544"/>
      </c:barChart>
      <c:catAx>
        <c:axId val="13909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0544"/>
        <c:crosses val="autoZero"/>
        <c:auto val="1"/>
        <c:lblAlgn val="ctr"/>
        <c:lblOffset val="100"/>
        <c:noMultiLvlLbl val="0"/>
      </c:catAx>
      <c:valAx>
        <c:axId val="13910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181792</xdr:rowOff>
    </xdr:from>
    <xdr:to>
      <xdr:col>7</xdr:col>
      <xdr:colOff>243840</xdr:colOff>
      <xdr:row>16</xdr:row>
      <xdr:rowOff>181792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CB04B-FDE1-43F3-AD04-5D3964FFA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21772</xdr:colOff>
      <xdr:row>19</xdr:row>
      <xdr:rowOff>28302</xdr:rowOff>
    </xdr:from>
    <xdr:to>
      <xdr:col>7</xdr:col>
      <xdr:colOff>265612</xdr:colOff>
      <xdr:row>34</xdr:row>
      <xdr:rowOff>28302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5DD2F-0918-4E9A-B8D8-0E0BD7DF8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32658</xdr:colOff>
      <xdr:row>36</xdr:row>
      <xdr:rowOff>32657</xdr:rowOff>
    </xdr:from>
    <xdr:to>
      <xdr:col>7</xdr:col>
      <xdr:colOff>276498</xdr:colOff>
      <xdr:row>51</xdr:row>
      <xdr:rowOff>32657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7CB292-18BE-499E-BC11-7BFC600BA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10886</xdr:colOff>
      <xdr:row>1</xdr:row>
      <xdr:rowOff>163287</xdr:rowOff>
    </xdr:from>
    <xdr:to>
      <xdr:col>18</xdr:col>
      <xdr:colOff>315686</xdr:colOff>
      <xdr:row>16</xdr:row>
      <xdr:rowOff>163287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C23D2F-4871-4F0F-ABB8-F546BEB3B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21771</xdr:colOff>
      <xdr:row>19</xdr:row>
      <xdr:rowOff>65314</xdr:rowOff>
    </xdr:from>
    <xdr:to>
      <xdr:col>18</xdr:col>
      <xdr:colOff>326571</xdr:colOff>
      <xdr:row>34</xdr:row>
      <xdr:rowOff>65314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94AA3D-5EFE-49FF-B012-309C8B36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21771</xdr:colOff>
      <xdr:row>36</xdr:row>
      <xdr:rowOff>32657</xdr:rowOff>
    </xdr:from>
    <xdr:to>
      <xdr:col>18</xdr:col>
      <xdr:colOff>326571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FE0D49-F09C-404B-BCEB-FF6EDD9A7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table%20_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table _overview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 lakshmi" refreshedDate="46288.791630208332" createdVersion="8" refreshedVersion="8" minRefreshableVersion="3" recordCount="616" xr:uid="{00000000-000A-0000-FFFF-FFFF00000000}">
  <cacheSource type="worksheet">
    <worksheetSource name="Table1"/>
  </cacheSource>
  <cacheFields count="25">
    <cacheField name="Customer ID" numFmtId="0">
      <sharedItems/>
    </cacheField>
    <cacheField name="Customer Name" numFmtId="0">
      <sharedItems/>
    </cacheField>
    <cacheField name="Last Name" numFmtId="0">
      <sharedItems/>
    </cacheField>
    <cacheField name="Date of Birth" numFmtId="164">
      <sharedItems containsSemiMixedTypes="0" containsNonDate="0" containsDate="1" containsString="0" minDate="1965-04-01T00:00:00" maxDate="2002-12-16T00:00:00"/>
    </cacheField>
    <cacheField name="Sales" numFmtId="4">
      <sharedItems containsSemiMixedTypes="0" containsString="0" containsNumber="1" minValue="35.74" maxValue="4487.3999999999996"/>
    </cacheField>
    <cacheField name="Year" numFmtId="0">
      <sharedItems containsSemiMixedTypes="0" containsString="0" containsNumber="1" containsInteger="1" minValue="2023" maxValue="2025"/>
    </cacheField>
    <cacheField name="Outlet Type" numFmtId="0">
      <sharedItems/>
    </cacheField>
    <cacheField name="City Type" numFmtId="0">
      <sharedItems/>
    </cacheField>
    <cacheField name="Category of Goods" numFmtId="0">
      <sharedItems count="6">
        <s v="Snacks"/>
        <s v="Bakery"/>
        <s v="Staples"/>
        <s v="Dairy"/>
        <s v="Fruits &amp; Vegetables"/>
        <s v="Beverages"/>
      </sharedItems>
    </cacheField>
    <cacheField name="Region" numFmtId="0">
      <sharedItems/>
    </cacheField>
    <cacheField name="Country" numFmtId="0">
      <sharedItems/>
    </cacheField>
    <cacheField name="Segment" numFmtId="0">
      <sharedItems/>
    </cacheField>
    <cacheField name="Sales Date" numFmtId="164">
      <sharedItems containsSemiMixedTypes="0" containsNonDate="0" containsDate="1" containsString="0" minDate="2023-01-02T00:00:00" maxDate="2025-07-02T00:00:00"/>
    </cacheField>
    <cacheField name="Order ID" numFmtId="0">
      <sharedItems/>
    </cacheField>
    <cacheField name="Order Date" numFmtId="164">
      <sharedItems containsSemiMixedTypes="0" containsNonDate="0" containsDate="1" containsString="0" minDate="2023-01-01T00:00:00" maxDate="2025-07-01T00:00:00"/>
    </cacheField>
    <cacheField name="Ship Date" numFmtId="164">
      <sharedItems containsSemiMixedTypes="0" containsNonDate="0" containsDate="1" containsString="0" minDate="2023-01-03T00:00:00" maxDate="2025-07-02T00:00:00"/>
    </cacheField>
    <cacheField name="Ship Mode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666" maxValue="999596"/>
    </cacheField>
    <cacheField name="Product ID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2"/>
    </cacheField>
    <cacheField name="Profit" numFmtId="4">
      <sharedItems containsSemiMixedTypes="0" containsString="0" containsNumber="1" minValue="4.46" maxValue="1285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 lakshmi" refreshedDate="46289.879547569442" createdVersion="8" refreshedVersion="8" minRefreshableVersion="3" recordCount="151" xr:uid="{00000000-000A-0000-FFFF-FFFF01000000}">
  <cacheSource type="worksheet">
    <worksheetSource ref="I1:I1048576" sheet="RFM"/>
  </cacheSource>
  <cacheFields count="1">
    <cacheField name="Segment" numFmtId="0">
      <sharedItems containsBlank="1" count="6">
        <s v="Potential Loyalist"/>
        <s v="Champions"/>
        <s v="Loyal Customers"/>
        <s v="At Risk"/>
        <s v="Lo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 lakshmi" refreshedDate="46290.783337037035" createdVersion="8" refreshedVersion="8" minRefreshableVersion="3" recordCount="150" xr:uid="{00000000-000A-0000-FFFF-FFFF02000000}">
  <cacheSource type="worksheet">
    <worksheetSource ref="A1:I151" sheet="RFM"/>
  </cacheSource>
  <cacheFields count="9">
    <cacheField name="CustomerID" numFmtId="0">
      <sharedItems count="150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</sharedItems>
    </cacheField>
    <cacheField name="Recency" numFmtId="0">
      <sharedItems containsSemiMixedTypes="0" containsString="0" containsNumber="1" containsInteger="1" minValue="452" maxValue="1339"/>
    </cacheField>
    <cacheField name="Frequency" numFmtId="0">
      <sharedItems containsSemiMixedTypes="0" containsString="0" containsNumber="1" containsInteger="1" minValue="1" maxValue="8"/>
    </cacheField>
    <cacheField name="Monetary" numFmtId="0">
      <sharedItems containsSemiMixedTypes="0" containsString="0" containsNumber="1" minValue="95.78" maxValue="14930.059999999998"/>
    </cacheField>
    <cacheField name="R Score" numFmtId="0">
      <sharedItems containsSemiMixedTypes="0" containsString="0" containsNumber="1" containsInteger="1" minValue="1" maxValue="5"/>
    </cacheField>
    <cacheField name="F Score" numFmtId="0">
      <sharedItems containsSemiMixedTypes="0" containsString="0" containsNumber="1" containsInteger="1" minValue="1" maxValue="5"/>
    </cacheField>
    <cacheField name="M Score" numFmtId="0">
      <sharedItems containsSemiMixedTypes="0" containsString="0" containsNumber="1" containsInteger="1" minValue="1" maxValue="5"/>
    </cacheField>
    <cacheField name="RFM Score" numFmtId="0">
      <sharedItems containsSemiMixedTypes="0" containsString="0" containsNumber="1" containsInteger="1" minValue="3" maxValue="15"/>
    </cacheField>
    <cacheField name="Segment" numFmtId="0">
      <sharedItems count="5">
        <s v="Potential Loyalist"/>
        <s v="Champions"/>
        <s v="Loyal Customers"/>
        <s v="At Risk"/>
        <s v="Lo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 lakshmi" refreshedDate="46290.793475694445" createdVersion="8" refreshedVersion="8" minRefreshableVersion="3" recordCount="616" xr:uid="{00000000-000A-0000-FFFF-FFFF03000000}">
  <cacheSource type="worksheet">
    <worksheetSource ref="A1:Y617" sheet="RAW_DATA"/>
  </cacheSource>
  <cacheFields count="27">
    <cacheField name="Customer ID" numFmtId="0">
      <sharedItems/>
    </cacheField>
    <cacheField name="Customer Name" numFmtId="0">
      <sharedItems/>
    </cacheField>
    <cacheField name="Last Name" numFmtId="0">
      <sharedItems/>
    </cacheField>
    <cacheField name="Date of Birth" numFmtId="14">
      <sharedItems containsSemiMixedTypes="0" containsNonDate="0" containsDate="1" containsString="0" minDate="1965-04-01T00:00:00" maxDate="2002-12-16T00:00:00"/>
    </cacheField>
    <cacheField name="Sales" numFmtId="0">
      <sharedItems containsSemiMixedTypes="0" containsString="0" containsNumber="1" minValue="35.74" maxValue="4487.3999999999996"/>
    </cacheField>
    <cacheField name="Year" numFmtId="0">
      <sharedItems containsSemiMixedTypes="0" containsString="0" containsNumber="1" containsInteger="1" minValue="2023" maxValue="2025"/>
    </cacheField>
    <cacheField name="Outlet Type" numFmtId="0">
      <sharedItems/>
    </cacheField>
    <cacheField name="City Type" numFmtId="0">
      <sharedItems/>
    </cacheField>
    <cacheField name="Category of Goods" numFmtId="0">
      <sharedItems/>
    </cacheField>
    <cacheField name="Region" numFmtId="0">
      <sharedItems/>
    </cacheField>
    <cacheField name="Country" numFmtId="0">
      <sharedItems/>
    </cacheField>
    <cacheField name="Segment" numFmtId="0">
      <sharedItems/>
    </cacheField>
    <cacheField name="Sales Date" numFmtId="14">
      <sharedItems containsSemiMixedTypes="0" containsNonDate="0" containsDate="1" containsString="0" minDate="2023-01-02T00:00:00" maxDate="2025-07-02T00:00:00" count="445">
        <d v="2023-10-11T00:00:00"/>
        <d v="2024-06-22T00:00:00"/>
        <d v="2024-08-27T00:00:00"/>
        <d v="2025-01-11T00:00:00"/>
        <d v="2025-02-20T00:00:00"/>
        <d v="2023-03-28T00:00:00"/>
        <d v="2023-04-17T00:00:00"/>
        <d v="2023-08-01T00:00:00"/>
        <d v="2023-08-08T00:00:00"/>
        <d v="2023-10-02T00:00:00"/>
        <d v="2024-10-05T00:00:00"/>
        <d v="2024-11-10T00:00:00"/>
        <d v="2023-02-26T00:00:00"/>
        <d v="2023-07-12T00:00:00"/>
        <d v="2024-01-09T00:00:00"/>
        <d v="2024-03-02T00:00:00"/>
        <d v="2024-04-19T00:00:00"/>
        <d v="2024-06-16T00:00:00"/>
        <d v="2023-02-16T00:00:00"/>
        <d v="2023-11-23T00:00:00"/>
        <d v="2024-05-02T00:00:00"/>
        <d v="2024-12-23T00:00:00"/>
        <d v="2025-02-02T00:00:00"/>
        <d v="2023-03-24T00:00:00"/>
        <d v="2023-06-26T00:00:00"/>
        <d v="2023-06-29T00:00:00"/>
        <d v="2023-07-04T00:00:00"/>
        <d v="2024-09-18T00:00:00"/>
        <d v="2023-02-06T00:00:00"/>
        <d v="2023-05-15T00:00:00"/>
        <d v="2024-01-11T00:00:00"/>
        <d v="2024-08-18T00:00:00"/>
        <d v="2025-01-20T00:00:00"/>
        <d v="2023-05-19T00:00:00"/>
        <d v="2024-07-05T00:00:00"/>
        <d v="2023-05-07T00:00:00"/>
        <d v="2023-07-15T00:00:00"/>
        <d v="2025-05-18T00:00:00"/>
        <d v="2023-01-19T00:00:00"/>
        <d v="2023-07-01T00:00:00"/>
        <d v="2023-09-30T00:00:00"/>
        <d v="2023-12-02T00:00:00"/>
        <d v="2024-08-30T00:00:00"/>
        <d v="2023-12-16T00:00:00"/>
        <d v="2024-02-13T00:00:00"/>
        <d v="2024-03-01T00:00:00"/>
        <d v="2024-03-03T00:00:00"/>
        <d v="2024-04-09T00:00:00"/>
        <d v="2025-04-29T00:00:00"/>
        <d v="2023-02-01T00:00:00"/>
        <d v="2024-10-13T00:00:00"/>
        <d v="2023-04-28T00:00:00"/>
        <d v="2023-10-18T00:00:00"/>
        <d v="2023-12-22T00:00:00"/>
        <d v="2024-03-17T00:00:00"/>
        <d v="2023-03-22T00:00:00"/>
        <d v="2024-02-12T00:00:00"/>
        <d v="2024-06-25T00:00:00"/>
        <d v="2025-06-10T00:00:00"/>
        <d v="2023-02-12T00:00:00"/>
        <d v="2023-03-01T00:00:00"/>
        <d v="2024-01-14T00:00:00"/>
        <d v="2025-05-01T00:00:00"/>
        <d v="2023-09-19T00:00:00"/>
        <d v="2024-11-04T00:00:00"/>
        <d v="2025-05-23T00:00:00"/>
        <d v="2023-09-02T00:00:00"/>
        <d v="2024-11-24T00:00:00"/>
        <d v="2025-01-06T00:00:00"/>
        <d v="2023-04-05T00:00:00"/>
        <d v="2023-06-01T00:00:00"/>
        <d v="2023-08-20T00:00:00"/>
        <d v="2024-03-26T00:00:00"/>
        <d v="2024-04-06T00:00:00"/>
        <d v="2025-04-20T00:00:00"/>
        <d v="2025-04-30T00:00:00"/>
        <d v="2023-04-20T00:00:00"/>
        <d v="2025-01-23T00:00:00"/>
        <d v="2025-02-14T00:00:00"/>
        <d v="2025-03-03T00:00:00"/>
        <d v="2023-02-28T00:00:00"/>
        <d v="2023-03-20T00:00:00"/>
        <d v="2023-10-09T00:00:00"/>
        <d v="2024-02-22T00:00:00"/>
        <d v="2024-10-15T00:00:00"/>
        <d v="2024-10-17T00:00:00"/>
        <d v="2024-11-22T00:00:00"/>
        <d v="2025-03-21T00:00:00"/>
        <d v="2024-04-23T00:00:00"/>
        <d v="2023-02-27T00:00:00"/>
        <d v="2023-05-09T00:00:00"/>
        <d v="2023-06-07T00:00:00"/>
        <d v="2023-06-20T00:00:00"/>
        <d v="2023-11-09T00:00:00"/>
        <d v="2024-06-14T00:00:00"/>
        <d v="2024-05-25T00:00:00"/>
        <d v="2024-05-26T00:00:00"/>
        <d v="2024-06-11T00:00:00"/>
        <d v="2025-06-19T00:00:00"/>
        <d v="2024-04-14T00:00:00"/>
        <d v="2024-05-04T00:00:00"/>
        <d v="2023-04-24T00:00:00"/>
        <d v="2023-07-17T00:00:00"/>
        <d v="2023-09-08T00:00:00"/>
        <d v="2024-08-11T00:00:00"/>
        <d v="2024-12-18T00:00:00"/>
        <d v="2023-04-14T00:00:00"/>
        <d v="2024-02-28T00:00:00"/>
        <d v="2023-02-07T00:00:00"/>
        <d v="2023-07-02T00:00:00"/>
        <d v="2025-05-08T00:00:00"/>
        <d v="2023-03-31T00:00:00"/>
        <d v="2024-02-16T00:00:00"/>
        <d v="2023-06-08T00:00:00"/>
        <d v="2024-01-19T00:00:00"/>
        <d v="2024-04-10T00:00:00"/>
        <d v="2024-09-14T00:00:00"/>
        <d v="2025-02-06T00:00:00"/>
        <d v="2023-01-05T00:00:00"/>
        <d v="2023-01-25T00:00:00"/>
        <d v="2023-11-02T00:00:00"/>
        <d v="2024-04-20T00:00:00"/>
        <d v="2025-01-09T00:00:00"/>
        <d v="2025-02-17T00:00:00"/>
        <d v="2025-05-04T00:00:00"/>
        <d v="2023-03-17T00:00:00"/>
        <d v="2024-09-09T00:00:00"/>
        <d v="2025-06-14T00:00:00"/>
        <d v="2023-09-24T00:00:00"/>
        <d v="2023-12-12T00:00:00"/>
        <d v="2024-12-05T00:00:00"/>
        <d v="2023-04-12T00:00:00"/>
        <d v="2023-06-04T00:00:00"/>
        <d v="2023-07-03T00:00:00"/>
        <d v="2023-07-18T00:00:00"/>
        <d v="2023-09-05T00:00:00"/>
        <d v="2024-06-23T00:00:00"/>
        <d v="2023-03-30T00:00:00"/>
        <d v="2023-07-10T00:00:00"/>
        <d v="2024-01-25T00:00:00"/>
        <d v="2024-03-20T00:00:00"/>
        <d v="2024-08-23T00:00:00"/>
        <d v="2024-11-11T00:00:00"/>
        <d v="2024-11-30T00:00:00"/>
        <d v="2023-05-23T00:00:00"/>
        <d v="2023-11-05T00:00:00"/>
        <d v="2023-11-28T00:00:00"/>
        <d v="2024-09-03T00:00:00"/>
        <d v="2024-09-13T00:00:00"/>
        <d v="2024-10-30T00:00:00"/>
        <d v="2023-08-19T00:00:00"/>
        <d v="2023-04-01T00:00:00"/>
        <d v="2023-04-19T00:00:00"/>
        <d v="2023-04-30T00:00:00"/>
        <d v="2023-11-03T00:00:00"/>
        <d v="2024-05-12T00:00:00"/>
        <d v="2025-01-17T00:00:00"/>
        <d v="2023-07-11T00:00:00"/>
        <d v="2024-05-16T00:00:00"/>
        <d v="2023-06-24T00:00:00"/>
        <d v="2024-08-07T00:00:00"/>
        <d v="2025-03-12T00:00:00"/>
        <d v="2023-10-03T00:00:00"/>
        <d v="2023-10-26T00:00:00"/>
        <d v="2023-11-01T00:00:00"/>
        <d v="2024-06-12T00:00:00"/>
        <d v="2024-08-10T00:00:00"/>
        <d v="2024-11-26T00:00:00"/>
        <d v="2025-04-15T00:00:00"/>
        <d v="2025-05-30T00:00:00"/>
        <d v="2023-01-02T00:00:00"/>
        <d v="2023-04-10T00:00:00"/>
        <d v="2023-08-09T00:00:00"/>
        <d v="2024-05-03T00:00:00"/>
        <d v="2024-12-25T00:00:00"/>
        <d v="2023-01-29T00:00:00"/>
        <d v="2023-08-02T00:00:00"/>
        <d v="2023-11-06T00:00:00"/>
        <d v="2024-11-09T00:00:00"/>
        <d v="2025-05-20T00:00:00"/>
        <d v="2025-05-19T00:00:00"/>
        <d v="2025-06-15T00:00:00"/>
        <d v="2023-06-21T00:00:00"/>
        <d v="2023-09-23T00:00:00"/>
        <d v="2025-01-10T00:00:00"/>
        <d v="2025-04-23T00:00:00"/>
        <d v="2023-10-05T00:00:00"/>
        <d v="2023-11-26T00:00:00"/>
        <d v="2025-01-07T00:00:00"/>
        <d v="2023-12-21T00:00:00"/>
        <d v="2024-10-16T00:00:00"/>
        <d v="2023-04-08T00:00:00"/>
        <d v="2024-02-08T00:00:00"/>
        <d v="2024-06-04T00:00:00"/>
        <d v="2024-08-17T00:00:00"/>
        <d v="2024-10-14T00:00:00"/>
        <d v="2025-04-22T00:00:00"/>
        <d v="2024-02-27T00:00:00"/>
        <d v="2024-07-19T00:00:00"/>
        <d v="2025-06-23T00:00:00"/>
        <d v="2023-04-15T00:00:00"/>
        <d v="2023-06-13T00:00:00"/>
        <d v="2023-08-31T00:00:00"/>
        <d v="2023-09-12T00:00:00"/>
        <d v="2024-07-30T00:00:00"/>
        <d v="2024-12-12T00:00:00"/>
        <d v="2024-12-26T00:00:00"/>
        <d v="2023-03-12T00:00:00"/>
        <d v="2024-12-10T00:00:00"/>
        <d v="2023-01-22T00:00:00"/>
        <d v="2023-03-18T00:00:00"/>
        <d v="2023-04-18T00:00:00"/>
        <d v="2023-09-28T00:00:00"/>
        <d v="2023-11-24T00:00:00"/>
        <d v="2023-08-23T00:00:00"/>
        <d v="2023-10-01T00:00:00"/>
        <d v="2023-02-13T00:00:00"/>
        <d v="2023-05-14T00:00:00"/>
        <d v="2023-07-20T00:00:00"/>
        <d v="2023-08-06T00:00:00"/>
        <d v="2024-03-09T00:00:00"/>
        <d v="2025-04-08T00:00:00"/>
        <d v="2024-01-20T00:00:00"/>
        <d v="2024-06-15T00:00:00"/>
        <d v="2025-04-21T00:00:00"/>
        <d v="2024-02-24T00:00:00"/>
        <d v="2024-10-31T00:00:00"/>
        <d v="2024-08-24T00:00:00"/>
        <d v="2025-04-25T00:00:00"/>
        <d v="2023-12-31T00:00:00"/>
        <d v="2023-05-06T00:00:00"/>
        <d v="2024-01-26T00:00:00"/>
        <d v="2024-05-30T00:00:00"/>
        <d v="2024-06-27T00:00:00"/>
        <d v="2025-06-08T00:00:00"/>
        <d v="2023-01-21T00:00:00"/>
        <d v="2023-06-18T00:00:00"/>
        <d v="2024-02-18T00:00:00"/>
        <d v="2025-04-12T00:00:00"/>
        <d v="2024-05-24T00:00:00"/>
        <d v="2024-07-17T00:00:00"/>
        <d v="2023-02-10T00:00:00"/>
        <d v="2024-01-04T00:00:00"/>
        <d v="2025-04-02T00:00:00"/>
        <d v="2024-01-30T00:00:00"/>
        <d v="2024-10-18T00:00:00"/>
        <d v="2024-11-23T00:00:00"/>
        <d v="2023-01-03T00:00:00"/>
        <d v="2023-04-07T00:00:00"/>
        <d v="2025-03-23T00:00:00"/>
        <d v="2025-04-26T00:00:00"/>
        <d v="2023-04-22T00:00:00"/>
        <d v="2023-12-13T00:00:00"/>
        <d v="2025-01-08T00:00:00"/>
        <d v="2025-02-16T00:00:00"/>
        <d v="2023-12-27T00:00:00"/>
        <d v="2023-02-04T00:00:00"/>
        <d v="2025-04-14T00:00:00"/>
        <d v="2024-09-23T00:00:00"/>
        <d v="2024-10-04T00:00:00"/>
        <d v="2025-05-15T00:00:00"/>
        <d v="2024-01-21T00:00:00"/>
        <d v="2024-04-03T00:00:00"/>
        <d v="2025-02-27T00:00:00"/>
        <d v="2025-04-03T00:00:00"/>
        <d v="2024-09-26T00:00:00"/>
        <d v="2025-05-06T00:00:00"/>
        <d v="2023-10-16T00:00:00"/>
        <d v="2025-04-27T00:00:00"/>
        <d v="2025-05-16T00:00:00"/>
        <d v="2025-05-31T00:00:00"/>
        <d v="2023-03-07T00:00:00"/>
        <d v="2023-08-28T00:00:00"/>
        <d v="2024-05-05T00:00:00"/>
        <d v="2023-08-11T00:00:00"/>
        <d v="2023-10-22T00:00:00"/>
        <d v="2024-04-08T00:00:00"/>
        <d v="2025-04-24T00:00:00"/>
        <d v="2025-02-23T00:00:00"/>
        <d v="2023-10-14T00:00:00"/>
        <d v="2024-01-10T00:00:00"/>
        <d v="2024-08-01T00:00:00"/>
        <d v="2024-09-20T00:00:00"/>
        <d v="2024-11-29T00:00:00"/>
        <d v="2023-06-12T00:00:00"/>
        <d v="2023-01-07T00:00:00"/>
        <d v="2023-09-25T00:00:00"/>
        <d v="2024-06-06T00:00:00"/>
        <d v="2024-08-12T00:00:00"/>
        <d v="2023-05-13T00:00:00"/>
        <d v="2024-08-15T00:00:00"/>
        <d v="2023-12-20T00:00:00"/>
        <d v="2024-01-13T00:00:00"/>
        <d v="2023-09-15T00:00:00"/>
        <d v="2024-07-29T00:00:00"/>
        <d v="2025-06-01T00:00:00"/>
        <d v="2023-03-26T00:00:00"/>
        <d v="2023-06-15T00:00:00"/>
        <d v="2023-08-22T00:00:00"/>
        <d v="2023-11-19T00:00:00"/>
        <d v="2023-05-21T00:00:00"/>
        <d v="2024-04-28T00:00:00"/>
        <d v="2024-07-03T00:00:00"/>
        <d v="2025-02-10T00:00:00"/>
        <d v="2023-09-13T00:00:00"/>
        <d v="2024-03-29T00:00:00"/>
        <d v="2025-01-27T00:00:00"/>
        <d v="2025-03-02T00:00:00"/>
        <d v="2023-09-14T00:00:00"/>
        <d v="2023-04-13T00:00:00"/>
        <d v="2023-07-28T00:00:00"/>
        <d v="2024-05-13T00:00:00"/>
        <d v="2023-12-04T00:00:00"/>
        <d v="2024-01-17T00:00:00"/>
        <d v="2024-10-10T00:00:00"/>
        <d v="2025-02-24T00:00:00"/>
        <d v="2023-02-21T00:00:00"/>
        <d v="2024-11-20T00:00:00"/>
        <d v="2023-06-03T00:00:00"/>
        <d v="2024-09-29T00:00:00"/>
        <d v="2025-05-02T00:00:00"/>
        <d v="2023-11-10T00:00:00"/>
        <d v="2024-06-28T00:00:00"/>
        <d v="2023-04-02T00:00:00"/>
        <d v="2023-05-22T00:00:00"/>
        <d v="2024-01-28T00:00:00"/>
        <d v="2024-06-18T00:00:00"/>
        <d v="2024-11-05T00:00:00"/>
        <d v="2025-01-18T00:00:00"/>
        <d v="2023-08-21T00:00:00"/>
        <d v="2024-08-31T00:00:00"/>
        <d v="2025-01-31T00:00:00"/>
        <d v="2023-11-30T00:00:00"/>
        <d v="2024-01-24T00:00:00"/>
        <d v="2024-06-08T00:00:00"/>
        <d v="2024-09-22T00:00:00"/>
        <d v="2024-03-06T00:00:00"/>
        <d v="2023-02-09T00:00:00"/>
        <d v="2023-04-06T00:00:00"/>
        <d v="2023-11-07T00:00:00"/>
        <d v="2023-01-27T00:00:00"/>
        <d v="2023-09-20T00:00:00"/>
        <d v="2024-12-09T00:00:00"/>
        <d v="2023-05-01T00:00:00"/>
        <d v="2025-06-04T00:00:00"/>
        <d v="2023-12-08T00:00:00"/>
        <d v="2024-04-24T00:00:00"/>
        <d v="2023-03-25T00:00:00"/>
        <d v="2024-11-18T00:00:00"/>
        <d v="2025-01-03T00:00:00"/>
        <d v="2025-04-11T00:00:00"/>
        <d v="2023-11-14T00:00:00"/>
        <d v="2024-04-02T00:00:00"/>
        <d v="2023-02-02T00:00:00"/>
        <d v="2023-08-29T00:00:00"/>
        <d v="2024-03-21T00:00:00"/>
        <d v="2024-12-20T00:00:00"/>
        <d v="2025-06-07T00:00:00"/>
        <d v="2023-09-09T00:00:00"/>
        <d v="2024-10-07T00:00:00"/>
        <d v="2025-01-30T00:00:00"/>
        <d v="2023-08-07T00:00:00"/>
        <d v="2024-08-16T00:00:00"/>
        <d v="2025-01-22T00:00:00"/>
        <d v="2025-05-14T00:00:00"/>
        <d v="2023-11-22T00:00:00"/>
        <d v="2024-12-08T00:00:00"/>
        <d v="2023-03-21T00:00:00"/>
        <d v="2023-02-05T00:00:00"/>
        <d v="2023-03-16T00:00:00"/>
        <d v="2023-11-12T00:00:00"/>
        <d v="2024-05-27T00:00:00"/>
        <d v="2024-06-30T00:00:00"/>
        <d v="2023-05-04T00:00:00"/>
        <d v="2024-11-28T00:00:00"/>
        <d v="2024-12-03T00:00:00"/>
        <d v="2025-01-29T00:00:00"/>
        <d v="2023-02-24T00:00:00"/>
        <d v="2023-10-13T00:00:00"/>
        <d v="2024-08-22T00:00:00"/>
        <d v="2025-07-01T00:00:00"/>
        <d v="2023-01-14T00:00:00"/>
        <d v="2024-12-11T00:00:00"/>
        <d v="2025-01-19T00:00:00"/>
        <d v="2024-01-15T00:00:00"/>
        <d v="2023-03-02T00:00:00"/>
        <d v="2023-10-12T00:00:00"/>
        <d v="2024-03-11T00:00:00"/>
        <d v="2024-06-02T00:00:00"/>
        <d v="2024-11-27T00:00:00"/>
        <d v="2024-09-25T00:00:00"/>
        <d v="2024-12-29T00:00:00"/>
        <d v="2025-05-27T00:00:00"/>
        <d v="2025-03-22T00:00:00"/>
        <d v="2023-02-19T00:00:00"/>
        <d v="2025-04-18T00:00:00"/>
        <d v="2023-07-24T00:00:00"/>
        <d v="2023-06-27T00:00:00"/>
        <d v="2023-10-17T00:00:00"/>
        <d v="2024-05-23T00:00:00"/>
        <d v="2025-02-22T00:00:00"/>
        <d v="2023-10-15T00:00:00"/>
        <d v="2024-05-28T00:00:00"/>
        <d v="2025-02-26T00:00:00"/>
        <d v="2023-04-11T00:00:00"/>
        <d v="2024-10-03T00:00:00"/>
        <d v="2025-02-18T00:00:00"/>
        <d v="2024-05-18T00:00:00"/>
        <d v="2024-07-22T00:00:00"/>
        <d v="2024-08-05T00:00:00"/>
        <d v="2024-11-07T00:00:00"/>
        <d v="2024-11-25T00:00:00"/>
        <d v="2024-05-15T00:00:00"/>
        <d v="2025-04-09T00:00:00"/>
        <d v="2024-04-11T00:00:00"/>
        <d v="2024-06-13T00:00:00"/>
        <d v="2024-11-19T00:00:00"/>
        <d v="2025-06-09T00:00:00"/>
        <d v="2024-07-01T00:00:00"/>
        <d v="2024-10-22T00:00:00"/>
        <d v="2024-04-27T00:00:00"/>
        <d v="2024-05-20T00:00:00"/>
        <d v="2025-01-26T00:00:00"/>
        <d v="2025-05-11T00:00:00"/>
        <d v="2023-02-20T00:00:00"/>
        <d v="2023-09-27T00:00:00"/>
        <d v="2023-10-25T00:00:00"/>
        <d v="2023-09-01T00:00:00"/>
        <d v="2025-06-16T00:00:00"/>
        <d v="2023-06-23T00:00:00"/>
        <d v="2024-06-05T00:00:00"/>
        <d v="2025-02-08T00:00:00"/>
        <d v="2025-05-05T00:00:00"/>
        <d v="2023-07-25T00:00:00"/>
        <d v="2024-04-05T00:00:00"/>
        <d v="2024-05-17T00:00:00"/>
        <d v="2023-02-18T00:00:00"/>
        <d v="2024-06-09T00:00:00"/>
        <d v="2024-07-18T00:00:00"/>
        <d v="2024-09-10T00:00:00"/>
        <d v="2025-01-14T00:00:00"/>
        <d v="2025-02-05T00:00:00"/>
        <d v="2025-06-11T00:00:00"/>
        <d v="2024-05-09T00:00:00"/>
        <d v="2024-11-15T00:00:00"/>
      </sharedItems>
      <fieldGroup par="26"/>
    </cacheField>
    <cacheField name="Order ID" numFmtId="0">
      <sharedItems/>
    </cacheField>
    <cacheField name="Order Date" numFmtId="14">
      <sharedItems containsSemiMixedTypes="0" containsNonDate="0" containsDate="1" containsString="0" minDate="2023-01-01T00:00:00" maxDate="2025-07-01T00:00:00"/>
    </cacheField>
    <cacheField name="Ship Date" numFmtId="14">
      <sharedItems containsSemiMixedTypes="0" containsNonDate="0" containsDate="1" containsString="0" minDate="2023-01-03T00:00:00" maxDate="2025-07-02T00:00:00"/>
    </cacheField>
    <cacheField name="Ship Mode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666" maxValue="999596"/>
    </cacheField>
    <cacheField name="Product ID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4.46" maxValue="1285.18"/>
    </cacheField>
    <cacheField name="Months (Sales Date)" numFmtId="0" databaseField="0">
      <fieldGroup base="12">
        <rangePr groupBy="months" startDate="2023-01-02T00:00:00" endDate="2025-07-02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5"/>
        </groupItems>
      </fieldGroup>
    </cacheField>
    <cacheField name="Years (Sales Date)" numFmtId="0" databaseField="0">
      <fieldGroup base="12">
        <rangePr groupBy="years" startDate="2023-01-02T00:00:00" endDate="2025-07-02T00:00:00"/>
        <groupItems count="5">
          <s v="&lt;02-01-2023"/>
          <s v="2023"/>
          <s v="2024"/>
          <s v="2025"/>
          <s v="&gt;02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a lakshmi" refreshedDate="46290.789670601851" backgroundQuery="1" createdVersion="8" refreshedVersion="8" minRefreshableVersion="3" recordCount="0" supportSubquery="1" supportAdvancedDrill="1" xr:uid="{00000000-000A-0000-FFFF-FFFF04000000}">
  <cacheSource type="external" connectionId="1"/>
  <cacheFields count="4">
    <cacheField name="[Table1].[Region].[Region]" caption="Region" numFmtId="0" hierarchy="18" level="1">
      <sharedItems count="5">
        <s v="Central"/>
        <s v="East"/>
        <s v="North"/>
        <s v="South"/>
        <s v="West"/>
      </sharedItems>
    </cacheField>
    <cacheField name="[Measures].[Sum of Sum of Sales]" caption="Sum of Sum of Sales" numFmtId="0" hierarchy="42" level="32767"/>
    <cacheField name="[Measures].[Sum of Count of Order ID]" caption="Sum of Count of Order ID" numFmtId="0" hierarchy="43" level="32767"/>
    <cacheField name="[Measures].[Sum of Sum of Profit]" caption="Sum of Sum of Profit" numFmtId="0" hierarchy="44" level="32767"/>
  </cacheFields>
  <cacheHierarchies count="48">
    <cacheHierarchy uniqueName="[Range].[Row Labels]" caption="Row Labels" attribute="1" defaultMemberUniqueName="[Range].[Row Labels].[All]" allUniqueName="[Range].[Row Labels].[All]" dimensionUniqueName="[Range]" displayFolder="" count="0" memberValueDatatype="130" unbalanced="0"/>
    <cacheHierarchy uniqueName="[Range].[Sum of Sales]" caption="Sum of Sales" attribute="1" defaultMemberUniqueName="[Range].[Sum of Sales].[All]" allUniqueName="[Range].[Sum of Sales].[All]" dimensionUniqueName="[Range]" displayFolder="" count="0" memberValueDatatype="5" unbalanced="0"/>
    <cacheHierarchy uniqueName="[Range].[Count of Order ID]" caption="Count of Order ID" attribute="1" defaultMemberUniqueName="[Range].[Count of Order ID].[All]" allUniqueName="[Range].[Count of Order ID].[All]" dimensionUniqueName="[Range]" displayFolder="" count="0" memberValueDatatype="20" unbalanced="0"/>
    <cacheHierarchy uniqueName="[Range].[Sum of Profit]" caption="Sum of Profit" attribute="1" defaultMemberUniqueName="[Range].[Sum of Profit].[All]" allUniqueName="[Range].[Sum of Profit].[All]" dimensionUniqueName="[Range]" displayFolder="" count="0" memberValueDatatype="5" unbalanced="0"/>
    <cacheHierarchy uniqueName="[Range 1].[Category of Goods]" caption="Category of Goods" attribute="1" defaultMemberUniqueName="[Range 1].[Category of Goods].[All]" allUniqueName="[Range 1].[Category of Goods].[All]" dimensionUniqueName="[Range 1]" displayFolder="" count="0" memberValueDatatype="130" unbalanced="0"/>
    <cacheHierarchy uniqueName="[Range 1].[Sum of Sales]" caption="Sum of Sales" attribute="1" defaultMemberUniqueName="[Range 1].[Sum of Sales].[All]" allUniqueName="[Range 1].[Sum of Sales].[All]" dimensionUniqueName="[Range 1]" displayFolder="" count="0" memberValueDatatype="5" unbalanced="0"/>
    <cacheHierarchy uniqueName="[Range 1].[Count of Orders]" caption="Count of Orders" attribute="1" defaultMemberUniqueName="[Range 1].[Count of Orders].[All]" allUniqueName="[Range 1].[Count of Orders].[All]" dimensionUniqueName="[Range 1]" displayFolder="" count="0" memberValueDatatype="20" unbalanced="0"/>
    <cacheHierarchy uniqueName="[Range 1].[Sum of Profit]" caption="Sum of Profit" attribute="1" defaultMemberUniqueName="[Range 1].[Sum of Profit].[All]" allUniqueName="[Range 1].[Sum of Profit].[All]" dimensionUniqueName="[Range 1]" displayFolder="" count="0" memberValueDatatype="5" unbalanced="0"/>
    <cacheHierarchy uniqueName="[Range 1].[Average Discount]" caption="Average Discount" attribute="1" defaultMemberUniqueName="[Range 1].[Average Discount].[All]" allUniqueName="[Range 1].[Average Discount].[All]" dimensionUniqueName="[Range 1]" displayFolder="" count="0" memberValueDatatype="5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Last Name]" caption="Last Name" attribute="1" defaultMemberUniqueName="[Table1].[Last Name].[All]" allUniqueName="[Table1].[Last Name].[All]" dimensionUniqueName="[Table1]" displayFolder="" count="0" memberValueDatatype="130" unbalanced="0"/>
    <cacheHierarchy uniqueName="[Table1].[Date of Birth]" caption="Date of Birth" attribute="1" time="1" defaultMemberUniqueName="[Table1].[Date of Birth].[All]" allUniqueName="[Table1].[Date of Birth].[All]" dimensionUniqueName="[Table1]" displayFolder="" count="0" memberValueDatatype="7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City Type]" caption="City Type" attribute="1" defaultMemberUniqueName="[Table1].[City Type].[All]" allUniqueName="[Table1].[City Type].[All]" dimensionUniqueName="[Table1]" displayFolder="" count="0" memberValueDatatype="130" unbalanced="0"/>
    <cacheHierarchy uniqueName="[Table1].[Category of Goods]" caption="Category of Goods" attribute="1" defaultMemberUniqueName="[Table1].[Category of Goods].[All]" allUniqueName="[Table1].[Category of Goods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Sales Date]" caption="Sales Date" attribute="1" time="1" defaultMemberUniqueName="[Table1].[Sales Date].[All]" allUniqueName="[Table1].[Sales Date].[All]" dimensionUniqueName="[Table1]" displayFolder="" count="0" memberValueDatatype="7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Sales Date (Year)]" caption="Sales Date (Year)" attribute="1" defaultMemberUniqueName="[Table1].[Sales Date (Year)].[All]" allUniqueName="[Table1].[Sales Date (Year)].[All]" dimensionUniqueName="[Table1]" displayFolder="" count="0" memberValueDatatype="130" unbalanced="0"/>
    <cacheHierarchy uniqueName="[Table1].[Sales Date (Quarter)]" caption="Sales Date (Quarter)" attribute="1" defaultMemberUniqueName="[Table1].[Sales Date (Quarter)].[All]" allUniqueName="[Table1].[Sales Date (Quarter)].[All]" dimensionUniqueName="[Table1]" displayFolder="" count="0" memberValueDatatype="130" unbalanced="0"/>
    <cacheHierarchy uniqueName="[Table1].[Sales Date (Month)]" caption="Sales Date (Month)" attribute="1" defaultMemberUniqueName="[Table1].[Sales Date (Month)].[All]" allUniqueName="[Table1].[Sales Date (Month)].[All]" dimensionUniqueName="[Table1]" displayFolder="" count="0" memberValueDatatype="130" unbalanced="0"/>
    <cacheHierarchy uniqueName="[Table1].[Sales Date (Month Index)]" caption="Sales Date (Month Index)" attribute="1" defaultMemberUniqueName="[Table1].[Sales Date (Month Index)].[All]" allUniqueName="[Table1].[Sales 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um of Sales]" caption="Sum of 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ount of Order ID]" caption="Sum of Count of Order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um of Profit]" caption="Sum of Sum of Profi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ales Date]" caption="Count of Sales Date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um of Sales 2]" caption="Sum of Sum of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 2]" caption="Sum of Sales 2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</dimensions>
  <measureGroups count="3">
    <measureGroup name="Range" caption="Range"/>
    <measureGroup name="Range 1" caption="Range 1"/>
    <measureGroup name="Table1" caption="Table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s v="CUST0001"/>
    <s v="Mohammed"/>
    <s v="Nair"/>
    <d v="1966-02-14T00:00:00"/>
    <n v="648.79999999999995"/>
    <n v="2023"/>
    <s v="Medium"/>
    <s v="Tier 2"/>
    <x v="0"/>
    <s v="West"/>
    <s v="India"/>
    <s v="Consumer"/>
    <d v="2023-10-11T00:00:00"/>
    <s v="ORD00001"/>
    <d v="2023-10-11T00:00:00"/>
    <d v="2023-10-12T00:00:00"/>
    <s v="Same Day"/>
    <s v="Goa"/>
    <n v="157174"/>
    <s v="PROD0001"/>
    <s v="Namkeen"/>
    <s v="Namkeen - 202"/>
    <n v="4"/>
    <n v="0"/>
    <n v="67.37"/>
  </r>
  <r>
    <s v="CUST0001"/>
    <s v="Mohammed"/>
    <s v="Nair"/>
    <d v="1966-02-14T00:00:00"/>
    <n v="782.83"/>
    <n v="2024"/>
    <s v="Medium"/>
    <s v="Tier 2"/>
    <x v="0"/>
    <s v="West"/>
    <s v="India"/>
    <s v="Consumer"/>
    <d v="2024-06-22T00:00:00"/>
    <s v="ORD00002"/>
    <d v="2024-06-21T00:00:00"/>
    <d v="2024-06-22T00:00:00"/>
    <s v="Standard Class"/>
    <s v="Goa"/>
    <n v="561865"/>
    <s v="PROD0001"/>
    <s v="Namkeen"/>
    <s v="Namkeen - 814"/>
    <n v="3"/>
    <n v="0.2"/>
    <n v="154.41999999999999"/>
  </r>
  <r>
    <s v="CUST0001"/>
    <s v="Mohammed"/>
    <s v="Nair"/>
    <d v="1966-02-14T00:00:00"/>
    <n v="2240.62"/>
    <n v="2024"/>
    <s v="Medium"/>
    <s v="Tier 2"/>
    <x v="1"/>
    <s v="West"/>
    <s v="India"/>
    <s v="Consumer"/>
    <d v="2024-08-27T00:00:00"/>
    <s v="ORD00003"/>
    <d v="2024-08-26T00:00:00"/>
    <d v="2024-08-27T00:00:00"/>
    <s v="Same Day"/>
    <s v="Goa"/>
    <n v="705050"/>
    <s v="PROD0002"/>
    <s v="Bread"/>
    <s v="Bread - 152"/>
    <n v="5"/>
    <n v="0.05"/>
    <n v="188.72"/>
  </r>
  <r>
    <s v="CUST0001"/>
    <s v="Mohammed"/>
    <s v="Nair"/>
    <d v="1966-02-14T00:00:00"/>
    <n v="247.35"/>
    <n v="2025"/>
    <s v="Small"/>
    <s v="Tier 2"/>
    <x v="2"/>
    <s v="West"/>
    <s v="India"/>
    <s v="Consumer"/>
    <d v="2025-01-11T00:00:00"/>
    <s v="ORD00004"/>
    <d v="2025-01-11T00:00:00"/>
    <d v="2025-01-12T00:00:00"/>
    <s v="Standard Class"/>
    <s v="Goa"/>
    <n v="735770"/>
    <s v="PROD0003"/>
    <s v="Pulses"/>
    <s v="Pulses - 154"/>
    <n v="3"/>
    <n v="0.1"/>
    <n v="82.8"/>
  </r>
  <r>
    <s v="CUST0001"/>
    <s v="Mohammed"/>
    <s v="Nair"/>
    <d v="1966-02-14T00:00:00"/>
    <n v="1732.06"/>
    <n v="2025"/>
    <s v="Medium"/>
    <s v="Tier 2"/>
    <x v="0"/>
    <s v="West"/>
    <s v="India"/>
    <s v="Consumer"/>
    <d v="2025-02-20T00:00:00"/>
    <s v="ORD00005"/>
    <d v="2025-02-17T00:00:00"/>
    <d v="2025-02-22T00:00:00"/>
    <s v="Same Day"/>
    <s v="Goa"/>
    <n v="739244"/>
    <s v="PROD0004"/>
    <s v="Biscuits"/>
    <s v="Biscuits - 331"/>
    <n v="9"/>
    <n v="0.05"/>
    <n v="241.11"/>
  </r>
  <r>
    <s v="CUST0002"/>
    <s v="Ishaan"/>
    <s v="Venkatesh"/>
    <d v="1969-08-07T00:00:00"/>
    <n v="504.27"/>
    <n v="2023"/>
    <s v="Medium"/>
    <s v="Tier 2"/>
    <x v="3"/>
    <s v="East"/>
    <s v="India"/>
    <s v="Home Office"/>
    <d v="2023-03-28T00:00:00"/>
    <s v="ORD00006"/>
    <d v="2023-03-25T00:00:00"/>
    <d v="2023-03-30T00:00:00"/>
    <s v="Same Day"/>
    <s v="Jharkhand"/>
    <n v="342720"/>
    <s v="PROD0005"/>
    <s v="Yogurt"/>
    <s v="Yogurt - 277"/>
    <n v="9"/>
    <n v="0"/>
    <n v="87.01"/>
  </r>
  <r>
    <s v="CUST0002"/>
    <s v="Ishaan"/>
    <s v="Venkatesh"/>
    <d v="1969-08-07T00:00:00"/>
    <n v="433.36"/>
    <n v="2023"/>
    <s v="Small"/>
    <s v="Tier 2"/>
    <x v="1"/>
    <s v="East"/>
    <s v="India"/>
    <s v="Home Office"/>
    <d v="2023-04-17T00:00:00"/>
    <s v="ORD00007"/>
    <d v="2023-04-12T00:00:00"/>
    <d v="2023-04-17T00:00:00"/>
    <s v="Standard Class"/>
    <s v="Jharkhand"/>
    <n v="220351"/>
    <s v="PROD0006"/>
    <s v="Cookies"/>
    <s v="Cookies - 389"/>
    <n v="8"/>
    <n v="0"/>
    <n v="141.78"/>
  </r>
  <r>
    <s v="CUST0002"/>
    <s v="Ishaan"/>
    <s v="Venkatesh"/>
    <d v="1969-08-07T00:00:00"/>
    <n v="1094.5"/>
    <n v="2023"/>
    <s v="Medium"/>
    <s v="Tier 2"/>
    <x v="0"/>
    <s v="East"/>
    <s v="India"/>
    <s v="Home Office"/>
    <d v="2023-08-01T00:00:00"/>
    <s v="ORD00008"/>
    <d v="2023-08-01T00:00:00"/>
    <d v="2023-08-02T00:00:00"/>
    <s v="Second Class"/>
    <s v="Jharkhand"/>
    <n v="560485"/>
    <s v="PROD0007"/>
    <s v="Chips"/>
    <s v="Chips - 763"/>
    <n v="3"/>
    <n v="0.2"/>
    <n v="101.43"/>
  </r>
  <r>
    <s v="CUST0002"/>
    <s v="Ishaan"/>
    <s v="Venkatesh"/>
    <d v="1969-08-07T00:00:00"/>
    <n v="1779.35"/>
    <n v="2023"/>
    <s v="Small"/>
    <s v="Tier 2"/>
    <x v="4"/>
    <s v="East"/>
    <s v="India"/>
    <s v="Home Office"/>
    <d v="2023-08-08T00:00:00"/>
    <s v="ORD00009"/>
    <d v="2023-08-05T00:00:00"/>
    <d v="2023-08-09T00:00:00"/>
    <s v="Same Day"/>
    <s v="Jharkhand"/>
    <n v="553014"/>
    <s v="PROD0008"/>
    <s v="Onions"/>
    <s v="Onions - 805"/>
    <n v="5"/>
    <n v="0"/>
    <n v="356.12"/>
  </r>
  <r>
    <s v="CUST0002"/>
    <s v="Ishaan"/>
    <s v="Venkatesh"/>
    <d v="1969-08-07T00:00:00"/>
    <n v="162.1"/>
    <n v="2023"/>
    <s v="Small"/>
    <s v="Tier 2"/>
    <x v="2"/>
    <s v="East"/>
    <s v="India"/>
    <s v="Home Office"/>
    <d v="2023-10-02T00:00:00"/>
    <s v="ORD00010"/>
    <d v="2023-09-28T00:00:00"/>
    <d v="2023-10-03T00:00:00"/>
    <s v="Second Class"/>
    <s v="Jharkhand"/>
    <n v="704238"/>
    <s v="PROD0009"/>
    <s v="Wheat Flour"/>
    <s v="Wheat Flour - 718"/>
    <n v="5"/>
    <n v="0"/>
    <n v="54.88"/>
  </r>
  <r>
    <s v="CUST0002"/>
    <s v="Ishaan"/>
    <s v="Venkatesh"/>
    <d v="1969-08-07T00:00:00"/>
    <n v="2994.48"/>
    <n v="2024"/>
    <s v="Large"/>
    <s v="Tier 2"/>
    <x v="4"/>
    <s v="East"/>
    <s v="India"/>
    <s v="Home Office"/>
    <d v="2024-10-05T00:00:00"/>
    <s v="ORD00011"/>
    <d v="2024-10-02T00:00:00"/>
    <d v="2024-10-07T00:00:00"/>
    <s v="Standard Class"/>
    <s v="Jharkhand"/>
    <n v="195674"/>
    <s v="PROD0010"/>
    <s v="Bananas"/>
    <s v="Bananas - 581"/>
    <n v="9"/>
    <n v="0"/>
    <n v="312.76"/>
  </r>
  <r>
    <s v="CUST0002"/>
    <s v="Ishaan"/>
    <s v="Venkatesh"/>
    <d v="1969-08-07T00:00:00"/>
    <n v="1044.6600000000001"/>
    <n v="2024"/>
    <s v="Large"/>
    <s v="Tier 2"/>
    <x v="5"/>
    <s v="East"/>
    <s v="India"/>
    <s v="Home Office"/>
    <d v="2024-11-10T00:00:00"/>
    <s v="ORD00012"/>
    <d v="2024-11-07T00:00:00"/>
    <d v="2024-11-10T00:00:00"/>
    <s v="Standard Class"/>
    <s v="Jharkhand"/>
    <n v="402218"/>
    <s v="PROD0011"/>
    <s v="Juice"/>
    <s v="Juice - 518"/>
    <n v="6"/>
    <n v="0"/>
    <n v="321.04000000000002"/>
  </r>
  <r>
    <s v="CUST0002"/>
    <s v="Ishaan"/>
    <s v="Venkatesh"/>
    <d v="1969-08-07T00:00:00"/>
    <n v="338.49"/>
    <n v="2025"/>
    <s v="Medium"/>
    <s v="Tier 2"/>
    <x v="2"/>
    <s v="East"/>
    <s v="India"/>
    <s v="Home Office"/>
    <d v="2025-02-20T00:00:00"/>
    <s v="ORD00013"/>
    <d v="2025-02-20T00:00:00"/>
    <d v="2025-02-23T00:00:00"/>
    <s v="Same Day"/>
    <s v="Jharkhand"/>
    <n v="789606"/>
    <s v="PROD0009"/>
    <s v="Wheat Flour"/>
    <s v="Wheat Flour - 933"/>
    <n v="9"/>
    <n v="0"/>
    <n v="48.86"/>
  </r>
  <r>
    <s v="CUST0003"/>
    <s v="Manoj"/>
    <s v="Verma"/>
    <d v="1966-05-04T00:00:00"/>
    <n v="3078.4"/>
    <n v="2023"/>
    <s v="Medium"/>
    <s v="Tier 2"/>
    <x v="0"/>
    <s v="South"/>
    <s v="India"/>
    <s v="Consumer"/>
    <d v="2023-02-26T00:00:00"/>
    <s v="ORD00014"/>
    <d v="2023-02-25T00:00:00"/>
    <d v="2023-02-27T00:00:00"/>
    <s v="Standard Class"/>
    <s v="Kerala"/>
    <n v="227324"/>
    <s v="PROD0001"/>
    <s v="Namkeen"/>
    <s v="Namkeen - 740"/>
    <n v="8"/>
    <n v="0"/>
    <n v="400.55"/>
  </r>
  <r>
    <s v="CUST0003"/>
    <s v="Manoj"/>
    <s v="Verma"/>
    <d v="1966-05-04T00:00:00"/>
    <n v="507.48"/>
    <n v="2023"/>
    <s v="Small"/>
    <s v="Tier 2"/>
    <x v="4"/>
    <s v="South"/>
    <s v="India"/>
    <s v="Consumer"/>
    <d v="2023-07-12T00:00:00"/>
    <s v="ORD00015"/>
    <d v="2023-07-12T00:00:00"/>
    <d v="2023-07-13T00:00:00"/>
    <s v="Standard Class"/>
    <s v="Kerala"/>
    <n v="223172"/>
    <s v="PROD0010"/>
    <s v="Bananas"/>
    <s v="Bananas - 826"/>
    <n v="3"/>
    <n v="0"/>
    <n v="109.45"/>
  </r>
  <r>
    <s v="CUST0003"/>
    <s v="Manoj"/>
    <s v="Verma"/>
    <d v="1966-05-04T00:00:00"/>
    <n v="1321.3"/>
    <n v="2024"/>
    <s v="Small"/>
    <s v="Tier 2"/>
    <x v="2"/>
    <s v="South"/>
    <s v="India"/>
    <s v="Consumer"/>
    <d v="2024-01-09T00:00:00"/>
    <s v="ORD00016"/>
    <d v="2024-01-06T00:00:00"/>
    <d v="2024-01-10T00:00:00"/>
    <s v="Standard Class"/>
    <s v="Kerala"/>
    <n v="678043"/>
    <s v="PROD0012"/>
    <s v="Rice"/>
    <s v="Rice - 610"/>
    <n v="5"/>
    <n v="0"/>
    <n v="230.76"/>
  </r>
  <r>
    <s v="CUST0003"/>
    <s v="Manoj"/>
    <s v="Verma"/>
    <d v="1966-05-04T00:00:00"/>
    <n v="2639.6"/>
    <n v="2024"/>
    <s v="Medium"/>
    <s v="Tier 2"/>
    <x v="3"/>
    <s v="South"/>
    <s v="India"/>
    <s v="Consumer"/>
    <d v="2024-03-02T00:00:00"/>
    <s v="ORD00017"/>
    <d v="2024-02-28T00:00:00"/>
    <d v="2024-03-02T00:00:00"/>
    <s v="Second Class"/>
    <s v="Kerala"/>
    <n v="960408"/>
    <s v="PROD0013"/>
    <s v="Butter"/>
    <s v="Butter - 295"/>
    <n v="10"/>
    <n v="0"/>
    <n v="816.19"/>
  </r>
  <r>
    <s v="CUST0003"/>
    <s v="Manoj"/>
    <s v="Verma"/>
    <d v="1966-05-04T00:00:00"/>
    <n v="1898.95"/>
    <n v="2024"/>
    <s v="Medium"/>
    <s v="Tier 2"/>
    <x v="4"/>
    <s v="South"/>
    <s v="India"/>
    <s v="Consumer"/>
    <d v="2024-04-19T00:00:00"/>
    <s v="ORD00018"/>
    <d v="2024-04-18T00:00:00"/>
    <d v="2024-04-22T00:00:00"/>
    <s v="Standard Class"/>
    <s v="Kerala"/>
    <n v="461888"/>
    <s v="PROD0014"/>
    <s v="Tomatoes"/>
    <s v="Tomatoes - 843"/>
    <n v="5"/>
    <n v="0.1"/>
    <n v="664.01"/>
  </r>
  <r>
    <s v="CUST0003"/>
    <s v="Manoj"/>
    <s v="Verma"/>
    <d v="1966-05-04T00:00:00"/>
    <n v="1809.54"/>
    <n v="2024"/>
    <s v="Medium"/>
    <s v="Tier 2"/>
    <x v="1"/>
    <s v="South"/>
    <s v="India"/>
    <s v="Consumer"/>
    <d v="2024-06-16T00:00:00"/>
    <s v="ORD00019"/>
    <d v="2024-06-14T00:00:00"/>
    <d v="2024-06-16T00:00:00"/>
    <s v="First Class"/>
    <s v="Kerala"/>
    <n v="997594"/>
    <s v="PROD0006"/>
    <s v="Cookies"/>
    <s v="Cookies - 881"/>
    <n v="9"/>
    <n v="0"/>
    <n v="562.54999999999995"/>
  </r>
  <r>
    <s v="CUST0004"/>
    <s v="Pooja"/>
    <s v="Shetty"/>
    <d v="1966-03-11T00:00:00"/>
    <n v="773.28"/>
    <n v="2023"/>
    <s v="Small"/>
    <s v="Tier 2"/>
    <x v="5"/>
    <s v="East"/>
    <s v="India"/>
    <s v="Home Office"/>
    <d v="2023-02-16T00:00:00"/>
    <s v="ORD00020"/>
    <d v="2023-02-14T00:00:00"/>
    <d v="2023-02-19T00:00:00"/>
    <s v="Standard Class"/>
    <s v="Jharkhand"/>
    <n v="204555"/>
    <s v="PROD0015"/>
    <s v="Soft Drinks"/>
    <s v="Soft Drinks - 779"/>
    <n v="3"/>
    <n v="0"/>
    <n v="67.95"/>
  </r>
  <r>
    <s v="CUST0004"/>
    <s v="Pooja"/>
    <s v="Shetty"/>
    <d v="1966-03-11T00:00:00"/>
    <n v="552.80999999999995"/>
    <n v="2023"/>
    <s v="Medium"/>
    <s v="Tier 2"/>
    <x v="0"/>
    <s v="East"/>
    <s v="India"/>
    <s v="Home Office"/>
    <d v="2023-11-23T00:00:00"/>
    <s v="ORD00021"/>
    <d v="2023-11-22T00:00:00"/>
    <d v="2023-11-23T00:00:00"/>
    <s v="Second Class"/>
    <s v="Jharkhand"/>
    <n v="753534"/>
    <s v="PROD0001"/>
    <s v="Namkeen"/>
    <s v="Namkeen - 115"/>
    <n v="3"/>
    <n v="0.15"/>
    <n v="188.5"/>
  </r>
  <r>
    <s v="CUST0004"/>
    <s v="Pooja"/>
    <s v="Shetty"/>
    <d v="1966-03-11T00:00:00"/>
    <n v="686.16"/>
    <n v="2024"/>
    <s v="Medium"/>
    <s v="Tier 2"/>
    <x v="2"/>
    <s v="East"/>
    <s v="India"/>
    <s v="Home Office"/>
    <d v="2024-05-02T00:00:00"/>
    <s v="ORD00022"/>
    <d v="2024-04-29T00:00:00"/>
    <d v="2024-05-04T00:00:00"/>
    <s v="Standard Class"/>
    <s v="Jharkhand"/>
    <n v="667296"/>
    <s v="PROD0009"/>
    <s v="Wheat Flour"/>
    <s v="Wheat Flour - 765"/>
    <n v="2"/>
    <n v="0.2"/>
    <n v="173.12"/>
  </r>
  <r>
    <s v="CUST0004"/>
    <s v="Pooja"/>
    <s v="Shetty"/>
    <d v="1966-03-11T00:00:00"/>
    <n v="2119.73"/>
    <n v="2024"/>
    <s v="Medium"/>
    <s v="Tier 2"/>
    <x v="4"/>
    <s v="East"/>
    <s v="India"/>
    <s v="Home Office"/>
    <d v="2024-12-23T00:00:00"/>
    <s v="ORD00023"/>
    <d v="2024-12-23T00:00:00"/>
    <d v="2024-12-24T00:00:00"/>
    <s v="First Class"/>
    <s v="Jharkhand"/>
    <n v="827712"/>
    <s v="PROD0016"/>
    <s v="Apples"/>
    <s v="Apples - 340"/>
    <n v="5"/>
    <n v="0.15"/>
    <n v="163.46"/>
  </r>
  <r>
    <s v="CUST0004"/>
    <s v="Pooja"/>
    <s v="Shetty"/>
    <d v="1966-03-11T00:00:00"/>
    <n v="2412.9"/>
    <n v="2025"/>
    <s v="Small"/>
    <s v="Tier 2"/>
    <x v="1"/>
    <s v="East"/>
    <s v="India"/>
    <s v="Home Office"/>
    <d v="2025-02-02T00:00:00"/>
    <s v="ORD00024"/>
    <d v="2025-02-01T00:00:00"/>
    <d v="2025-02-05T00:00:00"/>
    <s v="Standard Class"/>
    <s v="Jharkhand"/>
    <n v="693418"/>
    <s v="PROD0002"/>
    <s v="Bread"/>
    <s v="Bread - 147"/>
    <n v="6"/>
    <n v="0"/>
    <n v="380.13"/>
  </r>
  <r>
    <s v="CUST0005"/>
    <s v="Farhan"/>
    <s v="Raghavan"/>
    <d v="1989-06-12T00:00:00"/>
    <n v="842.65"/>
    <n v="2023"/>
    <s v="Large"/>
    <s v="Tier 2"/>
    <x v="5"/>
    <s v="North"/>
    <s v="India"/>
    <s v="Corporate"/>
    <d v="2023-03-24T00:00:00"/>
    <s v="ORD00025"/>
    <d v="2023-03-22T00:00:00"/>
    <d v="2023-03-26T00:00:00"/>
    <s v="Same Day"/>
    <s v="Uttarakhand"/>
    <n v="943718"/>
    <s v="PROD0017"/>
    <s v="Coffee"/>
    <s v="Coffee - 609"/>
    <n v="10"/>
    <n v="0.05"/>
    <n v="203.39"/>
  </r>
  <r>
    <s v="CUST0005"/>
    <s v="Farhan"/>
    <s v="Raghavan"/>
    <d v="1989-06-12T00:00:00"/>
    <n v="819.35"/>
    <n v="2023"/>
    <s v="Large"/>
    <s v="Tier 2"/>
    <x v="5"/>
    <s v="North"/>
    <s v="India"/>
    <s v="Corporate"/>
    <d v="2023-06-26T00:00:00"/>
    <s v="ORD00026"/>
    <d v="2023-06-24T00:00:00"/>
    <d v="2023-06-29T00:00:00"/>
    <s v="Standard Class"/>
    <s v="Uttarakhand"/>
    <n v="823846"/>
    <s v="PROD0011"/>
    <s v="Juice"/>
    <s v="Juice - 793"/>
    <n v="9"/>
    <n v="0.05"/>
    <n v="273.31"/>
  </r>
  <r>
    <s v="CUST0005"/>
    <s v="Farhan"/>
    <s v="Raghavan"/>
    <d v="1989-06-12T00:00:00"/>
    <n v="549.20000000000005"/>
    <n v="2023"/>
    <s v="Medium"/>
    <s v="Tier 2"/>
    <x v="1"/>
    <s v="North"/>
    <s v="India"/>
    <s v="Corporate"/>
    <d v="2023-06-29T00:00:00"/>
    <s v="ORD00027"/>
    <d v="2023-06-29T00:00:00"/>
    <d v="2023-06-30T00:00:00"/>
    <s v="Second Class"/>
    <s v="Uttarakhand"/>
    <n v="702733"/>
    <s v="PROD0018"/>
    <s v="Buns"/>
    <s v="Buns - 965"/>
    <n v="5"/>
    <n v="0.05"/>
    <n v="168.06"/>
  </r>
  <r>
    <s v="CUST0005"/>
    <s v="Farhan"/>
    <s v="Raghavan"/>
    <d v="1989-06-12T00:00:00"/>
    <n v="416"/>
    <n v="2023"/>
    <s v="Large"/>
    <s v="Tier 2"/>
    <x v="1"/>
    <s v="North"/>
    <s v="India"/>
    <s v="Corporate"/>
    <d v="2023-07-04T00:00:00"/>
    <s v="ORD00028"/>
    <d v="2023-07-04T00:00:00"/>
    <d v="2023-07-05T00:00:00"/>
    <s v="Standard Class"/>
    <s v="Uttarakhand"/>
    <n v="973294"/>
    <s v="PROD0006"/>
    <s v="Cookies"/>
    <s v="Cookies - 402"/>
    <n v="1"/>
    <n v="0.15"/>
    <n v="70.2"/>
  </r>
  <r>
    <s v="CUST0005"/>
    <s v="Farhan"/>
    <s v="Raghavan"/>
    <d v="1989-06-12T00:00:00"/>
    <n v="750.72"/>
    <n v="2024"/>
    <s v="Small"/>
    <s v="Tier 2"/>
    <x v="1"/>
    <s v="North"/>
    <s v="India"/>
    <s v="Corporate"/>
    <d v="2024-09-18T00:00:00"/>
    <s v="ORD00029"/>
    <d v="2024-09-16T00:00:00"/>
    <d v="2024-09-18T00:00:00"/>
    <s v="Same Day"/>
    <s v="Uttarakhand"/>
    <n v="423939"/>
    <s v="PROD0002"/>
    <s v="Bread"/>
    <s v="Bread - 721"/>
    <n v="6"/>
    <n v="0"/>
    <n v="177.37"/>
  </r>
  <r>
    <s v="CUST0006"/>
    <s v="Lakshmi"/>
    <s v="Pillai"/>
    <d v="2001-04-23T00:00:00"/>
    <n v="730.17"/>
    <n v="2023"/>
    <s v="Small"/>
    <s v="Tier 1"/>
    <x v="4"/>
    <s v="South"/>
    <s v="India"/>
    <s v="Home Office"/>
    <d v="2023-02-06T00:00:00"/>
    <s v="ORD00030"/>
    <d v="2023-02-04T00:00:00"/>
    <d v="2023-02-07T00:00:00"/>
    <s v="Second Class"/>
    <s v="Tamil Nadu"/>
    <n v="964749"/>
    <s v="PROD0014"/>
    <s v="Tomatoes"/>
    <s v="Tomatoes - 434"/>
    <n v="7"/>
    <n v="0"/>
    <n v="208.79"/>
  </r>
  <r>
    <s v="CUST0006"/>
    <s v="Lakshmi"/>
    <s v="Pillai"/>
    <d v="2001-04-23T00:00:00"/>
    <n v="2314.37"/>
    <n v="2023"/>
    <s v="Large"/>
    <s v="Tier 1"/>
    <x v="5"/>
    <s v="South"/>
    <s v="India"/>
    <s v="Home Office"/>
    <d v="2023-05-15T00:00:00"/>
    <s v="ORD00031"/>
    <d v="2023-05-15T00:00:00"/>
    <d v="2023-05-17T00:00:00"/>
    <s v="Standard Class"/>
    <s v="Tamil Nadu"/>
    <n v="986827"/>
    <s v="PROD0011"/>
    <s v="Juice"/>
    <s v="Juice - 864"/>
    <n v="6"/>
    <n v="0.05"/>
    <n v="784.27"/>
  </r>
  <r>
    <s v="CUST0006"/>
    <s v="Lakshmi"/>
    <s v="Pillai"/>
    <d v="2001-04-23T00:00:00"/>
    <n v="168.08"/>
    <n v="2024"/>
    <s v="Large"/>
    <s v="Tier 1"/>
    <x v="0"/>
    <s v="South"/>
    <s v="India"/>
    <s v="Home Office"/>
    <d v="2024-01-11T00:00:00"/>
    <s v="ORD00032"/>
    <d v="2024-01-09T00:00:00"/>
    <d v="2024-01-12T00:00:00"/>
    <s v="Standard Class"/>
    <s v="Tamil Nadu"/>
    <n v="962367"/>
    <s v="PROD0001"/>
    <s v="Namkeen"/>
    <s v="Namkeen - 192"/>
    <n v="7"/>
    <n v="0.1"/>
    <n v="14.64"/>
  </r>
  <r>
    <s v="CUST0006"/>
    <s v="Lakshmi"/>
    <s v="Pillai"/>
    <d v="2001-04-23T00:00:00"/>
    <n v="886.72"/>
    <n v="2024"/>
    <s v="Large"/>
    <s v="Tier 1"/>
    <x v="2"/>
    <s v="South"/>
    <s v="India"/>
    <s v="Home Office"/>
    <d v="2024-08-18T00:00:00"/>
    <s v="ORD00033"/>
    <d v="2024-08-16T00:00:00"/>
    <d v="2024-08-21T00:00:00"/>
    <s v="First Class"/>
    <s v="Tamil Nadu"/>
    <n v="779112"/>
    <s v="PROD0009"/>
    <s v="Wheat Flour"/>
    <s v="Wheat Flour - 210"/>
    <n v="4"/>
    <n v="0.1"/>
    <n v="279.56"/>
  </r>
  <r>
    <s v="CUST0006"/>
    <s v="Lakshmi"/>
    <s v="Pillai"/>
    <d v="2001-04-23T00:00:00"/>
    <n v="1658.15"/>
    <n v="2025"/>
    <s v="Medium"/>
    <s v="Tier 1"/>
    <x v="4"/>
    <s v="South"/>
    <s v="India"/>
    <s v="Home Office"/>
    <d v="2025-01-20T00:00:00"/>
    <s v="ORD00034"/>
    <d v="2025-01-19T00:00:00"/>
    <d v="2025-01-20T00:00:00"/>
    <s v="Same Day"/>
    <s v="Tamil Nadu"/>
    <n v="201913"/>
    <s v="PROD0008"/>
    <s v="Onions"/>
    <s v="Onions - 817"/>
    <n v="5"/>
    <n v="0"/>
    <n v="152.44"/>
  </r>
  <r>
    <s v="CUST0007"/>
    <s v="Manoj"/>
    <s v="Kumar"/>
    <d v="1977-06-19T00:00:00"/>
    <n v="1692.03"/>
    <n v="2023"/>
    <s v="Medium"/>
    <s v="Tier 1"/>
    <x v="5"/>
    <s v="South"/>
    <s v="India"/>
    <s v="Corporate"/>
    <d v="2023-05-19T00:00:00"/>
    <s v="ORD00035"/>
    <d v="2023-05-19T00:00:00"/>
    <d v="2023-05-23T00:00:00"/>
    <s v="Standard Class"/>
    <s v="Telangana"/>
    <n v="393328"/>
    <s v="PROD0015"/>
    <s v="Soft Drinks"/>
    <s v="Soft Drinks - 479"/>
    <n v="9"/>
    <n v="0.15"/>
    <n v="453.43"/>
  </r>
  <r>
    <s v="CUST0007"/>
    <s v="Manoj"/>
    <s v="Kumar"/>
    <d v="1977-06-19T00:00:00"/>
    <n v="1867.6"/>
    <n v="2024"/>
    <s v="Large"/>
    <s v="Tier 1"/>
    <x v="4"/>
    <s v="South"/>
    <s v="India"/>
    <s v="Corporate"/>
    <d v="2024-07-05T00:00:00"/>
    <s v="ORD00036"/>
    <d v="2024-07-04T00:00:00"/>
    <d v="2024-07-05T00:00:00"/>
    <s v="Second Class"/>
    <s v="Telangana"/>
    <n v="163491"/>
    <s v="PROD0014"/>
    <s v="Tomatoes"/>
    <s v="Tomatoes - 322"/>
    <n v="8"/>
    <n v="0"/>
    <n v="572.66999999999996"/>
  </r>
  <r>
    <s v="CUST0008"/>
    <s v="Reyansh"/>
    <s v="Iyer"/>
    <d v="1982-01-16T00:00:00"/>
    <n v="1180.8699999999999"/>
    <n v="2023"/>
    <s v="Small"/>
    <s v="Tier 2"/>
    <x v="5"/>
    <s v="South"/>
    <s v="India"/>
    <s v="Corporate"/>
    <d v="2023-05-07T00:00:00"/>
    <s v="ORD00037"/>
    <d v="2023-05-06T00:00:00"/>
    <d v="2023-05-07T00:00:00"/>
    <s v="First Class"/>
    <s v="Andhra Pradesh"/>
    <n v="925206"/>
    <s v="PROD0019"/>
    <s v="Tea"/>
    <s v="Tea - 778"/>
    <n v="4"/>
    <n v="0.1"/>
    <n v="403.06"/>
  </r>
  <r>
    <s v="CUST0008"/>
    <s v="Reyansh"/>
    <s v="Iyer"/>
    <d v="1982-01-16T00:00:00"/>
    <n v="1074.96"/>
    <n v="2023"/>
    <s v="Small"/>
    <s v="Tier 2"/>
    <x v="0"/>
    <s v="South"/>
    <s v="India"/>
    <s v="Corporate"/>
    <d v="2023-07-15T00:00:00"/>
    <s v="ORD00038"/>
    <d v="2023-07-14T00:00:00"/>
    <d v="2023-07-16T00:00:00"/>
    <s v="Same Day"/>
    <s v="Andhra Pradesh"/>
    <n v="390743"/>
    <s v="PROD0007"/>
    <s v="Chips"/>
    <s v="Chips - 170"/>
    <n v="9"/>
    <n v="0"/>
    <n v="315.95"/>
  </r>
  <r>
    <s v="CUST0008"/>
    <s v="Reyansh"/>
    <s v="Iyer"/>
    <d v="1982-01-16T00:00:00"/>
    <n v="2016.45"/>
    <n v="2025"/>
    <s v="Small"/>
    <s v="Tier 2"/>
    <x v="3"/>
    <s v="South"/>
    <s v="India"/>
    <s v="Corporate"/>
    <d v="2025-05-18T00:00:00"/>
    <s v="ORD00039"/>
    <d v="2025-05-18T00:00:00"/>
    <d v="2025-05-19T00:00:00"/>
    <s v="Second Class"/>
    <s v="Andhra Pradesh"/>
    <n v="928358"/>
    <s v="PROD0005"/>
    <s v="Yogurt"/>
    <s v="Yogurt - 653"/>
    <n v="5"/>
    <n v="0"/>
    <n v="500.72"/>
  </r>
  <r>
    <s v="CUST0009"/>
    <s v="Deepa"/>
    <s v="Pillai"/>
    <d v="2001-03-16T00:00:00"/>
    <n v="1621.49"/>
    <n v="2023"/>
    <s v="Large"/>
    <s v="Tier 2"/>
    <x v="4"/>
    <s v="South"/>
    <s v="India"/>
    <s v="Home Office"/>
    <d v="2023-01-19T00:00:00"/>
    <s v="ORD00040"/>
    <d v="2023-01-17T00:00:00"/>
    <d v="2023-01-21T00:00:00"/>
    <s v="Same Day"/>
    <s v="Karnataka"/>
    <n v="573962"/>
    <s v="PROD0010"/>
    <s v="Bananas"/>
    <s v="Bananas - 859"/>
    <n v="7"/>
    <n v="0.15"/>
    <n v="111.99"/>
  </r>
  <r>
    <s v="CUST0009"/>
    <s v="Deepa"/>
    <s v="Pillai"/>
    <d v="2001-03-16T00:00:00"/>
    <n v="295.26"/>
    <n v="2023"/>
    <s v="Large"/>
    <s v="Tier 2"/>
    <x v="0"/>
    <s v="South"/>
    <s v="India"/>
    <s v="Home Office"/>
    <d v="2023-07-01T00:00:00"/>
    <s v="ORD00041"/>
    <d v="2023-06-28T00:00:00"/>
    <d v="2023-07-01T00:00:00"/>
    <s v="Same Day"/>
    <s v="Karnataka"/>
    <n v="163780"/>
    <s v="PROD0007"/>
    <s v="Chips"/>
    <s v="Chips - 729"/>
    <n v="1"/>
    <n v="0.2"/>
    <n v="73.13"/>
  </r>
  <r>
    <s v="CUST0009"/>
    <s v="Deepa"/>
    <s v="Pillai"/>
    <d v="2001-03-16T00:00:00"/>
    <n v="485.13"/>
    <n v="2023"/>
    <s v="Large"/>
    <s v="Tier 2"/>
    <x v="5"/>
    <s v="South"/>
    <s v="India"/>
    <s v="Home Office"/>
    <d v="2023-09-30T00:00:00"/>
    <s v="ORD00042"/>
    <d v="2023-09-29T00:00:00"/>
    <d v="2023-09-30T00:00:00"/>
    <s v="First Class"/>
    <s v="Karnataka"/>
    <n v="168872"/>
    <s v="PROD0015"/>
    <s v="Soft Drinks"/>
    <s v="Soft Drinks - 536"/>
    <n v="2"/>
    <n v="0.05"/>
    <n v="34.950000000000003"/>
  </r>
  <r>
    <s v="CUST0009"/>
    <s v="Deepa"/>
    <s v="Pillai"/>
    <d v="2001-03-16T00:00:00"/>
    <n v="2832.1"/>
    <n v="2023"/>
    <s v="Medium"/>
    <s v="Tier 2"/>
    <x v="3"/>
    <s v="South"/>
    <s v="India"/>
    <s v="Home Office"/>
    <d v="2023-12-02T00:00:00"/>
    <s v="ORD00043"/>
    <d v="2023-11-28T00:00:00"/>
    <d v="2023-12-03T00:00:00"/>
    <s v="Standard Class"/>
    <s v="Karnataka"/>
    <n v="630108"/>
    <s v="PROD0020"/>
    <s v="Paneer"/>
    <s v="Paneer - 739"/>
    <n v="10"/>
    <n v="0"/>
    <n v="465.23"/>
  </r>
  <r>
    <s v="CUST0009"/>
    <s v="Deepa"/>
    <s v="Pillai"/>
    <d v="2001-03-16T00:00:00"/>
    <n v="729.88"/>
    <n v="2024"/>
    <s v="Small"/>
    <s v="Tier 2"/>
    <x v="0"/>
    <s v="South"/>
    <s v="India"/>
    <s v="Home Office"/>
    <d v="2024-08-30T00:00:00"/>
    <s v="ORD00044"/>
    <d v="2024-08-25T00:00:00"/>
    <d v="2024-08-30T00:00:00"/>
    <s v="Standard Class"/>
    <s v="Karnataka"/>
    <n v="573489"/>
    <s v="PROD0001"/>
    <s v="Namkeen"/>
    <s v="Namkeen - 201"/>
    <n v="2"/>
    <n v="0.15"/>
    <n v="228.68"/>
  </r>
  <r>
    <s v="CUST0010"/>
    <s v="Krishna"/>
    <s v="Yadav"/>
    <d v="1981-12-24T00:00:00"/>
    <n v="1190.07"/>
    <n v="2023"/>
    <s v="Medium"/>
    <s v="Tier 2"/>
    <x v="2"/>
    <s v="South"/>
    <s v="India"/>
    <s v="Home Office"/>
    <d v="2023-12-16T00:00:00"/>
    <s v="ORD00045"/>
    <d v="2023-12-14T00:00:00"/>
    <d v="2023-12-16T00:00:00"/>
    <s v="Same Day"/>
    <s v="Kerala"/>
    <n v="195656"/>
    <s v="PROD0012"/>
    <s v="Rice"/>
    <s v="Rice - 420"/>
    <n v="7"/>
    <n v="0"/>
    <n v="193.14"/>
  </r>
  <r>
    <s v="CUST0010"/>
    <s v="Krishna"/>
    <s v="Yadav"/>
    <d v="1981-12-24T00:00:00"/>
    <n v="754.8"/>
    <n v="2024"/>
    <s v="Large"/>
    <s v="Tier 2"/>
    <x v="4"/>
    <s v="South"/>
    <s v="India"/>
    <s v="Home Office"/>
    <d v="2024-02-13T00:00:00"/>
    <s v="ORD00046"/>
    <d v="2024-02-13T00:00:00"/>
    <d v="2024-02-18T00:00:00"/>
    <s v="Second Class"/>
    <s v="Kerala"/>
    <n v="802559"/>
    <s v="PROD0016"/>
    <s v="Apples"/>
    <s v="Apples - 542"/>
    <n v="2"/>
    <n v="0"/>
    <n v="221.56"/>
  </r>
  <r>
    <s v="CUST0010"/>
    <s v="Krishna"/>
    <s v="Yadav"/>
    <d v="1981-12-24T00:00:00"/>
    <n v="2598.25"/>
    <n v="2024"/>
    <s v="Medium"/>
    <s v="Tier 2"/>
    <x v="4"/>
    <s v="South"/>
    <s v="India"/>
    <s v="Home Office"/>
    <d v="2024-03-01T00:00:00"/>
    <s v="ORD00047"/>
    <d v="2024-02-28T00:00:00"/>
    <d v="2024-03-02T00:00:00"/>
    <s v="Same Day"/>
    <s v="Kerala"/>
    <n v="705991"/>
    <s v="PROD0008"/>
    <s v="Onions"/>
    <s v="Onions - 462"/>
    <n v="7"/>
    <n v="0.15"/>
    <n v="170.01"/>
  </r>
  <r>
    <s v="CUST0010"/>
    <s v="Krishna"/>
    <s v="Yadav"/>
    <d v="1981-12-24T00:00:00"/>
    <n v="1021.12"/>
    <n v="2024"/>
    <s v="Small"/>
    <s v="Tier 2"/>
    <x v="0"/>
    <s v="South"/>
    <s v="India"/>
    <s v="Home Office"/>
    <d v="2024-03-03T00:00:00"/>
    <s v="ORD00048"/>
    <d v="2024-03-01T00:00:00"/>
    <d v="2024-03-06T00:00:00"/>
    <s v="Second Class"/>
    <s v="Kerala"/>
    <n v="701987"/>
    <s v="PROD0007"/>
    <s v="Chips"/>
    <s v="Chips - 258"/>
    <n v="8"/>
    <n v="0"/>
    <n v="158.31"/>
  </r>
  <r>
    <s v="CUST0010"/>
    <s v="Krishna"/>
    <s v="Yadav"/>
    <d v="1981-12-24T00:00:00"/>
    <n v="3512.02"/>
    <n v="2024"/>
    <s v="Large"/>
    <s v="Tier 2"/>
    <x v="3"/>
    <s v="South"/>
    <s v="India"/>
    <s v="Home Office"/>
    <d v="2024-04-09T00:00:00"/>
    <s v="ORD00049"/>
    <d v="2024-04-09T00:00:00"/>
    <d v="2024-04-14T00:00:00"/>
    <s v="Second Class"/>
    <s v="Kerala"/>
    <n v="130359"/>
    <s v="PROD0013"/>
    <s v="Butter"/>
    <s v="Butter - 965"/>
    <n v="9"/>
    <n v="0.2"/>
    <n v="830.65"/>
  </r>
  <r>
    <s v="CUST0010"/>
    <s v="Krishna"/>
    <s v="Yadav"/>
    <d v="1981-12-24T00:00:00"/>
    <n v="2311.6999999999998"/>
    <n v="2025"/>
    <s v="Large"/>
    <s v="Tier 2"/>
    <x v="3"/>
    <s v="South"/>
    <s v="India"/>
    <s v="Home Office"/>
    <d v="2025-04-29T00:00:00"/>
    <s v="ORD00050"/>
    <d v="2025-04-27T00:00:00"/>
    <d v="2025-04-29T00:00:00"/>
    <s v="Standard Class"/>
    <s v="Kerala"/>
    <n v="172965"/>
    <s v="PROD0020"/>
    <s v="Paneer"/>
    <s v="Paneer - 819"/>
    <n v="5"/>
    <n v="0"/>
    <n v="119.82"/>
  </r>
  <r>
    <s v="CUST0011"/>
    <s v="Kavitha"/>
    <s v="Mishra"/>
    <d v="1981-03-23T00:00:00"/>
    <n v="1664.25"/>
    <n v="2023"/>
    <s v="Small"/>
    <s v="Tier 2"/>
    <x v="4"/>
    <s v="Central"/>
    <s v="India"/>
    <s v="Home Office"/>
    <d v="2023-02-01T00:00:00"/>
    <s v="ORD00051"/>
    <d v="2023-02-01T00:00:00"/>
    <d v="2023-02-04T00:00:00"/>
    <s v="First Class"/>
    <s v="Madhya Pradesh"/>
    <n v="265056"/>
    <s v="PROD0010"/>
    <s v="Bananas"/>
    <s v="Bananas - 485"/>
    <n v="7"/>
    <n v="0"/>
    <n v="267.97000000000003"/>
  </r>
  <r>
    <s v="CUST0011"/>
    <s v="Kavitha"/>
    <s v="Mishra"/>
    <d v="1981-03-23T00:00:00"/>
    <n v="256.04000000000002"/>
    <n v="2024"/>
    <s v="Medium"/>
    <s v="Tier 2"/>
    <x v="0"/>
    <s v="Central"/>
    <s v="India"/>
    <s v="Home Office"/>
    <d v="2024-10-13T00:00:00"/>
    <s v="ORD00052"/>
    <d v="2024-10-10T00:00:00"/>
    <d v="2024-10-15T00:00:00"/>
    <s v="Second Class"/>
    <s v="Madhya Pradesh"/>
    <n v="326040"/>
    <s v="PROD0007"/>
    <s v="Chips"/>
    <s v="Chips - 790"/>
    <n v="2"/>
    <n v="0.15"/>
    <n v="45.37"/>
  </r>
  <r>
    <s v="CUST0012"/>
    <s v="Arjun"/>
    <s v="Verma"/>
    <d v="1994-08-31T00:00:00"/>
    <n v="2183.44"/>
    <n v="2023"/>
    <s v="Small"/>
    <s v="Tier 2"/>
    <x v="2"/>
    <s v="West"/>
    <s v="India"/>
    <s v="Consumer"/>
    <d v="2023-04-28T00:00:00"/>
    <s v="ORD00053"/>
    <d v="2023-04-24T00:00:00"/>
    <d v="2023-04-28T00:00:00"/>
    <s v="Same Day"/>
    <s v="Rajasthan"/>
    <n v="314353"/>
    <s v="PROD0003"/>
    <s v="Pulses"/>
    <s v="Pulses - 707"/>
    <n v="8"/>
    <n v="0"/>
    <n v="138.91999999999999"/>
  </r>
  <r>
    <s v="CUST0012"/>
    <s v="Arjun"/>
    <s v="Verma"/>
    <d v="1994-08-31T00:00:00"/>
    <n v="1160.4000000000001"/>
    <n v="2023"/>
    <s v="Large"/>
    <s v="Tier 2"/>
    <x v="1"/>
    <s v="West"/>
    <s v="India"/>
    <s v="Consumer"/>
    <d v="2023-04-28T00:00:00"/>
    <s v="ORD00054"/>
    <d v="2023-04-27T00:00:00"/>
    <d v="2023-04-28T00:00:00"/>
    <s v="Standard Class"/>
    <s v="Rajasthan"/>
    <n v="284229"/>
    <s v="PROD0002"/>
    <s v="Bread"/>
    <s v="Bread - 885"/>
    <n v="3"/>
    <n v="0"/>
    <n v="172.25"/>
  </r>
  <r>
    <s v="CUST0012"/>
    <s v="Arjun"/>
    <s v="Verma"/>
    <d v="1994-08-31T00:00:00"/>
    <n v="832.42"/>
    <n v="2023"/>
    <s v="Medium"/>
    <s v="Tier 2"/>
    <x v="3"/>
    <s v="West"/>
    <s v="India"/>
    <s v="Consumer"/>
    <d v="2023-10-18T00:00:00"/>
    <s v="ORD00055"/>
    <d v="2023-10-18T00:00:00"/>
    <d v="2023-10-21T00:00:00"/>
    <s v="Same Day"/>
    <s v="Rajasthan"/>
    <n v="557409"/>
    <s v="PROD0013"/>
    <s v="Butter"/>
    <s v="Butter - 645"/>
    <n v="4"/>
    <n v="0.2"/>
    <n v="208.45"/>
  </r>
  <r>
    <s v="CUST0012"/>
    <s v="Arjun"/>
    <s v="Verma"/>
    <d v="1994-08-31T00:00:00"/>
    <n v="1600.34"/>
    <n v="2023"/>
    <s v="Small"/>
    <s v="Tier 2"/>
    <x v="4"/>
    <s v="West"/>
    <s v="India"/>
    <s v="Consumer"/>
    <d v="2023-12-22T00:00:00"/>
    <s v="ORD00056"/>
    <d v="2023-12-20T00:00:00"/>
    <d v="2023-12-24T00:00:00"/>
    <s v="Standard Class"/>
    <s v="Rajasthan"/>
    <n v="121869"/>
    <s v="PROD0008"/>
    <s v="Onions"/>
    <s v="Onions - 179"/>
    <n v="6"/>
    <n v="0.1"/>
    <n v="274.18"/>
  </r>
  <r>
    <s v="CUST0012"/>
    <s v="Arjun"/>
    <s v="Verma"/>
    <d v="1994-08-31T00:00:00"/>
    <n v="2047.22"/>
    <n v="2024"/>
    <s v="Small"/>
    <s v="Tier 2"/>
    <x v="1"/>
    <s v="West"/>
    <s v="India"/>
    <s v="Consumer"/>
    <d v="2024-03-17T00:00:00"/>
    <s v="ORD00057"/>
    <d v="2024-03-16T00:00:00"/>
    <d v="2024-03-17T00:00:00"/>
    <s v="First Class"/>
    <s v="Rajasthan"/>
    <n v="556839"/>
    <s v="PROD0002"/>
    <s v="Bread"/>
    <s v="Bread - 920"/>
    <n v="10"/>
    <n v="0.15"/>
    <n v="667.25"/>
  </r>
  <r>
    <s v="CUST0013"/>
    <s v="Kavya"/>
    <s v="Pandey"/>
    <d v="1969-07-13T00:00:00"/>
    <n v="719.48"/>
    <n v="2023"/>
    <s v="Medium"/>
    <s v="Tier 2"/>
    <x v="1"/>
    <s v="North"/>
    <s v="India"/>
    <s v="Corporate"/>
    <d v="2023-03-22T00:00:00"/>
    <s v="ORD00058"/>
    <d v="2023-03-22T00:00:00"/>
    <d v="2023-03-23T00:00:00"/>
    <s v="Second Class"/>
    <s v="Uttar Pradesh"/>
    <n v="862712"/>
    <s v="PROD0006"/>
    <s v="Cookies"/>
    <s v="Cookies - 447"/>
    <n v="4"/>
    <n v="0"/>
    <n v="52.46"/>
  </r>
  <r>
    <s v="CUST0013"/>
    <s v="Kavya"/>
    <s v="Pandey"/>
    <d v="1969-07-13T00:00:00"/>
    <n v="180.58"/>
    <n v="2024"/>
    <s v="Small"/>
    <s v="Tier 2"/>
    <x v="2"/>
    <s v="North"/>
    <s v="India"/>
    <s v="Corporate"/>
    <d v="2024-02-12T00:00:00"/>
    <s v="ORD00059"/>
    <d v="2024-02-10T00:00:00"/>
    <d v="2024-02-12T00:00:00"/>
    <s v="First Class"/>
    <s v="Uttar Pradesh"/>
    <n v="910389"/>
    <s v="PROD0012"/>
    <s v="Rice"/>
    <s v="Rice - 341"/>
    <n v="2"/>
    <n v="0"/>
    <n v="18.43"/>
  </r>
  <r>
    <s v="CUST0013"/>
    <s v="Kavya"/>
    <s v="Pandey"/>
    <d v="1969-07-13T00:00:00"/>
    <n v="3655.03"/>
    <n v="2024"/>
    <s v="Large"/>
    <s v="Tier 2"/>
    <x v="2"/>
    <s v="North"/>
    <s v="India"/>
    <s v="Corporate"/>
    <d v="2024-06-25T00:00:00"/>
    <s v="ORD00060"/>
    <d v="2024-06-20T00:00:00"/>
    <d v="2024-06-25T00:00:00"/>
    <s v="Second Class"/>
    <s v="Uttar Pradesh"/>
    <n v="757685"/>
    <s v="PROD0009"/>
    <s v="Wheat Flour"/>
    <s v="Wheat Flour - 575"/>
    <n v="10"/>
    <n v="0.05"/>
    <n v="929.62"/>
  </r>
  <r>
    <s v="CUST0013"/>
    <s v="Kavya"/>
    <s v="Pandey"/>
    <d v="1969-07-13T00:00:00"/>
    <n v="416.64"/>
    <n v="2025"/>
    <s v="Medium"/>
    <s v="Tier 2"/>
    <x v="1"/>
    <s v="North"/>
    <s v="India"/>
    <s v="Corporate"/>
    <d v="2025-06-10T00:00:00"/>
    <s v="ORD00061"/>
    <d v="2025-06-10T00:00:00"/>
    <d v="2025-06-13T00:00:00"/>
    <s v="Same Day"/>
    <s v="Uttar Pradesh"/>
    <n v="425486"/>
    <s v="PROD0002"/>
    <s v="Bread"/>
    <s v="Bread - 550"/>
    <n v="2"/>
    <n v="0.15"/>
    <n v="58.68"/>
  </r>
  <r>
    <s v="CUST0014"/>
    <s v="Mohammed"/>
    <s v="Kulkarni"/>
    <d v="1981-05-14T00:00:00"/>
    <n v="567.36"/>
    <n v="2023"/>
    <s v="Large"/>
    <s v="Tier 1"/>
    <x v="1"/>
    <s v="West"/>
    <s v="India"/>
    <s v="Corporate"/>
    <d v="2023-02-12T00:00:00"/>
    <s v="ORD00062"/>
    <d v="2023-02-08T00:00:00"/>
    <d v="2023-02-13T00:00:00"/>
    <s v="Same Day"/>
    <s v="Maharashtra"/>
    <n v="571579"/>
    <s v="PROD0002"/>
    <s v="Bread"/>
    <s v="Bread - 760"/>
    <n v="2"/>
    <n v="0.1"/>
    <n v="93.81"/>
  </r>
  <r>
    <s v="CUST0014"/>
    <s v="Mohammed"/>
    <s v="Kulkarni"/>
    <d v="1981-05-14T00:00:00"/>
    <n v="1676.16"/>
    <n v="2023"/>
    <s v="Small"/>
    <s v="Tier 1"/>
    <x v="0"/>
    <s v="West"/>
    <s v="India"/>
    <s v="Corporate"/>
    <d v="2023-03-01T00:00:00"/>
    <s v="ORD00063"/>
    <d v="2023-02-28T00:00:00"/>
    <d v="2023-03-01T00:00:00"/>
    <s v="Second Class"/>
    <s v="Maharashtra"/>
    <n v="849014"/>
    <s v="PROD0004"/>
    <s v="Biscuits"/>
    <s v="Biscuits - 292"/>
    <n v="6"/>
    <n v="0.1"/>
    <n v="159.66999999999999"/>
  </r>
  <r>
    <s v="CUST0014"/>
    <s v="Mohammed"/>
    <s v="Kulkarni"/>
    <d v="1981-05-14T00:00:00"/>
    <n v="1366.71"/>
    <n v="2024"/>
    <s v="Medium"/>
    <s v="Tier 1"/>
    <x v="4"/>
    <s v="West"/>
    <s v="India"/>
    <s v="Corporate"/>
    <d v="2024-01-14T00:00:00"/>
    <s v="ORD00064"/>
    <d v="2024-01-13T00:00:00"/>
    <d v="2024-01-18T00:00:00"/>
    <s v="Second Class"/>
    <s v="Maharashtra"/>
    <n v="396635"/>
    <s v="PROD0010"/>
    <s v="Bananas"/>
    <s v="Bananas - 140"/>
    <n v="4"/>
    <n v="0.05"/>
    <n v="283.20999999999998"/>
  </r>
  <r>
    <s v="CUST0014"/>
    <s v="Mohammed"/>
    <s v="Kulkarni"/>
    <d v="1981-05-14T00:00:00"/>
    <n v="2075.2199999999998"/>
    <n v="2025"/>
    <s v="Medium"/>
    <s v="Tier 1"/>
    <x v="5"/>
    <s v="West"/>
    <s v="India"/>
    <s v="Corporate"/>
    <d v="2025-05-01T00:00:00"/>
    <s v="ORD00065"/>
    <d v="2025-05-01T00:00:00"/>
    <d v="2025-05-04T00:00:00"/>
    <s v="Same Day"/>
    <s v="Maharashtra"/>
    <n v="685066"/>
    <s v="PROD0015"/>
    <s v="Soft Drinks"/>
    <s v="Soft Drinks - 893"/>
    <n v="6"/>
    <n v="0"/>
    <n v="595.11"/>
  </r>
  <r>
    <s v="CUST0015"/>
    <s v="Aadhya"/>
    <s v="Subramaniam"/>
    <d v="1976-12-23T00:00:00"/>
    <n v="599.41999999999996"/>
    <n v="2023"/>
    <s v="Small"/>
    <s v="Tier 2"/>
    <x v="0"/>
    <s v="South"/>
    <s v="India"/>
    <s v="Home Office"/>
    <d v="2023-09-19T00:00:00"/>
    <s v="ORD00066"/>
    <d v="2023-09-16T00:00:00"/>
    <d v="2023-09-19T00:00:00"/>
    <s v="Same Day"/>
    <s v="Kerala"/>
    <n v="424620"/>
    <s v="PROD0007"/>
    <s v="Chips"/>
    <s v="Chips - 441"/>
    <n v="2"/>
    <n v="0"/>
    <n v="194.83"/>
  </r>
  <r>
    <s v="CUST0015"/>
    <s v="Aadhya"/>
    <s v="Subramaniam"/>
    <d v="1976-12-23T00:00:00"/>
    <n v="2092.6799999999998"/>
    <n v="2023"/>
    <s v="Large"/>
    <s v="Tier 2"/>
    <x v="0"/>
    <s v="South"/>
    <s v="India"/>
    <s v="Home Office"/>
    <d v="2023-10-18T00:00:00"/>
    <s v="ORD00067"/>
    <d v="2023-10-18T00:00:00"/>
    <d v="2023-10-23T00:00:00"/>
    <s v="Standard Class"/>
    <s v="Kerala"/>
    <n v="633188"/>
    <s v="PROD0001"/>
    <s v="Namkeen"/>
    <s v="Namkeen - 758"/>
    <n v="6"/>
    <n v="0.15"/>
    <n v="545.87"/>
  </r>
  <r>
    <s v="CUST0015"/>
    <s v="Aadhya"/>
    <s v="Subramaniam"/>
    <d v="1976-12-23T00:00:00"/>
    <n v="532.65"/>
    <n v="2024"/>
    <s v="Small"/>
    <s v="Tier 2"/>
    <x v="1"/>
    <s v="South"/>
    <s v="India"/>
    <s v="Home Office"/>
    <d v="2024-11-04T00:00:00"/>
    <s v="ORD00068"/>
    <d v="2024-11-03T00:00:00"/>
    <d v="2024-11-07T00:00:00"/>
    <s v="First Class"/>
    <s v="Kerala"/>
    <n v="262471"/>
    <s v="PROD0002"/>
    <s v="Bread"/>
    <s v="Bread - 471"/>
    <n v="5"/>
    <n v="0"/>
    <n v="81.239999999999995"/>
  </r>
  <r>
    <s v="CUST0015"/>
    <s v="Aadhya"/>
    <s v="Subramaniam"/>
    <d v="1976-12-23T00:00:00"/>
    <n v="474.64"/>
    <n v="2025"/>
    <s v="Large"/>
    <s v="Tier 2"/>
    <x v="4"/>
    <s v="South"/>
    <s v="India"/>
    <s v="Home Office"/>
    <d v="2025-01-11T00:00:00"/>
    <s v="ORD00069"/>
    <d v="2025-01-11T00:00:00"/>
    <d v="2025-01-16T00:00:00"/>
    <s v="Second Class"/>
    <s v="Kerala"/>
    <n v="903531"/>
    <s v="PROD0014"/>
    <s v="Tomatoes"/>
    <s v="Tomatoes - 964"/>
    <n v="2"/>
    <n v="0.1"/>
    <n v="142.65"/>
  </r>
  <r>
    <s v="CUST0015"/>
    <s v="Aadhya"/>
    <s v="Subramaniam"/>
    <d v="1976-12-23T00:00:00"/>
    <n v="658.28"/>
    <n v="2025"/>
    <s v="Large"/>
    <s v="Tier 2"/>
    <x v="0"/>
    <s v="South"/>
    <s v="India"/>
    <s v="Home Office"/>
    <d v="2025-05-23T00:00:00"/>
    <s v="ORD00070"/>
    <d v="2025-05-22T00:00:00"/>
    <d v="2025-05-27T00:00:00"/>
    <s v="Standard Class"/>
    <s v="Kerala"/>
    <n v="145814"/>
    <s v="PROD0007"/>
    <s v="Chips"/>
    <s v="Chips - 711"/>
    <n v="7"/>
    <n v="0"/>
    <n v="197.09"/>
  </r>
  <r>
    <s v="CUST0016"/>
    <s v="Naveen"/>
    <s v="Menon"/>
    <d v="1972-05-01T00:00:00"/>
    <n v="1058.56"/>
    <n v="2023"/>
    <s v="Medium"/>
    <s v="Tier 2"/>
    <x v="5"/>
    <s v="East"/>
    <s v="India"/>
    <s v="Corporate"/>
    <d v="2023-09-02T00:00:00"/>
    <s v="ORD00071"/>
    <d v="2023-09-01T00:00:00"/>
    <d v="2023-09-05T00:00:00"/>
    <s v="Standard Class"/>
    <s v="West Bengal"/>
    <n v="584106"/>
    <s v="PROD0011"/>
    <s v="Juice"/>
    <s v="Juice - 870"/>
    <n v="8"/>
    <n v="0"/>
    <n v="151.21"/>
  </r>
  <r>
    <s v="CUST0016"/>
    <s v="Naveen"/>
    <s v="Menon"/>
    <d v="1972-05-01T00:00:00"/>
    <n v="1988.64"/>
    <n v="2024"/>
    <s v="Medium"/>
    <s v="Tier 2"/>
    <x v="1"/>
    <s v="East"/>
    <s v="India"/>
    <s v="Corporate"/>
    <d v="2024-11-24T00:00:00"/>
    <s v="ORD00072"/>
    <d v="2024-11-23T00:00:00"/>
    <d v="2024-11-28T00:00:00"/>
    <s v="Same Day"/>
    <s v="West Bengal"/>
    <n v="772324"/>
    <s v="PROD0018"/>
    <s v="Buns"/>
    <s v="Buns - 614"/>
    <n v="9"/>
    <n v="0"/>
    <n v="586.78"/>
  </r>
  <r>
    <s v="CUST0016"/>
    <s v="Naveen"/>
    <s v="Menon"/>
    <d v="1972-05-01T00:00:00"/>
    <n v="650.65"/>
    <n v="2025"/>
    <s v="Small"/>
    <s v="Tier 2"/>
    <x v="5"/>
    <s v="East"/>
    <s v="India"/>
    <s v="Corporate"/>
    <d v="2025-01-06T00:00:00"/>
    <s v="ORD00073"/>
    <d v="2025-01-06T00:00:00"/>
    <d v="2025-01-09T00:00:00"/>
    <s v="Second Class"/>
    <s v="West Bengal"/>
    <n v="571145"/>
    <s v="PROD0011"/>
    <s v="Juice"/>
    <s v="Juice - 667"/>
    <n v="2"/>
    <n v="0.1"/>
    <n v="198.68"/>
  </r>
  <r>
    <s v="CUST0017"/>
    <s v="Mohammed"/>
    <s v="Raghavan"/>
    <d v="1989-12-26T00:00:00"/>
    <n v="210.3"/>
    <n v="2023"/>
    <s v="Small"/>
    <s v="Tier 2"/>
    <x v="1"/>
    <s v="West"/>
    <s v="India"/>
    <s v="Consumer"/>
    <d v="2023-04-05T00:00:00"/>
    <s v="ORD00074"/>
    <d v="2023-04-04T00:00:00"/>
    <d v="2023-04-05T00:00:00"/>
    <s v="Same Day"/>
    <s v="Rajasthan"/>
    <n v="434165"/>
    <s v="PROD0002"/>
    <s v="Bread"/>
    <s v="Bread - 524"/>
    <n v="1"/>
    <n v="0"/>
    <n v="25.39"/>
  </r>
  <r>
    <s v="CUST0017"/>
    <s v="Mohammed"/>
    <s v="Raghavan"/>
    <d v="1989-12-26T00:00:00"/>
    <n v="258.14999999999998"/>
    <n v="2023"/>
    <s v="Large"/>
    <s v="Tier 2"/>
    <x v="4"/>
    <s v="West"/>
    <s v="India"/>
    <s v="Consumer"/>
    <d v="2023-06-01T00:00:00"/>
    <s v="ORD00075"/>
    <d v="2023-05-31T00:00:00"/>
    <d v="2023-06-04T00:00:00"/>
    <s v="Standard Class"/>
    <s v="Rajasthan"/>
    <n v="570392"/>
    <s v="PROD0014"/>
    <s v="Tomatoes"/>
    <s v="Tomatoes - 910"/>
    <n v="3"/>
    <n v="0"/>
    <n v="83.96"/>
  </r>
  <r>
    <s v="CUST0017"/>
    <s v="Mohammed"/>
    <s v="Raghavan"/>
    <d v="1989-12-26T00:00:00"/>
    <n v="114.27"/>
    <n v="2023"/>
    <s v="Medium"/>
    <s v="Tier 2"/>
    <x v="0"/>
    <s v="West"/>
    <s v="India"/>
    <s v="Consumer"/>
    <d v="2023-08-20T00:00:00"/>
    <s v="ORD00076"/>
    <d v="2023-08-16T00:00:00"/>
    <d v="2023-08-21T00:00:00"/>
    <s v="Same Day"/>
    <s v="Rajasthan"/>
    <n v="913875"/>
    <s v="PROD0007"/>
    <s v="Chips"/>
    <s v="Chips - 181"/>
    <n v="1"/>
    <n v="0.2"/>
    <n v="10.84"/>
  </r>
  <r>
    <s v="CUST0017"/>
    <s v="Mohammed"/>
    <s v="Raghavan"/>
    <d v="1989-12-26T00:00:00"/>
    <n v="81.55"/>
    <n v="2024"/>
    <s v="Small"/>
    <s v="Tier 2"/>
    <x v="1"/>
    <s v="West"/>
    <s v="India"/>
    <s v="Consumer"/>
    <d v="2024-03-26T00:00:00"/>
    <s v="ORD00077"/>
    <d v="2024-03-23T00:00:00"/>
    <d v="2024-03-28T00:00:00"/>
    <s v="Same Day"/>
    <s v="Rajasthan"/>
    <n v="977330"/>
    <s v="PROD0002"/>
    <s v="Bread"/>
    <s v="Bread - 408"/>
    <n v="2"/>
    <n v="0.05"/>
    <n v="19.71"/>
  </r>
  <r>
    <s v="CUST0017"/>
    <s v="Mohammed"/>
    <s v="Raghavan"/>
    <d v="1989-12-26T00:00:00"/>
    <n v="2264.5500000000002"/>
    <n v="2024"/>
    <s v="Large"/>
    <s v="Tier 2"/>
    <x v="5"/>
    <s v="West"/>
    <s v="India"/>
    <s v="Consumer"/>
    <d v="2024-04-06T00:00:00"/>
    <s v="ORD00078"/>
    <d v="2024-04-06T00:00:00"/>
    <d v="2024-04-10T00:00:00"/>
    <s v="Second Class"/>
    <s v="Rajasthan"/>
    <n v="352249"/>
    <s v="PROD0019"/>
    <s v="Tea"/>
    <s v="Tea - 747"/>
    <n v="9"/>
    <n v="0.15"/>
    <n v="210.77"/>
  </r>
  <r>
    <s v="CUST0017"/>
    <s v="Mohammed"/>
    <s v="Raghavan"/>
    <d v="1989-12-26T00:00:00"/>
    <n v="542.54"/>
    <n v="2025"/>
    <s v="Large"/>
    <s v="Tier 2"/>
    <x v="0"/>
    <s v="West"/>
    <s v="India"/>
    <s v="Consumer"/>
    <d v="2025-04-20T00:00:00"/>
    <s v="ORD00079"/>
    <d v="2025-04-16T00:00:00"/>
    <d v="2025-04-21T00:00:00"/>
    <s v="Same Day"/>
    <s v="Rajasthan"/>
    <n v="509420"/>
    <s v="PROD0001"/>
    <s v="Namkeen"/>
    <s v="Namkeen - 291"/>
    <n v="2"/>
    <n v="0"/>
    <n v="38.14"/>
  </r>
  <r>
    <s v="CUST0017"/>
    <s v="Mohammed"/>
    <s v="Raghavan"/>
    <d v="1989-12-26T00:00:00"/>
    <n v="3436.3"/>
    <n v="2025"/>
    <s v="Medium"/>
    <s v="Tier 2"/>
    <x v="5"/>
    <s v="West"/>
    <s v="India"/>
    <s v="Consumer"/>
    <d v="2025-04-30T00:00:00"/>
    <s v="ORD00080"/>
    <d v="2025-04-30T00:00:00"/>
    <d v="2025-05-03T00:00:00"/>
    <s v="First Class"/>
    <s v="Rajasthan"/>
    <n v="868544"/>
    <s v="PROD0019"/>
    <s v="Tea"/>
    <s v="Tea - 750"/>
    <n v="7"/>
    <n v="0"/>
    <n v="942.22"/>
  </r>
  <r>
    <s v="CUST0018"/>
    <s v="Kavya"/>
    <s v="Kulkarni"/>
    <d v="1966-06-10T00:00:00"/>
    <n v="1354.03"/>
    <n v="2023"/>
    <s v="Large"/>
    <s v="Tier 2"/>
    <x v="1"/>
    <s v="North"/>
    <s v="India"/>
    <s v="Corporate"/>
    <d v="2023-04-20T00:00:00"/>
    <s v="ORD00081"/>
    <d v="2023-04-17T00:00:00"/>
    <d v="2023-04-21T00:00:00"/>
    <s v="First Class"/>
    <s v="Punjab"/>
    <n v="950916"/>
    <s v="PROD0002"/>
    <s v="Bread"/>
    <s v="Bread - 145"/>
    <n v="6"/>
    <n v="0.2"/>
    <n v="328.81"/>
  </r>
  <r>
    <s v="CUST0018"/>
    <s v="Kavya"/>
    <s v="Kulkarni"/>
    <d v="1966-06-10T00:00:00"/>
    <n v="302"/>
    <n v="2024"/>
    <s v="Medium"/>
    <s v="Tier 2"/>
    <x v="3"/>
    <s v="North"/>
    <s v="India"/>
    <s v="Corporate"/>
    <d v="2024-08-18T00:00:00"/>
    <s v="ORD00082"/>
    <d v="2024-08-18T00:00:00"/>
    <d v="2024-08-20T00:00:00"/>
    <s v="Second Class"/>
    <s v="Punjab"/>
    <n v="640418"/>
    <s v="PROD0021"/>
    <s v="Milk"/>
    <s v="Milk - 833"/>
    <n v="8"/>
    <n v="0"/>
    <n v="19.07"/>
  </r>
  <r>
    <s v="CUST0018"/>
    <s v="Kavya"/>
    <s v="Kulkarni"/>
    <d v="1966-06-10T00:00:00"/>
    <n v="381.58"/>
    <n v="2025"/>
    <s v="Medium"/>
    <s v="Tier 2"/>
    <x v="5"/>
    <s v="North"/>
    <s v="India"/>
    <s v="Corporate"/>
    <d v="2025-01-23T00:00:00"/>
    <s v="ORD00083"/>
    <d v="2025-01-22T00:00:00"/>
    <d v="2025-01-23T00:00:00"/>
    <s v="Same Day"/>
    <s v="Punjab"/>
    <n v="938171"/>
    <s v="PROD0015"/>
    <s v="Soft Drinks"/>
    <s v="Soft Drinks - 359"/>
    <n v="1"/>
    <n v="0"/>
    <n v="51.83"/>
  </r>
  <r>
    <s v="CUST0018"/>
    <s v="Kavya"/>
    <s v="Kulkarni"/>
    <d v="1966-06-10T00:00:00"/>
    <n v="3415.67"/>
    <n v="2025"/>
    <s v="Large"/>
    <s v="Tier 2"/>
    <x v="1"/>
    <s v="North"/>
    <s v="India"/>
    <s v="Corporate"/>
    <d v="2025-02-14T00:00:00"/>
    <s v="ORD00084"/>
    <d v="2025-02-13T00:00:00"/>
    <d v="2025-02-15T00:00:00"/>
    <s v="Standard Class"/>
    <s v="Punjab"/>
    <n v="485191"/>
    <s v="PROD0018"/>
    <s v="Buns"/>
    <s v="Buns - 509"/>
    <n v="8"/>
    <n v="0.05"/>
    <n v="518.19000000000005"/>
  </r>
  <r>
    <s v="CUST0018"/>
    <s v="Kavya"/>
    <s v="Kulkarni"/>
    <d v="1966-06-10T00:00:00"/>
    <n v="738"/>
    <n v="2025"/>
    <s v="Medium"/>
    <s v="Tier 2"/>
    <x v="0"/>
    <s v="North"/>
    <s v="India"/>
    <s v="Corporate"/>
    <d v="2025-03-03T00:00:00"/>
    <s v="ORD00085"/>
    <d v="2025-03-01T00:00:00"/>
    <d v="2025-03-03T00:00:00"/>
    <s v="Second Class"/>
    <s v="Punjab"/>
    <n v="207581"/>
    <s v="PROD0001"/>
    <s v="Namkeen"/>
    <s v="Namkeen - 920"/>
    <n v="2"/>
    <n v="0"/>
    <n v="132.24"/>
  </r>
  <r>
    <s v="CUST0019"/>
    <s v="Arjun"/>
    <s v="Gupta"/>
    <d v="1990-06-11T00:00:00"/>
    <n v="3644.8"/>
    <n v="2024"/>
    <s v="Small"/>
    <s v="Tier 2"/>
    <x v="1"/>
    <s v="North"/>
    <s v="India"/>
    <s v="Home Office"/>
    <d v="2024-11-10T00:00:00"/>
    <s v="ORD00086"/>
    <d v="2024-11-07T00:00:00"/>
    <d v="2024-11-10T00:00:00"/>
    <s v="Second Class"/>
    <s v="Punjab"/>
    <n v="744718"/>
    <s v="PROD0018"/>
    <s v="Buns"/>
    <s v="Buns - 556"/>
    <n v="10"/>
    <n v="0"/>
    <n v="936.46"/>
  </r>
  <r>
    <s v="CUST0020"/>
    <s v="Neha"/>
    <s v="Das"/>
    <d v="1993-11-02T00:00:00"/>
    <n v="1432.02"/>
    <n v="2023"/>
    <s v="Small"/>
    <s v="Tier 1"/>
    <x v="1"/>
    <s v="East"/>
    <s v="India"/>
    <s v="Corporate"/>
    <d v="2023-02-28T00:00:00"/>
    <s v="ORD00087"/>
    <d v="2023-02-28T00:00:00"/>
    <d v="2023-03-04T00:00:00"/>
    <s v="Same Day"/>
    <s v="West Bengal"/>
    <n v="347459"/>
    <s v="PROD0006"/>
    <s v="Cookies"/>
    <s v="Cookies - 920"/>
    <n v="3"/>
    <n v="0"/>
    <n v="436.19"/>
  </r>
  <r>
    <s v="CUST0020"/>
    <s v="Neha"/>
    <s v="Das"/>
    <d v="1993-11-02T00:00:00"/>
    <n v="3330.18"/>
    <n v="2023"/>
    <s v="Medium"/>
    <s v="Tier 1"/>
    <x v="2"/>
    <s v="East"/>
    <s v="India"/>
    <s v="Corporate"/>
    <d v="2023-03-20T00:00:00"/>
    <s v="ORD00088"/>
    <d v="2023-03-18T00:00:00"/>
    <d v="2023-03-22T00:00:00"/>
    <s v="Standard Class"/>
    <s v="West Bengal"/>
    <n v="900152"/>
    <s v="PROD0009"/>
    <s v="Wheat Flour"/>
    <s v="Wheat Flour - 470"/>
    <n v="7"/>
    <n v="0"/>
    <n v="771.03"/>
  </r>
  <r>
    <s v="CUST0020"/>
    <s v="Neha"/>
    <s v="Das"/>
    <d v="1993-11-02T00:00:00"/>
    <n v="1076.4100000000001"/>
    <n v="2023"/>
    <s v="Large"/>
    <s v="Tier 1"/>
    <x v="4"/>
    <s v="East"/>
    <s v="India"/>
    <s v="Corporate"/>
    <d v="2023-10-09T00:00:00"/>
    <s v="ORD00089"/>
    <d v="2023-10-09T00:00:00"/>
    <d v="2023-10-10T00:00:00"/>
    <s v="First Class"/>
    <s v="West Bengal"/>
    <n v="623285"/>
    <s v="PROD0010"/>
    <s v="Bananas"/>
    <s v="Bananas - 642"/>
    <n v="6"/>
    <n v="0.15"/>
    <n v="143.82"/>
  </r>
  <r>
    <s v="CUST0020"/>
    <s v="Neha"/>
    <s v="Das"/>
    <d v="1993-11-02T00:00:00"/>
    <n v="291.3"/>
    <n v="2024"/>
    <s v="Medium"/>
    <s v="Tier 1"/>
    <x v="0"/>
    <s v="East"/>
    <s v="India"/>
    <s v="Corporate"/>
    <d v="2024-02-22T00:00:00"/>
    <s v="ORD00090"/>
    <d v="2024-02-20T00:00:00"/>
    <d v="2024-02-22T00:00:00"/>
    <s v="Standard Class"/>
    <s v="West Bengal"/>
    <n v="309902"/>
    <s v="PROD0001"/>
    <s v="Namkeen"/>
    <s v="Namkeen - 675"/>
    <n v="2"/>
    <n v="0"/>
    <n v="76.09"/>
  </r>
  <r>
    <s v="CUST0020"/>
    <s v="Neha"/>
    <s v="Das"/>
    <d v="1993-11-02T00:00:00"/>
    <n v="402.87"/>
    <n v="2024"/>
    <s v="Large"/>
    <s v="Tier 1"/>
    <x v="4"/>
    <s v="East"/>
    <s v="India"/>
    <s v="Corporate"/>
    <d v="2024-10-15T00:00:00"/>
    <s v="ORD00091"/>
    <d v="2024-10-14T00:00:00"/>
    <d v="2024-10-15T00:00:00"/>
    <s v="Second Class"/>
    <s v="West Bengal"/>
    <n v="844007"/>
    <s v="PROD0010"/>
    <s v="Bananas"/>
    <s v="Bananas - 973"/>
    <n v="2"/>
    <n v="0.15"/>
    <n v="73.94"/>
  </r>
  <r>
    <s v="CUST0020"/>
    <s v="Neha"/>
    <s v="Das"/>
    <d v="1993-11-02T00:00:00"/>
    <n v="922.26"/>
    <n v="2024"/>
    <s v="Small"/>
    <s v="Tier 1"/>
    <x v="4"/>
    <s v="East"/>
    <s v="India"/>
    <s v="Corporate"/>
    <d v="2024-10-17T00:00:00"/>
    <s v="ORD00092"/>
    <d v="2024-10-16T00:00:00"/>
    <d v="2024-10-19T00:00:00"/>
    <s v="First Class"/>
    <s v="West Bengal"/>
    <n v="930541"/>
    <s v="PROD0014"/>
    <s v="Tomatoes"/>
    <s v="Tomatoes - 407"/>
    <n v="3"/>
    <n v="0.15"/>
    <n v="222.55"/>
  </r>
  <r>
    <s v="CUST0020"/>
    <s v="Neha"/>
    <s v="Das"/>
    <d v="1993-11-02T00:00:00"/>
    <n v="234.86"/>
    <n v="2024"/>
    <s v="Small"/>
    <s v="Tier 1"/>
    <x v="3"/>
    <s v="East"/>
    <s v="India"/>
    <s v="Corporate"/>
    <d v="2024-11-22T00:00:00"/>
    <s v="ORD00093"/>
    <d v="2024-11-18T00:00:00"/>
    <d v="2024-11-22T00:00:00"/>
    <s v="Same Day"/>
    <s v="West Bengal"/>
    <n v="168941"/>
    <s v="PROD0005"/>
    <s v="Yogurt"/>
    <s v="Yogurt - 909"/>
    <n v="8"/>
    <n v="0.1"/>
    <n v="52.06"/>
  </r>
  <r>
    <s v="CUST0020"/>
    <s v="Neha"/>
    <s v="Das"/>
    <d v="1993-11-02T00:00:00"/>
    <n v="1742.91"/>
    <n v="2025"/>
    <s v="Small"/>
    <s v="Tier 1"/>
    <x v="1"/>
    <s v="East"/>
    <s v="India"/>
    <s v="Corporate"/>
    <d v="2025-03-21T00:00:00"/>
    <s v="ORD00094"/>
    <d v="2025-03-21T00:00:00"/>
    <d v="2025-03-26T00:00:00"/>
    <s v="Second Class"/>
    <s v="West Bengal"/>
    <n v="773540"/>
    <s v="PROD0018"/>
    <s v="Buns"/>
    <s v="Buns - 834"/>
    <n v="8"/>
    <n v="0.2"/>
    <n v="301.23"/>
  </r>
  <r>
    <s v="CUST0021"/>
    <s v="Ishaan"/>
    <s v="Menon"/>
    <d v="1998-06-02T00:00:00"/>
    <n v="1059.4100000000001"/>
    <n v="2024"/>
    <s v="Small"/>
    <s v="Tier 2"/>
    <x v="2"/>
    <s v="East"/>
    <s v="India"/>
    <s v="Home Office"/>
    <d v="2024-04-23T00:00:00"/>
    <s v="ORD00095"/>
    <d v="2024-04-22T00:00:00"/>
    <d v="2024-04-27T00:00:00"/>
    <s v="Standard Class"/>
    <s v="Jharkhand"/>
    <n v="627290"/>
    <s v="PROD0003"/>
    <s v="Pulses"/>
    <s v="Pulses - 452"/>
    <n v="3"/>
    <n v="0.2"/>
    <n v="228.19"/>
  </r>
  <r>
    <s v="CUST0022"/>
    <s v="Lakshmi"/>
    <s v="Chatterjee"/>
    <d v="1991-03-06T00:00:00"/>
    <n v="669.92"/>
    <n v="2023"/>
    <s v="Small"/>
    <s v="Tier 2"/>
    <x v="3"/>
    <s v="North"/>
    <s v="India"/>
    <s v="Consumer"/>
    <d v="2023-02-27T00:00:00"/>
    <s v="ORD00096"/>
    <d v="2023-02-26T00:00:00"/>
    <d v="2023-02-27T00:00:00"/>
    <s v="Second Class"/>
    <s v="Uttar Pradesh"/>
    <n v="231250"/>
    <s v="PROD0020"/>
    <s v="Paneer"/>
    <s v="Paneer - 826"/>
    <n v="4"/>
    <n v="0.1"/>
    <n v="213.35"/>
  </r>
  <r>
    <s v="CUST0022"/>
    <s v="Lakshmi"/>
    <s v="Chatterjee"/>
    <d v="1991-03-06T00:00:00"/>
    <n v="496.1"/>
    <n v="2023"/>
    <s v="Small"/>
    <s v="Tier 2"/>
    <x v="2"/>
    <s v="North"/>
    <s v="India"/>
    <s v="Consumer"/>
    <d v="2023-05-09T00:00:00"/>
    <s v="ORD00097"/>
    <d v="2023-05-08T00:00:00"/>
    <d v="2023-05-13T00:00:00"/>
    <s v="Second Class"/>
    <s v="Uttar Pradesh"/>
    <n v="983456"/>
    <s v="PROD0009"/>
    <s v="Wheat Flour"/>
    <s v="Wheat Flour - 729"/>
    <n v="9"/>
    <n v="0.15"/>
    <n v="49.9"/>
  </r>
  <r>
    <s v="CUST0022"/>
    <s v="Lakshmi"/>
    <s v="Chatterjee"/>
    <d v="1991-03-06T00:00:00"/>
    <n v="50.14"/>
    <n v="2023"/>
    <s v="Large"/>
    <s v="Tier 2"/>
    <x v="0"/>
    <s v="North"/>
    <s v="India"/>
    <s v="Consumer"/>
    <d v="2023-06-07T00:00:00"/>
    <s v="ORD00098"/>
    <d v="2023-06-06T00:00:00"/>
    <d v="2023-06-09T00:00:00"/>
    <s v="Standard Class"/>
    <s v="Uttar Pradesh"/>
    <n v="748133"/>
    <s v="PROD0007"/>
    <s v="Chips"/>
    <s v="Chips - 945"/>
    <n v="1"/>
    <n v="0.15"/>
    <n v="14.1"/>
  </r>
  <r>
    <s v="CUST0022"/>
    <s v="Lakshmi"/>
    <s v="Chatterjee"/>
    <d v="1991-03-06T00:00:00"/>
    <n v="1431.36"/>
    <n v="2023"/>
    <s v="Medium"/>
    <s v="Tier 2"/>
    <x v="2"/>
    <s v="North"/>
    <s v="India"/>
    <s v="Consumer"/>
    <d v="2023-06-20T00:00:00"/>
    <s v="ORD00099"/>
    <d v="2023-06-18T00:00:00"/>
    <d v="2023-06-22T00:00:00"/>
    <s v="Same Day"/>
    <s v="Uttar Pradesh"/>
    <n v="822063"/>
    <s v="PROD0012"/>
    <s v="Rice"/>
    <s v="Rice - 609"/>
    <n v="9"/>
    <n v="0"/>
    <n v="278.95"/>
  </r>
  <r>
    <s v="CUST0022"/>
    <s v="Lakshmi"/>
    <s v="Chatterjee"/>
    <d v="1991-03-06T00:00:00"/>
    <n v="1767.08"/>
    <n v="2023"/>
    <s v="Large"/>
    <s v="Tier 2"/>
    <x v="4"/>
    <s v="North"/>
    <s v="India"/>
    <s v="Consumer"/>
    <d v="2023-11-09T00:00:00"/>
    <s v="ORD00100"/>
    <d v="2023-11-08T00:00:00"/>
    <d v="2023-11-10T00:00:00"/>
    <s v="Second Class"/>
    <s v="Uttar Pradesh"/>
    <n v="869864"/>
    <s v="PROD0010"/>
    <s v="Bananas"/>
    <s v="Bananas - 550"/>
    <n v="7"/>
    <n v="0"/>
    <n v="268.7"/>
  </r>
  <r>
    <s v="CUST0022"/>
    <s v="Lakshmi"/>
    <s v="Chatterjee"/>
    <d v="1991-03-06T00:00:00"/>
    <n v="1603.14"/>
    <n v="2024"/>
    <s v="Medium"/>
    <s v="Tier 2"/>
    <x v="1"/>
    <s v="North"/>
    <s v="India"/>
    <s v="Consumer"/>
    <d v="2024-06-14T00:00:00"/>
    <s v="ORD00101"/>
    <d v="2024-06-14T00:00:00"/>
    <d v="2024-06-18T00:00:00"/>
    <s v="Standard Class"/>
    <s v="Uttar Pradesh"/>
    <n v="359961"/>
    <s v="PROD0018"/>
    <s v="Buns"/>
    <s v="Buns - 233"/>
    <n v="6"/>
    <n v="0"/>
    <n v="233.63"/>
  </r>
  <r>
    <s v="CUST0022"/>
    <s v="Lakshmi"/>
    <s v="Chatterjee"/>
    <d v="1991-03-06T00:00:00"/>
    <n v="1895.12"/>
    <n v="2025"/>
    <s v="Medium"/>
    <s v="Tier 2"/>
    <x v="3"/>
    <s v="North"/>
    <s v="India"/>
    <s v="Consumer"/>
    <d v="2025-05-01T00:00:00"/>
    <s v="ORD00102"/>
    <d v="2025-05-01T00:00:00"/>
    <d v="2025-05-03T00:00:00"/>
    <s v="Second Class"/>
    <s v="Uttar Pradesh"/>
    <n v="299055"/>
    <s v="PROD0021"/>
    <s v="Milk"/>
    <s v="Milk - 151"/>
    <n v="5"/>
    <n v="0.2"/>
    <n v="444.62"/>
  </r>
  <r>
    <s v="CUST0023"/>
    <s v="Ishaan"/>
    <s v="Naidu"/>
    <d v="1987-02-20T00:00:00"/>
    <n v="852.68"/>
    <n v="2024"/>
    <s v="Large"/>
    <s v="Tier 2"/>
    <x v="1"/>
    <s v="South"/>
    <s v="India"/>
    <s v="Consumer"/>
    <d v="2024-04-23T00:00:00"/>
    <s v="ORD00103"/>
    <d v="2024-04-23T00:00:00"/>
    <d v="2024-04-25T00:00:00"/>
    <s v="Second Class"/>
    <s v="Kerala"/>
    <n v="151021"/>
    <s v="PROD0018"/>
    <s v="Buns"/>
    <s v="Buns - 123"/>
    <n v="2"/>
    <n v="0.1"/>
    <n v="159.6"/>
  </r>
  <r>
    <s v="CUST0023"/>
    <s v="Ishaan"/>
    <s v="Naidu"/>
    <d v="1987-02-20T00:00:00"/>
    <n v="3769.92"/>
    <n v="2024"/>
    <s v="Small"/>
    <s v="Tier 2"/>
    <x v="4"/>
    <s v="South"/>
    <s v="India"/>
    <s v="Consumer"/>
    <d v="2024-05-25T00:00:00"/>
    <s v="ORD00104"/>
    <d v="2024-05-25T00:00:00"/>
    <d v="2024-05-28T00:00:00"/>
    <s v="Standard Class"/>
    <s v="Kerala"/>
    <n v="240440"/>
    <s v="PROD0014"/>
    <s v="Tomatoes"/>
    <s v="Tomatoes - 606"/>
    <n v="10"/>
    <n v="0.15"/>
    <n v="949.1"/>
  </r>
  <r>
    <s v="CUST0023"/>
    <s v="Ishaan"/>
    <s v="Naidu"/>
    <d v="1987-02-20T00:00:00"/>
    <n v="1301.07"/>
    <n v="2024"/>
    <s v="Medium"/>
    <s v="Tier 2"/>
    <x v="1"/>
    <s v="South"/>
    <s v="India"/>
    <s v="Consumer"/>
    <d v="2024-05-26T00:00:00"/>
    <s v="ORD00105"/>
    <d v="2024-05-25T00:00:00"/>
    <d v="2024-05-30T00:00:00"/>
    <s v="Second Class"/>
    <s v="Kerala"/>
    <n v="177103"/>
    <s v="PROD0006"/>
    <s v="Cookies"/>
    <s v="Cookies - 474"/>
    <n v="7"/>
    <n v="0.05"/>
    <n v="85.02"/>
  </r>
  <r>
    <s v="CUST0023"/>
    <s v="Ishaan"/>
    <s v="Naidu"/>
    <d v="1987-02-20T00:00:00"/>
    <n v="1249.5899999999999"/>
    <n v="2024"/>
    <s v="Small"/>
    <s v="Tier 2"/>
    <x v="5"/>
    <s v="South"/>
    <s v="India"/>
    <s v="Consumer"/>
    <d v="2024-06-11T00:00:00"/>
    <s v="ORD00106"/>
    <d v="2024-06-11T00:00:00"/>
    <d v="2024-06-12T00:00:00"/>
    <s v="Standard Class"/>
    <s v="Kerala"/>
    <n v="491326"/>
    <s v="PROD0015"/>
    <s v="Soft Drinks"/>
    <s v="Soft Drinks - 882"/>
    <n v="9"/>
    <n v="0.1"/>
    <n v="317.55"/>
  </r>
  <r>
    <s v="CUST0023"/>
    <s v="Ishaan"/>
    <s v="Naidu"/>
    <d v="1987-02-20T00:00:00"/>
    <n v="311.99"/>
    <n v="2025"/>
    <s v="Small"/>
    <s v="Tier 2"/>
    <x v="1"/>
    <s v="South"/>
    <s v="India"/>
    <s v="Consumer"/>
    <d v="2025-06-19T00:00:00"/>
    <s v="ORD00107"/>
    <d v="2025-06-19T00:00:00"/>
    <d v="2025-06-20T00:00:00"/>
    <s v="First Class"/>
    <s v="Kerala"/>
    <n v="848255"/>
    <s v="PROD0006"/>
    <s v="Cookies"/>
    <s v="Cookies - 474"/>
    <n v="3"/>
    <n v="0.1"/>
    <n v="53.17"/>
  </r>
  <r>
    <s v="CUST0024"/>
    <s v="Rohan"/>
    <s v="Krishnan"/>
    <d v="1972-03-06T00:00:00"/>
    <n v="1642.45"/>
    <n v="2024"/>
    <s v="Large"/>
    <s v="Tier 2"/>
    <x v="3"/>
    <s v="North"/>
    <s v="India"/>
    <s v="Corporate"/>
    <d v="2024-04-14T00:00:00"/>
    <s v="ORD00108"/>
    <d v="2024-04-12T00:00:00"/>
    <d v="2024-04-15T00:00:00"/>
    <s v="Standard Class"/>
    <s v="Uttarakhand"/>
    <n v="843167"/>
    <s v="PROD0005"/>
    <s v="Yogurt"/>
    <s v="Yogurt - 435"/>
    <n v="10"/>
    <n v="0.05"/>
    <n v="570.23"/>
  </r>
  <r>
    <s v="CUST0024"/>
    <s v="Rohan"/>
    <s v="Krishnan"/>
    <d v="1972-03-06T00:00:00"/>
    <n v="167.29"/>
    <n v="2024"/>
    <s v="Medium"/>
    <s v="Tier 2"/>
    <x v="0"/>
    <s v="North"/>
    <s v="India"/>
    <s v="Corporate"/>
    <d v="2024-05-04T00:00:00"/>
    <s v="ORD00109"/>
    <d v="2024-04-30T00:00:00"/>
    <d v="2024-05-04T00:00:00"/>
    <s v="Same Day"/>
    <s v="Uttarakhand"/>
    <n v="725905"/>
    <s v="PROD0001"/>
    <s v="Namkeen"/>
    <s v="Namkeen - 586"/>
    <n v="1"/>
    <n v="0.15"/>
    <n v="13.87"/>
  </r>
  <r>
    <s v="CUST0024"/>
    <s v="Rohan"/>
    <s v="Krishnan"/>
    <d v="1972-03-06T00:00:00"/>
    <n v="2526.71"/>
    <n v="2024"/>
    <s v="Large"/>
    <s v="Tier 2"/>
    <x v="5"/>
    <s v="North"/>
    <s v="India"/>
    <s v="Corporate"/>
    <d v="2024-06-16T00:00:00"/>
    <s v="ORD00110"/>
    <d v="2024-06-15T00:00:00"/>
    <d v="2024-06-19T00:00:00"/>
    <s v="Standard Class"/>
    <s v="Uttarakhand"/>
    <n v="254954"/>
    <s v="PROD0011"/>
    <s v="Juice"/>
    <s v="Juice - 771"/>
    <n v="10"/>
    <n v="0.15"/>
    <n v="165.26"/>
  </r>
  <r>
    <s v="CUST0025"/>
    <s v="Karthik"/>
    <s v="Shetty"/>
    <d v="1985-12-30T00:00:00"/>
    <n v="551.51"/>
    <n v="2023"/>
    <s v="Medium"/>
    <s v="Tier 2"/>
    <x v="4"/>
    <s v="East"/>
    <s v="India"/>
    <s v="Home Office"/>
    <d v="2023-02-06T00:00:00"/>
    <s v="ORD00111"/>
    <d v="2023-02-02T00:00:00"/>
    <d v="2023-02-07T00:00:00"/>
    <s v="Same Day"/>
    <s v="Bihar"/>
    <n v="840058"/>
    <s v="PROD0008"/>
    <s v="Onions"/>
    <s v="Onions - 421"/>
    <n v="7"/>
    <n v="0.15"/>
    <n v="61.31"/>
  </r>
  <r>
    <s v="CUST0025"/>
    <s v="Karthik"/>
    <s v="Shetty"/>
    <d v="1985-12-30T00:00:00"/>
    <n v="2844.87"/>
    <n v="2023"/>
    <s v="Medium"/>
    <s v="Tier 2"/>
    <x v="3"/>
    <s v="East"/>
    <s v="India"/>
    <s v="Home Office"/>
    <d v="2023-04-24T00:00:00"/>
    <s v="ORD00112"/>
    <d v="2023-04-23T00:00:00"/>
    <d v="2023-04-26T00:00:00"/>
    <s v="Second Class"/>
    <s v="Bihar"/>
    <n v="672808"/>
    <s v="PROD0005"/>
    <s v="Yogurt"/>
    <s v="Yogurt - 674"/>
    <n v="6"/>
    <n v="0.05"/>
    <n v="590.72"/>
  </r>
  <r>
    <s v="CUST0025"/>
    <s v="Karthik"/>
    <s v="Shetty"/>
    <d v="1985-12-30T00:00:00"/>
    <n v="1564.2"/>
    <n v="2023"/>
    <s v="Small"/>
    <s v="Tier 2"/>
    <x v="1"/>
    <s v="East"/>
    <s v="India"/>
    <s v="Home Office"/>
    <d v="2023-07-17T00:00:00"/>
    <s v="ORD00113"/>
    <d v="2023-07-15T00:00:00"/>
    <d v="2023-07-18T00:00:00"/>
    <s v="Second Class"/>
    <s v="Bihar"/>
    <n v="908634"/>
    <s v="PROD0006"/>
    <s v="Cookies"/>
    <s v="Cookies - 890"/>
    <n v="5"/>
    <n v="0"/>
    <n v="527.45000000000005"/>
  </r>
  <r>
    <s v="CUST0025"/>
    <s v="Karthik"/>
    <s v="Shetty"/>
    <d v="1985-12-30T00:00:00"/>
    <n v="1377.44"/>
    <n v="2023"/>
    <s v="Small"/>
    <s v="Tier 2"/>
    <x v="1"/>
    <s v="East"/>
    <s v="India"/>
    <s v="Home Office"/>
    <d v="2023-09-08T00:00:00"/>
    <s v="ORD00114"/>
    <d v="2023-09-06T00:00:00"/>
    <d v="2023-09-09T00:00:00"/>
    <s v="Standard Class"/>
    <s v="Bihar"/>
    <n v="513697"/>
    <s v="PROD0006"/>
    <s v="Cookies"/>
    <s v="Cookies - 312"/>
    <n v="8"/>
    <n v="0"/>
    <n v="300.48"/>
  </r>
  <r>
    <s v="CUST0025"/>
    <s v="Karthik"/>
    <s v="Shetty"/>
    <d v="1985-12-30T00:00:00"/>
    <n v="134.35"/>
    <n v="2024"/>
    <s v="Large"/>
    <s v="Tier 2"/>
    <x v="1"/>
    <s v="East"/>
    <s v="India"/>
    <s v="Home Office"/>
    <d v="2024-08-11T00:00:00"/>
    <s v="ORD00115"/>
    <d v="2024-08-09T00:00:00"/>
    <d v="2024-08-13T00:00:00"/>
    <s v="Standard Class"/>
    <s v="Bihar"/>
    <n v="324381"/>
    <s v="PROD0002"/>
    <s v="Bread"/>
    <s v="Bread - 397"/>
    <n v="1"/>
    <n v="0.15"/>
    <n v="9.9"/>
  </r>
  <r>
    <s v="CUST0025"/>
    <s v="Karthik"/>
    <s v="Shetty"/>
    <d v="1985-12-30T00:00:00"/>
    <n v="386.5"/>
    <n v="2024"/>
    <s v="Small"/>
    <s v="Tier 2"/>
    <x v="3"/>
    <s v="East"/>
    <s v="India"/>
    <s v="Home Office"/>
    <d v="2024-12-18T00:00:00"/>
    <s v="ORD00116"/>
    <d v="2024-12-18T00:00:00"/>
    <d v="2024-12-20T00:00:00"/>
    <s v="First Class"/>
    <s v="Bihar"/>
    <n v="768933"/>
    <s v="PROD0020"/>
    <s v="Paneer"/>
    <s v="Paneer - 675"/>
    <n v="5"/>
    <n v="0.1"/>
    <n v="105.23"/>
  </r>
  <r>
    <s v="CUST0026"/>
    <s v="Aarav"/>
    <s v="Subramaniam"/>
    <d v="1997-05-01T00:00:00"/>
    <n v="693.94"/>
    <n v="2023"/>
    <s v="Medium"/>
    <s v="Tier 2"/>
    <x v="1"/>
    <s v="South"/>
    <s v="India"/>
    <s v="Home Office"/>
    <d v="2023-04-14T00:00:00"/>
    <s v="ORD00117"/>
    <d v="2023-04-13T00:00:00"/>
    <d v="2023-04-18T00:00:00"/>
    <s v="Standard Class"/>
    <s v="Andhra Pradesh"/>
    <n v="600641"/>
    <s v="PROD0006"/>
    <s v="Cookies"/>
    <s v="Cookies - 583"/>
    <n v="2"/>
    <n v="0"/>
    <n v="35.78"/>
  </r>
  <r>
    <s v="CUST0026"/>
    <s v="Aarav"/>
    <s v="Subramaniam"/>
    <d v="1997-05-01T00:00:00"/>
    <n v="740.18"/>
    <n v="2024"/>
    <s v="Large"/>
    <s v="Tier 2"/>
    <x v="2"/>
    <s v="South"/>
    <s v="India"/>
    <s v="Home Office"/>
    <d v="2024-02-28T00:00:00"/>
    <s v="ORD00118"/>
    <d v="2024-02-28T00:00:00"/>
    <d v="2024-02-29T00:00:00"/>
    <s v="Same Day"/>
    <s v="Andhra Pradesh"/>
    <n v="283568"/>
    <s v="PROD0012"/>
    <s v="Rice"/>
    <s v="Rice - 874"/>
    <n v="5"/>
    <n v="0.15"/>
    <n v="50.15"/>
  </r>
  <r>
    <s v="CUST0027"/>
    <s v="Amit"/>
    <s v="Nair"/>
    <d v="1978-03-02T00:00:00"/>
    <n v="2204.1999999999998"/>
    <n v="2023"/>
    <s v="Medium"/>
    <s v="Tier 2"/>
    <x v="5"/>
    <s v="North"/>
    <s v="India"/>
    <s v="Corporate"/>
    <d v="2023-02-07T00:00:00"/>
    <s v="ORD00119"/>
    <d v="2023-02-07T00:00:00"/>
    <d v="2023-02-12T00:00:00"/>
    <s v="Second Class"/>
    <s v="Uttarakhand"/>
    <n v="576419"/>
    <s v="PROD0015"/>
    <s v="Soft Drinks"/>
    <s v="Soft Drinks - 290"/>
    <n v="5"/>
    <n v="0"/>
    <n v="307.52"/>
  </r>
  <r>
    <s v="CUST0027"/>
    <s v="Amit"/>
    <s v="Nair"/>
    <d v="1978-03-02T00:00:00"/>
    <n v="3574.72"/>
    <n v="2023"/>
    <s v="Small"/>
    <s v="Tier 2"/>
    <x v="2"/>
    <s v="North"/>
    <s v="India"/>
    <s v="Corporate"/>
    <d v="2023-07-02T00:00:00"/>
    <s v="ORD00120"/>
    <d v="2023-06-30T00:00:00"/>
    <d v="2023-07-04T00:00:00"/>
    <s v="Same Day"/>
    <s v="Uttarakhand"/>
    <n v="446747"/>
    <s v="PROD0003"/>
    <s v="Pulses"/>
    <s v="Pulses - 636"/>
    <n v="8"/>
    <n v="0"/>
    <n v="1091.43"/>
  </r>
  <r>
    <s v="CUST0027"/>
    <s v="Amit"/>
    <s v="Nair"/>
    <d v="1978-03-02T00:00:00"/>
    <n v="1824.65"/>
    <n v="2025"/>
    <s v="Small"/>
    <s v="Tier 2"/>
    <x v="3"/>
    <s v="North"/>
    <s v="India"/>
    <s v="Corporate"/>
    <d v="2025-05-08T00:00:00"/>
    <s v="ORD00121"/>
    <d v="2025-05-07T00:00:00"/>
    <d v="2025-05-10T00:00:00"/>
    <s v="Standard Class"/>
    <s v="Uttarakhand"/>
    <n v="967161"/>
    <s v="PROD0013"/>
    <s v="Butter"/>
    <s v="Butter - 763"/>
    <n v="5"/>
    <n v="0"/>
    <n v="494.45"/>
  </r>
  <r>
    <s v="CUST0028"/>
    <s v="Aarav"/>
    <s v="Venkatesh"/>
    <d v="1997-04-14T00:00:00"/>
    <n v="747.54"/>
    <n v="2023"/>
    <s v="Medium"/>
    <s v="Tier 2"/>
    <x v="2"/>
    <s v="West"/>
    <s v="India"/>
    <s v="Home Office"/>
    <d v="2023-03-31T00:00:00"/>
    <s v="ORD00122"/>
    <d v="2023-03-30T00:00:00"/>
    <d v="2023-04-03T00:00:00"/>
    <s v="Second Class"/>
    <s v="Goa"/>
    <n v="445637"/>
    <s v="PROD0012"/>
    <s v="Rice"/>
    <s v="Rice - 289"/>
    <n v="3"/>
    <n v="0"/>
    <n v="38.909999999999997"/>
  </r>
  <r>
    <s v="CUST0028"/>
    <s v="Aarav"/>
    <s v="Venkatesh"/>
    <d v="1997-04-14T00:00:00"/>
    <n v="216.66"/>
    <n v="2023"/>
    <s v="Large"/>
    <s v="Tier 2"/>
    <x v="1"/>
    <s v="West"/>
    <s v="India"/>
    <s v="Home Office"/>
    <d v="2023-12-02T00:00:00"/>
    <s v="ORD00123"/>
    <d v="2023-12-02T00:00:00"/>
    <d v="2023-12-04T00:00:00"/>
    <s v="Same Day"/>
    <s v="Goa"/>
    <n v="588002"/>
    <s v="PROD0006"/>
    <s v="Cookies"/>
    <s v="Cookies - 840"/>
    <n v="10"/>
    <n v="0.15"/>
    <n v="34.200000000000003"/>
  </r>
  <r>
    <s v="CUST0028"/>
    <s v="Aarav"/>
    <s v="Venkatesh"/>
    <d v="1997-04-14T00:00:00"/>
    <n v="3542.64"/>
    <n v="2024"/>
    <s v="Medium"/>
    <s v="Tier 2"/>
    <x v="1"/>
    <s v="West"/>
    <s v="India"/>
    <s v="Home Office"/>
    <d v="2024-02-16T00:00:00"/>
    <s v="ORD00124"/>
    <d v="2024-02-15T00:00:00"/>
    <d v="2024-02-16T00:00:00"/>
    <s v="First Class"/>
    <s v="Goa"/>
    <n v="329772"/>
    <s v="PROD0002"/>
    <s v="Bread"/>
    <s v="Bread - 515"/>
    <n v="9"/>
    <n v="0.15"/>
    <n v="995.31"/>
  </r>
  <r>
    <s v="CUST0029"/>
    <s v="Reyansh"/>
    <s v="Pandey"/>
    <d v="1993-01-18T00:00:00"/>
    <n v="2915.71"/>
    <n v="2023"/>
    <s v="Large"/>
    <s v="Tier 1"/>
    <x v="2"/>
    <s v="North"/>
    <s v="India"/>
    <s v="Consumer"/>
    <d v="2023-06-08T00:00:00"/>
    <s v="ORD00125"/>
    <d v="2023-06-06T00:00:00"/>
    <d v="2023-06-08T00:00:00"/>
    <s v="Same Day"/>
    <s v="Delhi"/>
    <n v="651033"/>
    <s v="PROD0003"/>
    <s v="Pulses"/>
    <s v="Pulses - 582"/>
    <n v="9"/>
    <n v="0.2"/>
    <n v="336.83"/>
  </r>
  <r>
    <s v="CUST0029"/>
    <s v="Reyansh"/>
    <s v="Pandey"/>
    <d v="1993-01-18T00:00:00"/>
    <n v="590.88"/>
    <n v="2024"/>
    <s v="Large"/>
    <s v="Tier 1"/>
    <x v="5"/>
    <s v="North"/>
    <s v="India"/>
    <s v="Consumer"/>
    <d v="2024-01-19T00:00:00"/>
    <s v="ORD00126"/>
    <d v="2024-01-18T00:00:00"/>
    <d v="2024-01-23T00:00:00"/>
    <s v="First Class"/>
    <s v="Delhi"/>
    <n v="272529"/>
    <s v="PROD0011"/>
    <s v="Juice"/>
    <s v="Juice - 179"/>
    <n v="10"/>
    <n v="0.2"/>
    <n v="126.62"/>
  </r>
  <r>
    <s v="CUST0029"/>
    <s v="Reyansh"/>
    <s v="Pandey"/>
    <d v="1993-01-18T00:00:00"/>
    <n v="589.12"/>
    <n v="2024"/>
    <s v="Small"/>
    <s v="Tier 1"/>
    <x v="1"/>
    <s v="North"/>
    <s v="India"/>
    <s v="Consumer"/>
    <d v="2024-03-02T00:00:00"/>
    <s v="ORD00127"/>
    <d v="2024-03-01T00:00:00"/>
    <d v="2024-03-02T00:00:00"/>
    <s v="Standard Class"/>
    <s v="Delhi"/>
    <n v="238353"/>
    <s v="PROD0006"/>
    <s v="Cookies"/>
    <s v="Cookies - 552"/>
    <n v="2"/>
    <n v="0.15"/>
    <n v="132.52000000000001"/>
  </r>
  <r>
    <s v="CUST0029"/>
    <s v="Reyansh"/>
    <s v="Pandey"/>
    <d v="1993-01-18T00:00:00"/>
    <n v="453.25"/>
    <n v="2024"/>
    <s v="Medium"/>
    <s v="Tier 1"/>
    <x v="0"/>
    <s v="North"/>
    <s v="India"/>
    <s v="Consumer"/>
    <d v="2024-04-10T00:00:00"/>
    <s v="ORD00128"/>
    <d v="2024-04-10T00:00:00"/>
    <d v="2024-04-13T00:00:00"/>
    <s v="Second Class"/>
    <s v="Delhi"/>
    <n v="956113"/>
    <s v="PROD0001"/>
    <s v="Namkeen"/>
    <s v="Namkeen - 567"/>
    <n v="10"/>
    <n v="0.05"/>
    <n v="114.14"/>
  </r>
  <r>
    <s v="CUST0029"/>
    <s v="Reyansh"/>
    <s v="Pandey"/>
    <d v="1993-01-18T00:00:00"/>
    <n v="83.48"/>
    <n v="2024"/>
    <s v="Small"/>
    <s v="Tier 1"/>
    <x v="4"/>
    <s v="North"/>
    <s v="India"/>
    <s v="Consumer"/>
    <d v="2024-05-04T00:00:00"/>
    <s v="ORD00129"/>
    <d v="2024-05-04T00:00:00"/>
    <d v="2024-05-09T00:00:00"/>
    <s v="Standard Class"/>
    <s v="Delhi"/>
    <n v="133276"/>
    <s v="PROD0010"/>
    <s v="Bananas"/>
    <s v="Bananas - 692"/>
    <n v="2"/>
    <n v="0"/>
    <n v="21.71"/>
  </r>
  <r>
    <s v="CUST0029"/>
    <s v="Reyansh"/>
    <s v="Pandey"/>
    <d v="1993-01-18T00:00:00"/>
    <n v="988.38"/>
    <n v="2024"/>
    <s v="Medium"/>
    <s v="Tier 1"/>
    <x v="1"/>
    <s v="North"/>
    <s v="India"/>
    <s v="Consumer"/>
    <d v="2024-09-14T00:00:00"/>
    <s v="ORD00130"/>
    <d v="2024-09-12T00:00:00"/>
    <d v="2024-09-16T00:00:00"/>
    <s v="Standard Class"/>
    <s v="Delhi"/>
    <n v="495833"/>
    <s v="PROD0018"/>
    <s v="Buns"/>
    <s v="Buns - 284"/>
    <n v="3"/>
    <n v="0.15"/>
    <n v="240.93"/>
  </r>
  <r>
    <s v="CUST0029"/>
    <s v="Reyansh"/>
    <s v="Pandey"/>
    <d v="1993-01-18T00:00:00"/>
    <n v="603.65"/>
    <n v="2025"/>
    <s v="Medium"/>
    <s v="Tier 1"/>
    <x v="5"/>
    <s v="North"/>
    <s v="India"/>
    <s v="Consumer"/>
    <d v="2025-02-06T00:00:00"/>
    <s v="ORD00131"/>
    <d v="2025-02-04T00:00:00"/>
    <d v="2025-02-06T00:00:00"/>
    <s v="First Class"/>
    <s v="Delhi"/>
    <n v="863214"/>
    <s v="PROD0019"/>
    <s v="Tea"/>
    <s v="Tea - 799"/>
    <n v="9"/>
    <n v="0.2"/>
    <n v="93.16"/>
  </r>
  <r>
    <s v="CUST0030"/>
    <s v="Ramesh"/>
    <s v="Joshi"/>
    <d v="1972-03-31T00:00:00"/>
    <n v="2906.47"/>
    <n v="2023"/>
    <s v="Small"/>
    <s v="Tier 2"/>
    <x v="0"/>
    <s v="East"/>
    <s v="India"/>
    <s v="Home Office"/>
    <d v="2023-01-05T00:00:00"/>
    <s v="ORD00132"/>
    <d v="2023-01-04T00:00:00"/>
    <d v="2023-01-06T00:00:00"/>
    <s v="Same Day"/>
    <s v="Jharkhand"/>
    <n v="133782"/>
    <s v="PROD0001"/>
    <s v="Namkeen"/>
    <s v="Namkeen - 644"/>
    <n v="7"/>
    <n v="0"/>
    <n v="546.96"/>
  </r>
  <r>
    <s v="CUST0030"/>
    <s v="Ramesh"/>
    <s v="Joshi"/>
    <d v="1972-03-31T00:00:00"/>
    <n v="135.52000000000001"/>
    <n v="2023"/>
    <s v="Large"/>
    <s v="Tier 2"/>
    <x v="2"/>
    <s v="East"/>
    <s v="India"/>
    <s v="Home Office"/>
    <d v="2023-01-25T00:00:00"/>
    <s v="ORD00133"/>
    <d v="2023-01-24T00:00:00"/>
    <d v="2023-01-25T00:00:00"/>
    <s v="Same Day"/>
    <s v="Jharkhand"/>
    <n v="356622"/>
    <s v="PROD0009"/>
    <s v="Wheat Flour"/>
    <s v="Wheat Flour - 729"/>
    <n v="1"/>
    <n v="0"/>
    <n v="10.88"/>
  </r>
  <r>
    <s v="CUST0030"/>
    <s v="Ramesh"/>
    <s v="Joshi"/>
    <d v="1972-03-31T00:00:00"/>
    <n v="1059.8399999999999"/>
    <n v="2023"/>
    <s v="Large"/>
    <s v="Tier 2"/>
    <x v="2"/>
    <s v="East"/>
    <s v="India"/>
    <s v="Home Office"/>
    <d v="2023-11-02T00:00:00"/>
    <s v="ORD00134"/>
    <d v="2023-11-02T00:00:00"/>
    <d v="2023-11-03T00:00:00"/>
    <s v="Second Class"/>
    <s v="Jharkhand"/>
    <n v="345536"/>
    <s v="PROD0012"/>
    <s v="Rice"/>
    <s v="Rice - 511"/>
    <n v="8"/>
    <n v="0"/>
    <n v="292.85000000000002"/>
  </r>
  <r>
    <s v="CUST0030"/>
    <s v="Ramesh"/>
    <s v="Joshi"/>
    <d v="1972-03-31T00:00:00"/>
    <n v="2609.5"/>
    <n v="2024"/>
    <s v="Small"/>
    <s v="Tier 2"/>
    <x v="2"/>
    <s v="East"/>
    <s v="India"/>
    <s v="Home Office"/>
    <d v="2024-04-20T00:00:00"/>
    <s v="ORD00135"/>
    <d v="2024-04-19T00:00:00"/>
    <d v="2024-04-21T00:00:00"/>
    <s v="First Class"/>
    <s v="Jharkhand"/>
    <n v="533649"/>
    <s v="PROD0003"/>
    <s v="Pulses"/>
    <s v="Pulses - 426"/>
    <n v="10"/>
    <n v="0.15"/>
    <n v="771.15"/>
  </r>
  <r>
    <s v="CUST0030"/>
    <s v="Ramesh"/>
    <s v="Joshi"/>
    <d v="1972-03-31T00:00:00"/>
    <n v="3635.97"/>
    <n v="2024"/>
    <s v="Medium"/>
    <s v="Tier 2"/>
    <x v="1"/>
    <s v="East"/>
    <s v="India"/>
    <s v="Home Office"/>
    <d v="2024-11-24T00:00:00"/>
    <s v="ORD00136"/>
    <d v="2024-11-20T00:00:00"/>
    <d v="2024-11-24T00:00:00"/>
    <s v="Same Day"/>
    <s v="Jharkhand"/>
    <n v="461145"/>
    <s v="PROD0018"/>
    <s v="Buns"/>
    <s v="Buns - 162"/>
    <n v="9"/>
    <n v="0.15"/>
    <n v="1176.1400000000001"/>
  </r>
  <r>
    <s v="CUST0030"/>
    <s v="Ramesh"/>
    <s v="Joshi"/>
    <d v="1972-03-31T00:00:00"/>
    <n v="1479.06"/>
    <n v="2025"/>
    <s v="Small"/>
    <s v="Tier 2"/>
    <x v="2"/>
    <s v="East"/>
    <s v="India"/>
    <s v="Home Office"/>
    <d v="2025-01-09T00:00:00"/>
    <s v="ORD00137"/>
    <d v="2025-01-06T00:00:00"/>
    <d v="2025-01-09T00:00:00"/>
    <s v="Standard Class"/>
    <s v="Jharkhand"/>
    <n v="352673"/>
    <s v="PROD0003"/>
    <s v="Pulses"/>
    <s v="Pulses - 490"/>
    <n v="9"/>
    <n v="0.05"/>
    <n v="255.1"/>
  </r>
  <r>
    <s v="CUST0030"/>
    <s v="Ramesh"/>
    <s v="Joshi"/>
    <d v="1972-03-31T00:00:00"/>
    <n v="1220.31"/>
    <n v="2025"/>
    <s v="Large"/>
    <s v="Tier 2"/>
    <x v="3"/>
    <s v="East"/>
    <s v="India"/>
    <s v="Home Office"/>
    <d v="2025-02-17T00:00:00"/>
    <s v="ORD00138"/>
    <d v="2025-02-13T00:00:00"/>
    <d v="2025-02-17T00:00:00"/>
    <s v="First Class"/>
    <s v="Jharkhand"/>
    <n v="507286"/>
    <s v="PROD0020"/>
    <s v="Paneer"/>
    <s v="Paneer - 978"/>
    <n v="3"/>
    <n v="0"/>
    <n v="266.89999999999998"/>
  </r>
  <r>
    <s v="CUST0030"/>
    <s v="Ramesh"/>
    <s v="Joshi"/>
    <d v="1972-03-31T00:00:00"/>
    <n v="1883.39"/>
    <n v="2025"/>
    <s v="Small"/>
    <s v="Tier 2"/>
    <x v="3"/>
    <s v="East"/>
    <s v="India"/>
    <s v="Home Office"/>
    <d v="2025-05-04T00:00:00"/>
    <s v="ORD00139"/>
    <d v="2025-05-04T00:00:00"/>
    <d v="2025-05-05T00:00:00"/>
    <s v="Second Class"/>
    <s v="Jharkhand"/>
    <n v="495489"/>
    <s v="PROD0020"/>
    <s v="Paneer"/>
    <s v="Paneer - 308"/>
    <n v="6"/>
    <n v="0.05"/>
    <n v="572.80999999999995"/>
  </r>
  <r>
    <s v="CUST0031"/>
    <s v="Rahul"/>
    <s v="Bose"/>
    <d v="1965-11-16T00:00:00"/>
    <n v="1117.53"/>
    <n v="2023"/>
    <s v="Small"/>
    <s v="Tier 2"/>
    <x v="0"/>
    <s v="South"/>
    <s v="India"/>
    <s v="Corporate"/>
    <d v="2023-02-12T00:00:00"/>
    <s v="ORD00140"/>
    <d v="2023-02-10T00:00:00"/>
    <d v="2023-02-13T00:00:00"/>
    <s v="First Class"/>
    <s v="Andhra Pradesh"/>
    <n v="299254"/>
    <s v="PROD0004"/>
    <s v="Biscuits"/>
    <s v="Biscuits - 787"/>
    <n v="9"/>
    <n v="0"/>
    <n v="347.38"/>
  </r>
  <r>
    <s v="CUST0031"/>
    <s v="Rahul"/>
    <s v="Bose"/>
    <d v="1965-11-16T00:00:00"/>
    <n v="3120.72"/>
    <n v="2023"/>
    <s v="Small"/>
    <s v="Tier 2"/>
    <x v="2"/>
    <s v="South"/>
    <s v="India"/>
    <s v="Corporate"/>
    <d v="2023-03-17T00:00:00"/>
    <s v="ORD00141"/>
    <d v="2023-03-16T00:00:00"/>
    <d v="2023-03-18T00:00:00"/>
    <s v="Second Class"/>
    <s v="Andhra Pradesh"/>
    <n v="913185"/>
    <s v="PROD0012"/>
    <s v="Rice"/>
    <s v="Rice - 864"/>
    <n v="8"/>
    <n v="0.15"/>
    <n v="721.89"/>
  </r>
  <r>
    <s v="CUST0031"/>
    <s v="Rahul"/>
    <s v="Bose"/>
    <d v="1965-11-16T00:00:00"/>
    <n v="2982.51"/>
    <n v="2023"/>
    <s v="Medium"/>
    <s v="Tier 2"/>
    <x v="1"/>
    <s v="South"/>
    <s v="India"/>
    <s v="Corporate"/>
    <d v="2023-07-15T00:00:00"/>
    <s v="ORD00142"/>
    <d v="2023-07-12T00:00:00"/>
    <d v="2023-07-17T00:00:00"/>
    <s v="Same Day"/>
    <s v="Andhra Pradesh"/>
    <n v="941814"/>
    <s v="PROD0018"/>
    <s v="Buns"/>
    <s v="Buns - 577"/>
    <n v="9"/>
    <n v="0"/>
    <n v="383.16"/>
  </r>
  <r>
    <s v="CUST0031"/>
    <s v="Rahul"/>
    <s v="Bose"/>
    <d v="1965-11-16T00:00:00"/>
    <n v="2753.28"/>
    <n v="2024"/>
    <s v="Large"/>
    <s v="Tier 2"/>
    <x v="2"/>
    <s v="South"/>
    <s v="India"/>
    <s v="Corporate"/>
    <d v="2024-09-09T00:00:00"/>
    <s v="ORD00143"/>
    <d v="2024-09-09T00:00:00"/>
    <d v="2024-09-10T00:00:00"/>
    <s v="First Class"/>
    <s v="Andhra Pradesh"/>
    <n v="117007"/>
    <s v="PROD0009"/>
    <s v="Wheat Flour"/>
    <s v="Wheat Flour - 879"/>
    <n v="6"/>
    <n v="0"/>
    <n v="396.13"/>
  </r>
  <r>
    <s v="CUST0031"/>
    <s v="Rahul"/>
    <s v="Bose"/>
    <d v="1965-11-16T00:00:00"/>
    <n v="3656.1"/>
    <n v="2025"/>
    <s v="Medium"/>
    <s v="Tier 2"/>
    <x v="1"/>
    <s v="South"/>
    <s v="India"/>
    <s v="Corporate"/>
    <d v="2025-06-14T00:00:00"/>
    <s v="ORD00144"/>
    <d v="2025-06-13T00:00:00"/>
    <d v="2025-06-16T00:00:00"/>
    <s v="First Class"/>
    <s v="Andhra Pradesh"/>
    <n v="623555"/>
    <s v="PROD0006"/>
    <s v="Cookies"/>
    <s v="Cookies - 698"/>
    <n v="10"/>
    <n v="0"/>
    <n v="349.97"/>
  </r>
  <r>
    <s v="CUST0032"/>
    <s v="Myra"/>
    <s v="Verma"/>
    <d v="1975-10-22T00:00:00"/>
    <n v="1115.19"/>
    <n v="2023"/>
    <s v="Small"/>
    <s v="Tier 2"/>
    <x v="5"/>
    <s v="Central"/>
    <s v="India"/>
    <s v="Consumer"/>
    <d v="2023-09-24T00:00:00"/>
    <s v="ORD00145"/>
    <d v="2023-09-21T00:00:00"/>
    <d v="2023-09-26T00:00:00"/>
    <s v="Same Day"/>
    <s v="Madhya Pradesh"/>
    <n v="649395"/>
    <s v="PROD0015"/>
    <s v="Soft Drinks"/>
    <s v="Soft Drinks - 571"/>
    <n v="3"/>
    <n v="0"/>
    <n v="112.39"/>
  </r>
  <r>
    <s v="CUST0032"/>
    <s v="Myra"/>
    <s v="Verma"/>
    <d v="1975-10-22T00:00:00"/>
    <n v="367.54"/>
    <n v="2023"/>
    <s v="Large"/>
    <s v="Tier 2"/>
    <x v="4"/>
    <s v="Central"/>
    <s v="India"/>
    <s v="Consumer"/>
    <d v="2023-12-12T00:00:00"/>
    <s v="ORD00146"/>
    <d v="2023-12-12T00:00:00"/>
    <d v="2023-12-14T00:00:00"/>
    <s v="First Class"/>
    <s v="Madhya Pradesh"/>
    <n v="109585"/>
    <s v="PROD0016"/>
    <s v="Apples"/>
    <s v="Apples - 937"/>
    <n v="1"/>
    <n v="0.05"/>
    <n v="33.54"/>
  </r>
  <r>
    <s v="CUST0032"/>
    <s v="Myra"/>
    <s v="Verma"/>
    <d v="1975-10-22T00:00:00"/>
    <n v="269.08"/>
    <n v="2024"/>
    <s v="Small"/>
    <s v="Tier 2"/>
    <x v="3"/>
    <s v="Central"/>
    <s v="India"/>
    <s v="Consumer"/>
    <d v="2024-12-05T00:00:00"/>
    <s v="ORD00147"/>
    <d v="2024-12-02T00:00:00"/>
    <d v="2024-12-06T00:00:00"/>
    <s v="Same Day"/>
    <s v="Madhya Pradesh"/>
    <n v="658065"/>
    <s v="PROD0013"/>
    <s v="Butter"/>
    <s v="Butter - 482"/>
    <n v="1"/>
    <n v="0.15"/>
    <n v="88.84"/>
  </r>
  <r>
    <s v="CUST0032"/>
    <s v="Myra"/>
    <s v="Verma"/>
    <d v="1975-10-22T00:00:00"/>
    <n v="274.12"/>
    <n v="2025"/>
    <s v="Large"/>
    <s v="Tier 2"/>
    <x v="0"/>
    <s v="Central"/>
    <s v="India"/>
    <s v="Consumer"/>
    <d v="2025-02-20T00:00:00"/>
    <s v="ORD00148"/>
    <d v="2025-02-20T00:00:00"/>
    <d v="2025-02-23T00:00:00"/>
    <s v="Standard Class"/>
    <s v="Madhya Pradesh"/>
    <n v="945328"/>
    <s v="PROD0001"/>
    <s v="Namkeen"/>
    <s v="Namkeen - 112"/>
    <n v="1"/>
    <n v="0"/>
    <n v="57.76"/>
  </r>
  <r>
    <s v="CUST0033"/>
    <s v="Naveen"/>
    <s v="Bose"/>
    <d v="2001-08-09T00:00:00"/>
    <n v="845.42"/>
    <n v="2023"/>
    <s v="Large"/>
    <s v="Tier 2"/>
    <x v="0"/>
    <s v="South"/>
    <s v="India"/>
    <s v="Consumer"/>
    <d v="2023-04-12T00:00:00"/>
    <s v="ORD00149"/>
    <d v="2023-04-09T00:00:00"/>
    <d v="2023-04-13T00:00:00"/>
    <s v="First Class"/>
    <s v="Kerala"/>
    <n v="831105"/>
    <s v="PROD0004"/>
    <s v="Biscuits"/>
    <s v="Biscuits - 358"/>
    <n v="6"/>
    <n v="0.05"/>
    <n v="62.31"/>
  </r>
  <r>
    <s v="CUST0033"/>
    <s v="Naveen"/>
    <s v="Bose"/>
    <d v="2001-08-09T00:00:00"/>
    <n v="534.05999999999995"/>
    <n v="2023"/>
    <s v="Medium"/>
    <s v="Tier 2"/>
    <x v="3"/>
    <s v="South"/>
    <s v="India"/>
    <s v="Consumer"/>
    <d v="2023-04-20T00:00:00"/>
    <s v="ORD00150"/>
    <d v="2023-04-20T00:00:00"/>
    <d v="2023-04-21T00:00:00"/>
    <s v="Standard Class"/>
    <s v="Kerala"/>
    <n v="495490"/>
    <s v="PROD0020"/>
    <s v="Paneer"/>
    <s v="Paneer - 800"/>
    <n v="2"/>
    <n v="0.2"/>
    <n v="130.83000000000001"/>
  </r>
  <r>
    <s v="CUST0033"/>
    <s v="Naveen"/>
    <s v="Bose"/>
    <d v="2001-08-09T00:00:00"/>
    <n v="357.37"/>
    <n v="2023"/>
    <s v="Large"/>
    <s v="Tier 2"/>
    <x v="0"/>
    <s v="South"/>
    <s v="India"/>
    <s v="Consumer"/>
    <d v="2023-06-04T00:00:00"/>
    <s v="ORD00151"/>
    <d v="2023-06-02T00:00:00"/>
    <d v="2023-06-06T00:00:00"/>
    <s v="Same Day"/>
    <s v="Kerala"/>
    <n v="653815"/>
    <s v="PROD0001"/>
    <s v="Namkeen"/>
    <s v="Namkeen - 157"/>
    <n v="1"/>
    <n v="0"/>
    <n v="71.459999999999994"/>
  </r>
  <r>
    <s v="CUST0033"/>
    <s v="Naveen"/>
    <s v="Bose"/>
    <d v="2001-08-09T00:00:00"/>
    <n v="2482.4"/>
    <n v="2023"/>
    <s v="Small"/>
    <s v="Tier 2"/>
    <x v="4"/>
    <s v="South"/>
    <s v="India"/>
    <s v="Consumer"/>
    <d v="2023-07-03T00:00:00"/>
    <s v="ORD00152"/>
    <d v="2023-07-03T00:00:00"/>
    <d v="2023-07-06T00:00:00"/>
    <s v="Second Class"/>
    <s v="Kerala"/>
    <n v="116418"/>
    <s v="PROD0010"/>
    <s v="Bananas"/>
    <s v="Bananas - 316"/>
    <n v="10"/>
    <n v="0"/>
    <n v="812.36"/>
  </r>
  <r>
    <s v="CUST0033"/>
    <s v="Naveen"/>
    <s v="Bose"/>
    <d v="2001-08-09T00:00:00"/>
    <n v="3261.02"/>
    <n v="2023"/>
    <s v="Medium"/>
    <s v="Tier 2"/>
    <x v="3"/>
    <s v="South"/>
    <s v="India"/>
    <s v="Consumer"/>
    <d v="2023-07-18T00:00:00"/>
    <s v="ORD00153"/>
    <d v="2023-07-16T00:00:00"/>
    <d v="2023-07-18T00:00:00"/>
    <s v="Second Class"/>
    <s v="Kerala"/>
    <n v="502491"/>
    <s v="PROD0005"/>
    <s v="Yogurt"/>
    <s v="Yogurt - 870"/>
    <n v="7"/>
    <n v="0"/>
    <n v="321.98"/>
  </r>
  <r>
    <s v="CUST0033"/>
    <s v="Naveen"/>
    <s v="Bose"/>
    <d v="2001-08-09T00:00:00"/>
    <n v="520.76"/>
    <n v="2023"/>
    <s v="Small"/>
    <s v="Tier 2"/>
    <x v="2"/>
    <s v="South"/>
    <s v="India"/>
    <s v="Consumer"/>
    <d v="2023-09-05T00:00:00"/>
    <s v="ORD00154"/>
    <d v="2023-09-04T00:00:00"/>
    <d v="2023-09-08T00:00:00"/>
    <s v="Second Class"/>
    <s v="Kerala"/>
    <n v="734565"/>
    <s v="PROD0012"/>
    <s v="Rice"/>
    <s v="Rice - 909"/>
    <n v="2"/>
    <n v="0"/>
    <n v="34.43"/>
  </r>
  <r>
    <s v="CUST0033"/>
    <s v="Naveen"/>
    <s v="Bose"/>
    <d v="2001-08-09T00:00:00"/>
    <n v="205.32"/>
    <n v="2024"/>
    <s v="Small"/>
    <s v="Tier 2"/>
    <x v="0"/>
    <s v="South"/>
    <s v="India"/>
    <s v="Consumer"/>
    <d v="2024-06-23T00:00:00"/>
    <s v="ORD00155"/>
    <d v="2024-06-20T00:00:00"/>
    <d v="2024-06-24T00:00:00"/>
    <s v="Second Class"/>
    <s v="Kerala"/>
    <n v="679902"/>
    <s v="PROD0004"/>
    <s v="Biscuits"/>
    <s v="Biscuits - 506"/>
    <n v="6"/>
    <n v="0"/>
    <n v="58.53"/>
  </r>
  <r>
    <s v="CUST0034"/>
    <s v="Imran"/>
    <s v="Bose"/>
    <d v="1989-08-30T00:00:00"/>
    <n v="1449.16"/>
    <n v="2023"/>
    <s v="Large"/>
    <s v="Tier 1"/>
    <x v="0"/>
    <s v="West"/>
    <s v="India"/>
    <s v="Home Office"/>
    <d v="2023-03-30T00:00:00"/>
    <s v="ORD00156"/>
    <d v="2023-03-29T00:00:00"/>
    <d v="2023-04-02T00:00:00"/>
    <s v="Standard Class"/>
    <s v="Maharashtra"/>
    <n v="432061"/>
    <s v="PROD0001"/>
    <s v="Namkeen"/>
    <s v="Namkeen - 917"/>
    <n v="4"/>
    <n v="0"/>
    <n v="188.96"/>
  </r>
  <r>
    <s v="CUST0034"/>
    <s v="Imran"/>
    <s v="Bose"/>
    <d v="1989-08-30T00:00:00"/>
    <n v="448.99"/>
    <n v="2023"/>
    <s v="Small"/>
    <s v="Tier 1"/>
    <x v="1"/>
    <s v="West"/>
    <s v="India"/>
    <s v="Home Office"/>
    <d v="2023-07-10T00:00:00"/>
    <s v="ORD00157"/>
    <d v="2023-07-10T00:00:00"/>
    <d v="2023-07-13T00:00:00"/>
    <s v="Same Day"/>
    <s v="Maharashtra"/>
    <n v="296494"/>
    <s v="PROD0002"/>
    <s v="Bread"/>
    <s v="Bread - 193"/>
    <n v="1"/>
    <n v="0.05"/>
    <n v="70.930000000000007"/>
  </r>
  <r>
    <s v="CUST0034"/>
    <s v="Imran"/>
    <s v="Bose"/>
    <d v="1989-08-30T00:00:00"/>
    <n v="2393.73"/>
    <n v="2024"/>
    <s v="Large"/>
    <s v="Tier 1"/>
    <x v="5"/>
    <s v="West"/>
    <s v="India"/>
    <s v="Home Office"/>
    <d v="2024-01-25T00:00:00"/>
    <s v="ORD00158"/>
    <d v="2024-01-25T00:00:00"/>
    <d v="2024-01-28T00:00:00"/>
    <s v="Second Class"/>
    <s v="Maharashtra"/>
    <n v="503951"/>
    <s v="PROD0015"/>
    <s v="Soft Drinks"/>
    <s v="Soft Drinks - 670"/>
    <n v="9"/>
    <n v="0"/>
    <n v="138.55000000000001"/>
  </r>
  <r>
    <s v="CUST0034"/>
    <s v="Imran"/>
    <s v="Bose"/>
    <d v="1989-08-30T00:00:00"/>
    <n v="2344.3000000000002"/>
    <n v="2024"/>
    <s v="Large"/>
    <s v="Tier 1"/>
    <x v="4"/>
    <s v="West"/>
    <s v="India"/>
    <s v="Home Office"/>
    <d v="2024-03-20T00:00:00"/>
    <s v="ORD00159"/>
    <d v="2024-03-18T00:00:00"/>
    <d v="2024-03-20T00:00:00"/>
    <s v="First Class"/>
    <s v="Maharashtra"/>
    <n v="818605"/>
    <s v="PROD0014"/>
    <s v="Tomatoes"/>
    <s v="Tomatoes - 523"/>
    <n v="7"/>
    <n v="0.15"/>
    <n v="750.97"/>
  </r>
  <r>
    <s v="CUST0034"/>
    <s v="Imran"/>
    <s v="Bose"/>
    <d v="1989-08-30T00:00:00"/>
    <n v="781.56"/>
    <n v="2024"/>
    <s v="Medium"/>
    <s v="Tier 1"/>
    <x v="5"/>
    <s v="West"/>
    <s v="India"/>
    <s v="Home Office"/>
    <d v="2024-08-23T00:00:00"/>
    <s v="ORD00160"/>
    <d v="2024-08-22T00:00:00"/>
    <d v="2024-08-24T00:00:00"/>
    <s v="Standard Class"/>
    <s v="Maharashtra"/>
    <n v="414313"/>
    <s v="PROD0017"/>
    <s v="Coffee"/>
    <s v="Coffee - 242"/>
    <n v="5"/>
    <n v="0.05"/>
    <n v="73.3"/>
  </r>
  <r>
    <s v="CUST0034"/>
    <s v="Imran"/>
    <s v="Bose"/>
    <d v="1989-08-30T00:00:00"/>
    <n v="2011.23"/>
    <n v="2024"/>
    <s v="Small"/>
    <s v="Tier 1"/>
    <x v="5"/>
    <s v="West"/>
    <s v="India"/>
    <s v="Home Office"/>
    <d v="2024-11-11T00:00:00"/>
    <s v="ORD00161"/>
    <d v="2024-11-07T00:00:00"/>
    <d v="2024-11-12T00:00:00"/>
    <s v="Standard Class"/>
    <s v="Maharashtra"/>
    <n v="212168"/>
    <s v="PROD0019"/>
    <s v="Tea"/>
    <s v="Tea - 469"/>
    <n v="5"/>
    <n v="0.15"/>
    <n v="477.69"/>
  </r>
  <r>
    <s v="CUST0034"/>
    <s v="Imran"/>
    <s v="Bose"/>
    <d v="1989-08-30T00:00:00"/>
    <n v="1130.5999999999999"/>
    <n v="2024"/>
    <s v="Medium"/>
    <s v="Tier 1"/>
    <x v="3"/>
    <s v="West"/>
    <s v="India"/>
    <s v="Home Office"/>
    <d v="2024-11-30T00:00:00"/>
    <s v="ORD00162"/>
    <d v="2024-11-27T00:00:00"/>
    <d v="2024-11-30T00:00:00"/>
    <s v="Standard Class"/>
    <s v="Maharashtra"/>
    <n v="955088"/>
    <s v="PROD0020"/>
    <s v="Paneer"/>
    <s v="Paneer - 106"/>
    <n v="7"/>
    <n v="0.1"/>
    <n v="185.38"/>
  </r>
  <r>
    <s v="CUST0035"/>
    <s v="Deepa"/>
    <s v="Chatterjee"/>
    <d v="1974-07-03T00:00:00"/>
    <n v="600.04"/>
    <n v="2023"/>
    <s v="Large"/>
    <s v="Tier 2"/>
    <x v="2"/>
    <s v="East"/>
    <s v="India"/>
    <s v="Home Office"/>
    <d v="2023-05-23T00:00:00"/>
    <s v="ORD00163"/>
    <d v="2023-05-20T00:00:00"/>
    <d v="2023-05-23T00:00:00"/>
    <s v="First Class"/>
    <s v="Jharkhand"/>
    <n v="441716"/>
    <s v="PROD0012"/>
    <s v="Rice"/>
    <s v="Rice - 590"/>
    <n v="6"/>
    <n v="0.05"/>
    <n v="204.38"/>
  </r>
  <r>
    <s v="CUST0035"/>
    <s v="Deepa"/>
    <s v="Chatterjee"/>
    <d v="1974-07-03T00:00:00"/>
    <n v="1229.82"/>
    <n v="2023"/>
    <s v="Large"/>
    <s v="Tier 2"/>
    <x v="5"/>
    <s v="East"/>
    <s v="India"/>
    <s v="Home Office"/>
    <d v="2023-11-05T00:00:00"/>
    <s v="ORD00164"/>
    <d v="2023-11-04T00:00:00"/>
    <d v="2023-11-09T00:00:00"/>
    <s v="Same Day"/>
    <s v="Jharkhand"/>
    <n v="862538"/>
    <s v="PROD0011"/>
    <s v="Juice"/>
    <s v="Juice - 936"/>
    <n v="7"/>
    <n v="0.1"/>
    <n v="135.21"/>
  </r>
  <r>
    <s v="CUST0035"/>
    <s v="Deepa"/>
    <s v="Chatterjee"/>
    <d v="1974-07-03T00:00:00"/>
    <n v="2095.1"/>
    <n v="2023"/>
    <s v="Small"/>
    <s v="Tier 2"/>
    <x v="5"/>
    <s v="East"/>
    <s v="India"/>
    <s v="Home Office"/>
    <d v="2023-11-28T00:00:00"/>
    <s v="ORD00165"/>
    <d v="2023-11-25T00:00:00"/>
    <d v="2023-11-29T00:00:00"/>
    <s v="Second Class"/>
    <s v="Jharkhand"/>
    <n v="353777"/>
    <s v="PROD0017"/>
    <s v="Coffee"/>
    <s v="Coffee - 548"/>
    <n v="5"/>
    <n v="0"/>
    <n v="619.5"/>
  </r>
  <r>
    <s v="CUST0035"/>
    <s v="Deepa"/>
    <s v="Chatterjee"/>
    <d v="1974-07-03T00:00:00"/>
    <n v="2791.32"/>
    <n v="2024"/>
    <s v="Large"/>
    <s v="Tier 2"/>
    <x v="1"/>
    <s v="East"/>
    <s v="India"/>
    <s v="Home Office"/>
    <d v="2024-09-03T00:00:00"/>
    <s v="ORD00166"/>
    <d v="2024-08-31T00:00:00"/>
    <d v="2024-09-05T00:00:00"/>
    <s v="Standard Class"/>
    <s v="Jharkhand"/>
    <n v="660324"/>
    <s v="PROD0006"/>
    <s v="Cookies"/>
    <s v="Cookies - 257"/>
    <n v="7"/>
    <n v="0"/>
    <n v="515.61"/>
  </r>
  <r>
    <s v="CUST0035"/>
    <s v="Deepa"/>
    <s v="Chatterjee"/>
    <d v="1974-07-03T00:00:00"/>
    <n v="338.85"/>
    <n v="2024"/>
    <s v="Large"/>
    <s v="Tier 2"/>
    <x v="0"/>
    <s v="East"/>
    <s v="India"/>
    <s v="Home Office"/>
    <d v="2024-09-13T00:00:00"/>
    <s v="ORD00167"/>
    <d v="2024-09-09T00:00:00"/>
    <d v="2024-09-14T00:00:00"/>
    <s v="Same Day"/>
    <s v="Jharkhand"/>
    <n v="214682"/>
    <s v="PROD0004"/>
    <s v="Biscuits"/>
    <s v="Biscuits - 528"/>
    <n v="9"/>
    <n v="0"/>
    <n v="88.27"/>
  </r>
  <r>
    <s v="CUST0035"/>
    <s v="Deepa"/>
    <s v="Chatterjee"/>
    <d v="1974-07-03T00:00:00"/>
    <n v="350.71"/>
    <n v="2024"/>
    <s v="Medium"/>
    <s v="Tier 2"/>
    <x v="3"/>
    <s v="East"/>
    <s v="India"/>
    <s v="Home Office"/>
    <d v="2024-10-30T00:00:00"/>
    <s v="ORD00168"/>
    <d v="2024-10-28T00:00:00"/>
    <d v="2024-11-01T00:00:00"/>
    <s v="Same Day"/>
    <s v="Jharkhand"/>
    <n v="111060"/>
    <s v="PROD0020"/>
    <s v="Paneer"/>
    <s v="Paneer - 270"/>
    <n v="10"/>
    <n v="0.15"/>
    <n v="88.81"/>
  </r>
  <r>
    <s v="CUST0036"/>
    <s v="Riya"/>
    <s v="Das"/>
    <d v="1995-02-17T00:00:00"/>
    <n v="2419.0700000000002"/>
    <n v="2023"/>
    <s v="Medium"/>
    <s v="Tier 2"/>
    <x v="0"/>
    <s v="North"/>
    <s v="India"/>
    <s v="Home Office"/>
    <d v="2023-08-19T00:00:00"/>
    <s v="ORD00169"/>
    <d v="2023-08-16T00:00:00"/>
    <d v="2023-08-19T00:00:00"/>
    <s v="First Class"/>
    <s v="Haryana"/>
    <n v="461724"/>
    <s v="PROD0004"/>
    <s v="Biscuits"/>
    <s v="Biscuits - 631"/>
    <n v="9"/>
    <n v="0.1"/>
    <n v="281.36"/>
  </r>
  <r>
    <s v="CUST0037"/>
    <s v="Deepak"/>
    <s v="Nair"/>
    <d v="1976-02-14T00:00:00"/>
    <n v="1431.36"/>
    <n v="2023"/>
    <s v="Small"/>
    <s v="Tier 2"/>
    <x v="3"/>
    <s v="West"/>
    <s v="India"/>
    <s v="Corporate"/>
    <d v="2023-04-01T00:00:00"/>
    <s v="ORD00170"/>
    <d v="2023-03-29T00:00:00"/>
    <d v="2023-04-01T00:00:00"/>
    <s v="Standard Class"/>
    <s v="Rajasthan"/>
    <n v="857065"/>
    <s v="PROD0020"/>
    <s v="Paneer"/>
    <s v="Paneer - 419"/>
    <n v="6"/>
    <n v="0"/>
    <n v="295.33999999999997"/>
  </r>
  <r>
    <s v="CUST0037"/>
    <s v="Deepak"/>
    <s v="Nair"/>
    <d v="1976-02-14T00:00:00"/>
    <n v="262.61"/>
    <n v="2023"/>
    <s v="Large"/>
    <s v="Tier 2"/>
    <x v="2"/>
    <s v="West"/>
    <s v="India"/>
    <s v="Corporate"/>
    <d v="2023-04-19T00:00:00"/>
    <s v="ORD00171"/>
    <d v="2023-04-18T00:00:00"/>
    <d v="2023-04-19T00:00:00"/>
    <s v="Same Day"/>
    <s v="Rajasthan"/>
    <n v="810032"/>
    <s v="PROD0009"/>
    <s v="Wheat Flour"/>
    <s v="Wheat Flour - 426"/>
    <n v="2"/>
    <n v="0.2"/>
    <n v="69.13"/>
  </r>
  <r>
    <s v="CUST0037"/>
    <s v="Deepak"/>
    <s v="Nair"/>
    <d v="1976-02-14T00:00:00"/>
    <n v="854.76"/>
    <n v="2023"/>
    <s v="Medium"/>
    <s v="Tier 2"/>
    <x v="3"/>
    <s v="West"/>
    <s v="India"/>
    <s v="Corporate"/>
    <d v="2023-04-30T00:00:00"/>
    <s v="ORD00172"/>
    <d v="2023-04-29T00:00:00"/>
    <d v="2023-05-03T00:00:00"/>
    <s v="First Class"/>
    <s v="Rajasthan"/>
    <n v="295440"/>
    <s v="PROD0005"/>
    <s v="Yogurt"/>
    <s v="Yogurt - 628"/>
    <n v="3"/>
    <n v="0"/>
    <n v="186.3"/>
  </r>
  <r>
    <s v="CUST0037"/>
    <s v="Deepak"/>
    <s v="Nair"/>
    <d v="1976-02-14T00:00:00"/>
    <n v="214.26"/>
    <n v="2023"/>
    <s v="Medium"/>
    <s v="Tier 2"/>
    <x v="2"/>
    <s v="West"/>
    <s v="India"/>
    <s v="Corporate"/>
    <d v="2023-11-03T00:00:00"/>
    <s v="ORD00173"/>
    <d v="2023-10-30T00:00:00"/>
    <d v="2023-11-03T00:00:00"/>
    <s v="Standard Class"/>
    <s v="Rajasthan"/>
    <n v="104666"/>
    <s v="PROD0003"/>
    <s v="Pulses"/>
    <s v="Pulses - 542"/>
    <n v="7"/>
    <n v="0.1"/>
    <n v="67.48"/>
  </r>
  <r>
    <s v="CUST0037"/>
    <s v="Deepak"/>
    <s v="Nair"/>
    <d v="1976-02-14T00:00:00"/>
    <n v="1524.48"/>
    <n v="2024"/>
    <s v="Large"/>
    <s v="Tier 2"/>
    <x v="2"/>
    <s v="West"/>
    <s v="India"/>
    <s v="Corporate"/>
    <d v="2024-03-01T00:00:00"/>
    <s v="ORD00174"/>
    <d v="2024-03-01T00:00:00"/>
    <d v="2024-03-06T00:00:00"/>
    <s v="First Class"/>
    <s v="Rajasthan"/>
    <n v="483561"/>
    <s v="PROD0012"/>
    <s v="Rice"/>
    <s v="Rice - 310"/>
    <n v="5"/>
    <n v="0.2"/>
    <n v="440.27"/>
  </r>
  <r>
    <s v="CUST0037"/>
    <s v="Deepak"/>
    <s v="Nair"/>
    <d v="1976-02-14T00:00:00"/>
    <n v="233.49"/>
    <n v="2024"/>
    <s v="Large"/>
    <s v="Tier 2"/>
    <x v="1"/>
    <s v="West"/>
    <s v="India"/>
    <s v="Corporate"/>
    <d v="2024-05-12T00:00:00"/>
    <s v="ORD00175"/>
    <d v="2024-05-09T00:00:00"/>
    <d v="2024-05-12T00:00:00"/>
    <s v="Standard Class"/>
    <s v="Rajasthan"/>
    <n v="715519"/>
    <s v="PROD0002"/>
    <s v="Bread"/>
    <s v="Bread - 568"/>
    <n v="2"/>
    <n v="0.2"/>
    <n v="45.96"/>
  </r>
  <r>
    <s v="CUST0037"/>
    <s v="Deepak"/>
    <s v="Nair"/>
    <d v="1976-02-14T00:00:00"/>
    <n v="2024.51"/>
    <n v="2025"/>
    <s v="Large"/>
    <s v="Tier 2"/>
    <x v="4"/>
    <s v="West"/>
    <s v="India"/>
    <s v="Corporate"/>
    <d v="2025-01-17T00:00:00"/>
    <s v="ORD00176"/>
    <d v="2025-01-17T00:00:00"/>
    <d v="2025-01-20T00:00:00"/>
    <s v="First Class"/>
    <s v="Rajasthan"/>
    <n v="428399"/>
    <s v="PROD0014"/>
    <s v="Tomatoes"/>
    <s v="Tomatoes - 460"/>
    <n v="8"/>
    <n v="0.2"/>
    <n v="510.33"/>
  </r>
  <r>
    <s v="CUST0037"/>
    <s v="Deepak"/>
    <s v="Nair"/>
    <d v="1976-02-14T00:00:00"/>
    <n v="183.36"/>
    <n v="2025"/>
    <s v="Large"/>
    <s v="Tier 2"/>
    <x v="4"/>
    <s v="West"/>
    <s v="India"/>
    <s v="Corporate"/>
    <d v="2025-05-04T00:00:00"/>
    <s v="ORD00177"/>
    <d v="2025-05-01T00:00:00"/>
    <d v="2025-05-05T00:00:00"/>
    <s v="First Class"/>
    <s v="Rajasthan"/>
    <n v="702727"/>
    <s v="PROD0010"/>
    <s v="Bananas"/>
    <s v="Bananas - 412"/>
    <n v="2"/>
    <n v="0.15"/>
    <n v="16.940000000000001"/>
  </r>
  <r>
    <s v="CUST0038"/>
    <s v="Vivaan"/>
    <s v="Bhat"/>
    <d v="1989-11-06T00:00:00"/>
    <n v="816.13"/>
    <n v="2023"/>
    <s v="Medium"/>
    <s v="Tier 2"/>
    <x v="0"/>
    <s v="West"/>
    <s v="India"/>
    <s v="Consumer"/>
    <d v="2023-07-11T00:00:00"/>
    <s v="ORD00178"/>
    <d v="2023-07-10T00:00:00"/>
    <d v="2023-07-12T00:00:00"/>
    <s v="Same Day"/>
    <s v="Rajasthan"/>
    <n v="476479"/>
    <s v="PROD0004"/>
    <s v="Biscuits"/>
    <s v="Biscuits - 760"/>
    <n v="3"/>
    <n v="0.05"/>
    <n v="111.52"/>
  </r>
  <r>
    <s v="CUST0038"/>
    <s v="Vivaan"/>
    <s v="Bhat"/>
    <d v="1989-11-06T00:00:00"/>
    <n v="1480.68"/>
    <n v="2024"/>
    <s v="Large"/>
    <s v="Tier 2"/>
    <x v="4"/>
    <s v="West"/>
    <s v="India"/>
    <s v="Consumer"/>
    <d v="2024-05-16T00:00:00"/>
    <s v="ORD00179"/>
    <d v="2024-05-13T00:00:00"/>
    <d v="2024-05-17T00:00:00"/>
    <s v="Standard Class"/>
    <s v="Rajasthan"/>
    <n v="535820"/>
    <s v="PROD0008"/>
    <s v="Onions"/>
    <s v="Onions - 239"/>
    <n v="4"/>
    <n v="0.1"/>
    <n v="298.55"/>
  </r>
  <r>
    <s v="CUST0038"/>
    <s v="Vivaan"/>
    <s v="Bhat"/>
    <d v="1989-11-06T00:00:00"/>
    <n v="179.04"/>
    <n v="2024"/>
    <s v="Small"/>
    <s v="Tier 2"/>
    <x v="2"/>
    <s v="West"/>
    <s v="India"/>
    <s v="Consumer"/>
    <d v="2024-10-13T00:00:00"/>
    <s v="ORD00180"/>
    <d v="2024-10-12T00:00:00"/>
    <d v="2024-10-14T00:00:00"/>
    <s v="Second Class"/>
    <s v="Rajasthan"/>
    <n v="335765"/>
    <s v="PROD0009"/>
    <s v="Wheat Flour"/>
    <s v="Wheat Flour - 600"/>
    <n v="3"/>
    <n v="0"/>
    <n v="51.7"/>
  </r>
  <r>
    <s v="CUST0039"/>
    <s v="Arjun"/>
    <s v="Raghavan"/>
    <d v="1993-04-23T00:00:00"/>
    <n v="669.06"/>
    <n v="2023"/>
    <s v="Large"/>
    <s v="Tier 1"/>
    <x v="2"/>
    <s v="South"/>
    <s v="India"/>
    <s v="Consumer"/>
    <d v="2023-06-24T00:00:00"/>
    <s v="ORD00181"/>
    <d v="2023-06-22T00:00:00"/>
    <d v="2023-06-27T00:00:00"/>
    <s v="Same Day"/>
    <s v="Karnataka"/>
    <n v="896922"/>
    <s v="PROD0009"/>
    <s v="Wheat Flour"/>
    <s v="Wheat Flour - 662"/>
    <n v="9"/>
    <n v="0"/>
    <n v="87.22"/>
  </r>
  <r>
    <s v="CUST0039"/>
    <s v="Arjun"/>
    <s v="Raghavan"/>
    <d v="1993-04-23T00:00:00"/>
    <n v="1980.36"/>
    <n v="2024"/>
    <s v="Small"/>
    <s v="Tier 1"/>
    <x v="2"/>
    <s v="South"/>
    <s v="India"/>
    <s v="Consumer"/>
    <d v="2024-04-14T00:00:00"/>
    <s v="ORD00182"/>
    <d v="2024-04-13T00:00:00"/>
    <d v="2024-04-15T00:00:00"/>
    <s v="Standard Class"/>
    <s v="Karnataka"/>
    <n v="375581"/>
    <s v="PROD0009"/>
    <s v="Wheat Flour"/>
    <s v="Wheat Flour - 659"/>
    <n v="4"/>
    <n v="0"/>
    <n v="536.27"/>
  </r>
  <r>
    <s v="CUST0039"/>
    <s v="Arjun"/>
    <s v="Raghavan"/>
    <d v="1993-04-23T00:00:00"/>
    <n v="784.6"/>
    <n v="2024"/>
    <s v="Medium"/>
    <s v="Tier 1"/>
    <x v="1"/>
    <s v="South"/>
    <s v="India"/>
    <s v="Consumer"/>
    <d v="2024-08-07T00:00:00"/>
    <s v="ORD00183"/>
    <d v="2024-08-02T00:00:00"/>
    <d v="2024-08-07T00:00:00"/>
    <s v="Standard Class"/>
    <s v="Karnataka"/>
    <n v="274044"/>
    <s v="PROD0002"/>
    <s v="Bread"/>
    <s v="Bread - 549"/>
    <n v="2"/>
    <n v="0"/>
    <n v="88.63"/>
  </r>
  <r>
    <s v="CUST0039"/>
    <s v="Arjun"/>
    <s v="Raghavan"/>
    <d v="1993-04-23T00:00:00"/>
    <n v="1313.57"/>
    <n v="2025"/>
    <s v="Large"/>
    <s v="Tier 1"/>
    <x v="0"/>
    <s v="South"/>
    <s v="India"/>
    <s v="Consumer"/>
    <d v="2025-03-12T00:00:00"/>
    <s v="ORD00184"/>
    <d v="2025-03-10T00:00:00"/>
    <d v="2025-03-13T00:00:00"/>
    <s v="First Class"/>
    <s v="Karnataka"/>
    <n v="439375"/>
    <s v="PROD0007"/>
    <s v="Chips"/>
    <s v="Chips - 903"/>
    <n v="4"/>
    <n v="0.2"/>
    <n v="89.07"/>
  </r>
  <r>
    <s v="CUST0040"/>
    <s v="Aditya"/>
    <s v="Pandey"/>
    <d v="1979-10-28T00:00:00"/>
    <n v="3227.07"/>
    <n v="2023"/>
    <s v="Small"/>
    <s v="Tier 2"/>
    <x v="4"/>
    <s v="South"/>
    <s v="India"/>
    <s v="Corporate"/>
    <d v="2023-10-03T00:00:00"/>
    <s v="ORD00185"/>
    <d v="2023-10-01T00:00:00"/>
    <d v="2023-10-03T00:00:00"/>
    <s v="First Class"/>
    <s v="Kerala"/>
    <n v="253347"/>
    <s v="PROD0010"/>
    <s v="Bananas"/>
    <s v="Bananas - 868"/>
    <n v="7"/>
    <n v="0"/>
    <n v="1000.76"/>
  </r>
  <r>
    <s v="CUST0040"/>
    <s v="Aditya"/>
    <s v="Pandey"/>
    <d v="1979-10-28T00:00:00"/>
    <n v="1310.73"/>
    <n v="2023"/>
    <s v="Large"/>
    <s v="Tier 2"/>
    <x v="2"/>
    <s v="South"/>
    <s v="India"/>
    <s v="Corporate"/>
    <d v="2023-10-26T00:00:00"/>
    <s v="ORD00186"/>
    <d v="2023-10-24T00:00:00"/>
    <d v="2023-10-26T00:00:00"/>
    <s v="Second Class"/>
    <s v="Kerala"/>
    <n v="758309"/>
    <s v="PROD0009"/>
    <s v="Wheat Flour"/>
    <s v="Wheat Flour - 948"/>
    <n v="4"/>
    <n v="0.15"/>
    <n v="219.95"/>
  </r>
  <r>
    <s v="CUST0040"/>
    <s v="Aditya"/>
    <s v="Pandey"/>
    <d v="1979-10-28T00:00:00"/>
    <n v="518.62"/>
    <n v="2023"/>
    <s v="Medium"/>
    <s v="Tier 2"/>
    <x v="5"/>
    <s v="South"/>
    <s v="India"/>
    <s v="Corporate"/>
    <d v="2023-11-01T00:00:00"/>
    <s v="ORD00187"/>
    <d v="2023-10-27T00:00:00"/>
    <d v="2023-11-01T00:00:00"/>
    <s v="Second Class"/>
    <s v="Kerala"/>
    <n v="576782"/>
    <s v="PROD0015"/>
    <s v="Soft Drinks"/>
    <s v="Soft Drinks - 562"/>
    <n v="2"/>
    <n v="0.2"/>
    <n v="40.42"/>
  </r>
  <r>
    <s v="CUST0040"/>
    <s v="Aditya"/>
    <s v="Pandey"/>
    <d v="1979-10-28T00:00:00"/>
    <n v="349.66"/>
    <n v="2024"/>
    <s v="Small"/>
    <s v="Tier 2"/>
    <x v="5"/>
    <s v="South"/>
    <s v="India"/>
    <s v="Corporate"/>
    <d v="2024-06-12T00:00:00"/>
    <s v="ORD00188"/>
    <d v="2024-06-10T00:00:00"/>
    <d v="2024-06-14T00:00:00"/>
    <s v="Standard Class"/>
    <s v="Kerala"/>
    <n v="328411"/>
    <s v="PROD0011"/>
    <s v="Juice"/>
    <s v="Juice - 695"/>
    <n v="1"/>
    <n v="0.2"/>
    <n v="94.34"/>
  </r>
  <r>
    <s v="CUST0040"/>
    <s v="Aditya"/>
    <s v="Pandey"/>
    <d v="1979-10-28T00:00:00"/>
    <n v="874.9"/>
    <n v="2024"/>
    <s v="Large"/>
    <s v="Tier 2"/>
    <x v="5"/>
    <s v="South"/>
    <s v="India"/>
    <s v="Corporate"/>
    <d v="2024-08-10T00:00:00"/>
    <s v="ORD00189"/>
    <d v="2024-08-09T00:00:00"/>
    <d v="2024-08-14T00:00:00"/>
    <s v="Standard Class"/>
    <s v="Kerala"/>
    <n v="926596"/>
    <s v="PROD0017"/>
    <s v="Coffee"/>
    <s v="Coffee - 606"/>
    <n v="5"/>
    <n v="0"/>
    <n v="132.4"/>
  </r>
  <r>
    <s v="CUST0040"/>
    <s v="Aditya"/>
    <s v="Pandey"/>
    <d v="1979-10-28T00:00:00"/>
    <n v="35.74"/>
    <n v="2024"/>
    <s v="Small"/>
    <s v="Tier 2"/>
    <x v="1"/>
    <s v="South"/>
    <s v="India"/>
    <s v="Corporate"/>
    <d v="2024-11-26T00:00:00"/>
    <s v="ORD00190"/>
    <d v="2024-11-26T00:00:00"/>
    <d v="2024-11-30T00:00:00"/>
    <s v="First Class"/>
    <s v="Kerala"/>
    <n v="562721"/>
    <s v="PROD0006"/>
    <s v="Cookies"/>
    <s v="Cookies - 880"/>
    <n v="1"/>
    <n v="0.15"/>
    <n v="10.19"/>
  </r>
  <r>
    <s v="CUST0040"/>
    <s v="Aditya"/>
    <s v="Pandey"/>
    <d v="1979-10-28T00:00:00"/>
    <n v="1991.72"/>
    <n v="2025"/>
    <s v="Medium"/>
    <s v="Tier 2"/>
    <x v="5"/>
    <s v="South"/>
    <s v="India"/>
    <s v="Corporate"/>
    <d v="2025-04-15T00:00:00"/>
    <s v="ORD00191"/>
    <d v="2025-04-14T00:00:00"/>
    <d v="2025-04-17T00:00:00"/>
    <s v="Same Day"/>
    <s v="Kerala"/>
    <n v="786385"/>
    <s v="PROD0019"/>
    <s v="Tea"/>
    <s v="Tea - 538"/>
    <n v="4"/>
    <n v="0"/>
    <n v="626.67999999999995"/>
  </r>
  <r>
    <s v="CUST0040"/>
    <s v="Aditya"/>
    <s v="Pandey"/>
    <d v="1979-10-28T00:00:00"/>
    <n v="1728.7"/>
    <n v="2025"/>
    <s v="Large"/>
    <s v="Tier 2"/>
    <x v="1"/>
    <s v="South"/>
    <s v="India"/>
    <s v="Corporate"/>
    <d v="2025-05-30T00:00:00"/>
    <s v="ORD00192"/>
    <d v="2025-05-28T00:00:00"/>
    <d v="2025-06-01T00:00:00"/>
    <s v="First Class"/>
    <s v="Kerala"/>
    <n v="550081"/>
    <s v="PROD0018"/>
    <s v="Buns"/>
    <s v="Buns - 184"/>
    <n v="6"/>
    <n v="0.15"/>
    <n v="172.28"/>
  </r>
  <r>
    <s v="CUST0041"/>
    <s v="Imran"/>
    <s v="Bose"/>
    <d v="1974-08-12T00:00:00"/>
    <n v="1023.45"/>
    <n v="2023"/>
    <s v="Medium"/>
    <s v="Tier 2"/>
    <x v="4"/>
    <s v="East"/>
    <s v="India"/>
    <s v="Home Office"/>
    <d v="2023-01-02T00:00:00"/>
    <s v="ORD00193"/>
    <d v="2023-01-02T00:00:00"/>
    <d v="2023-01-05T00:00:00"/>
    <s v="First Class"/>
    <s v="Jharkhand"/>
    <n v="600905"/>
    <s v="PROD0010"/>
    <s v="Bananas"/>
    <s v="Bananas - 707"/>
    <n v="4"/>
    <n v="0.05"/>
    <n v="54.02"/>
  </r>
  <r>
    <s v="CUST0041"/>
    <s v="Imran"/>
    <s v="Bose"/>
    <d v="1974-08-12T00:00:00"/>
    <n v="741.54"/>
    <n v="2023"/>
    <s v="Small"/>
    <s v="Tier 2"/>
    <x v="4"/>
    <s v="East"/>
    <s v="India"/>
    <s v="Home Office"/>
    <d v="2023-04-10T00:00:00"/>
    <s v="ORD00194"/>
    <d v="2023-04-08T00:00:00"/>
    <d v="2023-04-11T00:00:00"/>
    <s v="Standard Class"/>
    <s v="Jharkhand"/>
    <n v="911032"/>
    <s v="PROD0010"/>
    <s v="Bananas"/>
    <s v="Bananas - 492"/>
    <n v="2"/>
    <n v="0"/>
    <n v="60.04"/>
  </r>
  <r>
    <s v="CUST0041"/>
    <s v="Imran"/>
    <s v="Bose"/>
    <d v="1974-08-12T00:00:00"/>
    <n v="2352.08"/>
    <n v="2023"/>
    <s v="Large"/>
    <s v="Tier 2"/>
    <x v="3"/>
    <s v="East"/>
    <s v="India"/>
    <s v="Home Office"/>
    <d v="2023-08-09T00:00:00"/>
    <s v="ORD00195"/>
    <d v="2023-08-07T00:00:00"/>
    <d v="2023-08-11T00:00:00"/>
    <s v="First Class"/>
    <s v="Jharkhand"/>
    <n v="758589"/>
    <s v="PROD0005"/>
    <s v="Yogurt"/>
    <s v="Yogurt - 170"/>
    <n v="9"/>
    <n v="0.1"/>
    <n v="576.27"/>
  </r>
  <r>
    <s v="CUST0041"/>
    <s v="Imran"/>
    <s v="Bose"/>
    <d v="1974-08-12T00:00:00"/>
    <n v="2796.4"/>
    <n v="2024"/>
    <s v="Small"/>
    <s v="Tier 2"/>
    <x v="2"/>
    <s v="East"/>
    <s v="India"/>
    <s v="Home Office"/>
    <d v="2024-05-03T00:00:00"/>
    <s v="ORD00196"/>
    <d v="2024-05-03T00:00:00"/>
    <d v="2024-05-04T00:00:00"/>
    <s v="Standard Class"/>
    <s v="Jharkhand"/>
    <n v="468611"/>
    <s v="PROD0012"/>
    <s v="Rice"/>
    <s v="Rice - 521"/>
    <n v="10"/>
    <n v="0.2"/>
    <n v="322.07"/>
  </r>
  <r>
    <s v="CUST0041"/>
    <s v="Imran"/>
    <s v="Bose"/>
    <d v="1974-08-12T00:00:00"/>
    <n v="354.3"/>
    <n v="2024"/>
    <s v="Large"/>
    <s v="Tier 2"/>
    <x v="5"/>
    <s v="East"/>
    <s v="India"/>
    <s v="Home Office"/>
    <d v="2024-12-25T00:00:00"/>
    <s v="ORD00197"/>
    <d v="2024-12-21T00:00:00"/>
    <d v="2024-12-26T00:00:00"/>
    <s v="Second Class"/>
    <s v="Jharkhand"/>
    <n v="916808"/>
    <s v="PROD0011"/>
    <s v="Juice"/>
    <s v="Juice - 910"/>
    <n v="3"/>
    <n v="0.15"/>
    <n v="26.67"/>
  </r>
  <r>
    <s v="CUST0042"/>
    <s v="Swathi"/>
    <s v="Bhat"/>
    <d v="1986-03-16T00:00:00"/>
    <n v="1515.84"/>
    <n v="2023"/>
    <s v="Medium"/>
    <s v="Tier 2"/>
    <x v="0"/>
    <s v="West"/>
    <s v="India"/>
    <s v="Corporate"/>
    <d v="2023-01-29T00:00:00"/>
    <s v="ORD00198"/>
    <d v="2023-01-28T00:00:00"/>
    <d v="2023-01-30T00:00:00"/>
    <s v="Same Day"/>
    <s v="Rajasthan"/>
    <n v="352792"/>
    <s v="PROD0004"/>
    <s v="Biscuits"/>
    <s v="Biscuits - 621"/>
    <n v="4"/>
    <n v="0"/>
    <n v="369.64"/>
  </r>
  <r>
    <s v="CUST0042"/>
    <s v="Swathi"/>
    <s v="Bhat"/>
    <d v="1986-03-16T00:00:00"/>
    <n v="493.7"/>
    <n v="2023"/>
    <s v="Medium"/>
    <s v="Tier 2"/>
    <x v="5"/>
    <s v="West"/>
    <s v="India"/>
    <s v="Corporate"/>
    <d v="2023-08-02T00:00:00"/>
    <s v="ORD00199"/>
    <d v="2023-07-30T00:00:00"/>
    <d v="2023-08-04T00:00:00"/>
    <s v="First Class"/>
    <s v="Rajasthan"/>
    <n v="899776"/>
    <s v="PROD0019"/>
    <s v="Tea"/>
    <s v="Tea - 640"/>
    <n v="1"/>
    <n v="0"/>
    <n v="44.23"/>
  </r>
  <r>
    <s v="CUST0042"/>
    <s v="Swathi"/>
    <s v="Bhat"/>
    <d v="1986-03-16T00:00:00"/>
    <n v="524.20000000000005"/>
    <n v="2023"/>
    <s v="Large"/>
    <s v="Tier 2"/>
    <x v="5"/>
    <s v="West"/>
    <s v="India"/>
    <s v="Corporate"/>
    <d v="2023-11-06T00:00:00"/>
    <s v="ORD00200"/>
    <d v="2023-11-05T00:00:00"/>
    <d v="2023-11-06T00:00:00"/>
    <s v="Second Class"/>
    <s v="Rajasthan"/>
    <n v="759104"/>
    <s v="PROD0019"/>
    <s v="Tea"/>
    <s v="Tea - 117"/>
    <n v="10"/>
    <n v="0"/>
    <n v="60.14"/>
  </r>
  <r>
    <s v="CUST0042"/>
    <s v="Swathi"/>
    <s v="Bhat"/>
    <d v="1986-03-16T00:00:00"/>
    <n v="1485.08"/>
    <n v="2024"/>
    <s v="Large"/>
    <s v="Tier 2"/>
    <x v="2"/>
    <s v="West"/>
    <s v="India"/>
    <s v="Corporate"/>
    <d v="2024-11-09T00:00:00"/>
    <s v="ORD00201"/>
    <d v="2024-11-05T00:00:00"/>
    <d v="2024-11-10T00:00:00"/>
    <s v="First Class"/>
    <s v="Rajasthan"/>
    <n v="390946"/>
    <s v="PROD0003"/>
    <s v="Pulses"/>
    <s v="Pulses - 885"/>
    <n v="7"/>
    <n v="0.05"/>
    <n v="110.98"/>
  </r>
  <r>
    <s v="CUST0042"/>
    <s v="Swathi"/>
    <s v="Bhat"/>
    <d v="1986-03-16T00:00:00"/>
    <n v="3326.69"/>
    <n v="2025"/>
    <s v="Large"/>
    <s v="Tier 2"/>
    <x v="4"/>
    <s v="West"/>
    <s v="India"/>
    <s v="Corporate"/>
    <d v="2025-05-20T00:00:00"/>
    <s v="ORD00202"/>
    <d v="2025-05-17T00:00:00"/>
    <d v="2025-05-20T00:00:00"/>
    <s v="Same Day"/>
    <s v="Rajasthan"/>
    <n v="425236"/>
    <s v="PROD0014"/>
    <s v="Tomatoes"/>
    <s v="Tomatoes - 180"/>
    <n v="9"/>
    <n v="0.2"/>
    <n v="321.39999999999998"/>
  </r>
  <r>
    <s v="CUST0042"/>
    <s v="Swathi"/>
    <s v="Bhat"/>
    <d v="1986-03-16T00:00:00"/>
    <n v="191.16"/>
    <n v="2025"/>
    <s v="Large"/>
    <s v="Tier 2"/>
    <x v="2"/>
    <s v="West"/>
    <s v="India"/>
    <s v="Corporate"/>
    <d v="2025-05-19T00:00:00"/>
    <s v="ORD00203"/>
    <d v="2025-05-18T00:00:00"/>
    <d v="2025-05-19T00:00:00"/>
    <s v="Same Day"/>
    <s v="Rajasthan"/>
    <n v="424314"/>
    <s v="PROD0009"/>
    <s v="Wheat Flour"/>
    <s v="Wheat Flour - 847"/>
    <n v="4"/>
    <n v="0"/>
    <n v="62.58"/>
  </r>
  <r>
    <s v="CUST0042"/>
    <s v="Swathi"/>
    <s v="Bhat"/>
    <d v="1986-03-16T00:00:00"/>
    <n v="197.19"/>
    <n v="2025"/>
    <s v="Medium"/>
    <s v="Tier 2"/>
    <x v="2"/>
    <s v="West"/>
    <s v="India"/>
    <s v="Corporate"/>
    <d v="2025-06-15T00:00:00"/>
    <s v="ORD00204"/>
    <d v="2025-06-15T00:00:00"/>
    <d v="2025-06-16T00:00:00"/>
    <s v="Second Class"/>
    <s v="Rajasthan"/>
    <n v="648410"/>
    <s v="PROD0003"/>
    <s v="Pulses"/>
    <s v="Pulses - 773"/>
    <n v="3"/>
    <n v="0.15"/>
    <n v="17.98"/>
  </r>
  <r>
    <s v="CUST0043"/>
    <s v="Saanvi"/>
    <s v="Nair"/>
    <d v="1969-05-08T00:00:00"/>
    <n v="1859.05"/>
    <n v="2023"/>
    <s v="Medium"/>
    <s v="Tier 2"/>
    <x v="1"/>
    <s v="North"/>
    <s v="India"/>
    <s v="Corporate"/>
    <d v="2023-06-21T00:00:00"/>
    <s v="ORD00205"/>
    <d v="2023-06-20T00:00:00"/>
    <d v="2023-06-21T00:00:00"/>
    <s v="Second Class"/>
    <s v="Uttarakhand"/>
    <n v="649300"/>
    <s v="PROD0002"/>
    <s v="Bread"/>
    <s v="Bread - 867"/>
    <n v="5"/>
    <n v="0"/>
    <n v="523.19000000000005"/>
  </r>
  <r>
    <s v="CUST0043"/>
    <s v="Saanvi"/>
    <s v="Nair"/>
    <d v="1969-05-08T00:00:00"/>
    <n v="3051.59"/>
    <n v="2023"/>
    <s v="Medium"/>
    <s v="Tier 2"/>
    <x v="4"/>
    <s v="North"/>
    <s v="India"/>
    <s v="Corporate"/>
    <d v="2023-09-23T00:00:00"/>
    <s v="ORD00206"/>
    <d v="2023-09-23T00:00:00"/>
    <d v="2023-09-26T00:00:00"/>
    <s v="First Class"/>
    <s v="Uttarakhand"/>
    <n v="485548"/>
    <s v="PROD0014"/>
    <s v="Tomatoes"/>
    <s v="Tomatoes - 829"/>
    <n v="10"/>
    <n v="0.05"/>
    <n v="569.29999999999995"/>
  </r>
  <r>
    <s v="CUST0043"/>
    <s v="Saanvi"/>
    <s v="Nair"/>
    <d v="1969-05-08T00:00:00"/>
    <n v="763.73"/>
    <n v="2025"/>
    <s v="Large"/>
    <s v="Tier 2"/>
    <x v="3"/>
    <s v="North"/>
    <s v="India"/>
    <s v="Corporate"/>
    <d v="2025-01-10T00:00:00"/>
    <s v="ORD00207"/>
    <d v="2025-01-08T00:00:00"/>
    <d v="2025-01-10T00:00:00"/>
    <s v="Same Day"/>
    <s v="Uttarakhand"/>
    <n v="146177"/>
    <s v="PROD0020"/>
    <s v="Paneer"/>
    <s v="Paneer - 891"/>
    <n v="2"/>
    <n v="0.15"/>
    <n v="203.79"/>
  </r>
  <r>
    <s v="CUST0043"/>
    <s v="Saanvi"/>
    <s v="Nair"/>
    <d v="1969-05-08T00:00:00"/>
    <n v="1557.68"/>
    <n v="2025"/>
    <s v="Small"/>
    <s v="Tier 2"/>
    <x v="4"/>
    <s v="North"/>
    <s v="India"/>
    <s v="Corporate"/>
    <d v="2025-04-23T00:00:00"/>
    <s v="ORD00208"/>
    <d v="2025-04-22T00:00:00"/>
    <d v="2025-04-23T00:00:00"/>
    <s v="Second Class"/>
    <s v="Uttarakhand"/>
    <n v="360322"/>
    <s v="PROD0010"/>
    <s v="Bananas"/>
    <s v="Bananas - 147"/>
    <n v="8"/>
    <n v="0"/>
    <n v="161.51"/>
  </r>
  <r>
    <s v="CUST0044"/>
    <s v="Sandeep"/>
    <s v="Mukherjee"/>
    <d v="1997-09-15T00:00:00"/>
    <n v="3088.8"/>
    <n v="2023"/>
    <s v="Medium"/>
    <s v="Tier 1"/>
    <x v="4"/>
    <s v="South"/>
    <s v="India"/>
    <s v="Consumer"/>
    <d v="2023-10-05T00:00:00"/>
    <s v="ORD00209"/>
    <d v="2023-10-05T00:00:00"/>
    <d v="2023-10-10T00:00:00"/>
    <s v="Same Day"/>
    <s v="Karnataka"/>
    <n v="587686"/>
    <s v="PROD0014"/>
    <s v="Tomatoes"/>
    <s v="Tomatoes - 222"/>
    <n v="9"/>
    <n v="0"/>
    <n v="320.63"/>
  </r>
  <r>
    <s v="CUST0044"/>
    <s v="Sandeep"/>
    <s v="Mukherjee"/>
    <d v="1997-09-15T00:00:00"/>
    <n v="570.96"/>
    <n v="2023"/>
    <s v="Large"/>
    <s v="Tier 1"/>
    <x v="1"/>
    <s v="South"/>
    <s v="India"/>
    <s v="Consumer"/>
    <d v="2023-11-26T00:00:00"/>
    <s v="ORD00210"/>
    <d v="2023-11-24T00:00:00"/>
    <d v="2023-11-27T00:00:00"/>
    <s v="First Class"/>
    <s v="Karnataka"/>
    <n v="586462"/>
    <s v="PROD0018"/>
    <s v="Buns"/>
    <s v="Buns - 435"/>
    <n v="2"/>
    <n v="0"/>
    <n v="91.74"/>
  </r>
  <r>
    <s v="CUST0044"/>
    <s v="Sandeep"/>
    <s v="Mukherjee"/>
    <d v="1997-09-15T00:00:00"/>
    <n v="1337.69"/>
    <n v="2025"/>
    <s v="Small"/>
    <s v="Tier 1"/>
    <x v="1"/>
    <s v="South"/>
    <s v="India"/>
    <s v="Consumer"/>
    <d v="2025-01-07T00:00:00"/>
    <s v="ORD00211"/>
    <d v="2025-01-07T00:00:00"/>
    <d v="2025-01-09T00:00:00"/>
    <s v="Standard Class"/>
    <s v="Karnataka"/>
    <n v="125071"/>
    <s v="PROD0006"/>
    <s v="Cookies"/>
    <s v="Cookies - 605"/>
    <n v="4"/>
    <n v="0.1"/>
    <n v="372.07"/>
  </r>
  <r>
    <s v="CUST0045"/>
    <s v="Vijay"/>
    <s v="Venkatesh"/>
    <d v="1980-03-22T00:00:00"/>
    <n v="365.08"/>
    <n v="2023"/>
    <s v="Small"/>
    <s v="Tier 2"/>
    <x v="2"/>
    <s v="South"/>
    <s v="India"/>
    <s v="Consumer"/>
    <d v="2023-12-21T00:00:00"/>
    <s v="ORD00212"/>
    <d v="2023-12-21T00:00:00"/>
    <d v="2023-12-24T00:00:00"/>
    <s v="First Class"/>
    <s v="Andhra Pradesh"/>
    <n v="540208"/>
    <s v="PROD0012"/>
    <s v="Rice"/>
    <s v="Rice - 443"/>
    <n v="1"/>
    <n v="0.05"/>
    <n v="111.24"/>
  </r>
  <r>
    <s v="CUST0045"/>
    <s v="Vijay"/>
    <s v="Venkatesh"/>
    <d v="1980-03-22T00:00:00"/>
    <n v="323.25"/>
    <n v="2024"/>
    <s v="Large"/>
    <s v="Tier 2"/>
    <x v="5"/>
    <s v="South"/>
    <s v="India"/>
    <s v="Consumer"/>
    <d v="2024-10-16T00:00:00"/>
    <s v="ORD00213"/>
    <d v="2024-10-13T00:00:00"/>
    <d v="2024-10-18T00:00:00"/>
    <s v="Second Class"/>
    <s v="Andhra Pradesh"/>
    <n v="580728"/>
    <s v="PROD0019"/>
    <s v="Tea"/>
    <s v="Tea - 245"/>
    <n v="5"/>
    <n v="0"/>
    <n v="103.18"/>
  </r>
  <r>
    <s v="CUST0046"/>
    <s v="Saanvi"/>
    <s v="Chowdhury"/>
    <d v="1985-02-15T00:00:00"/>
    <n v="400.95"/>
    <n v="2023"/>
    <s v="Medium"/>
    <s v="Tier 2"/>
    <x v="4"/>
    <s v="South"/>
    <s v="India"/>
    <s v="Consumer"/>
    <d v="2023-03-30T00:00:00"/>
    <s v="ORD00214"/>
    <d v="2023-03-28T00:00:00"/>
    <d v="2023-04-01T00:00:00"/>
    <s v="Standard Class"/>
    <s v="Telangana"/>
    <n v="385166"/>
    <s v="PROD0016"/>
    <s v="Apples"/>
    <s v="Apples - 545"/>
    <n v="3"/>
    <n v="0"/>
    <n v="122.4"/>
  </r>
  <r>
    <s v="CUST0046"/>
    <s v="Saanvi"/>
    <s v="Chowdhury"/>
    <d v="1985-02-15T00:00:00"/>
    <n v="1064.8"/>
    <n v="2023"/>
    <s v="Medium"/>
    <s v="Tier 2"/>
    <x v="3"/>
    <s v="South"/>
    <s v="India"/>
    <s v="Consumer"/>
    <d v="2023-04-08T00:00:00"/>
    <s v="ORD00215"/>
    <d v="2023-04-08T00:00:00"/>
    <d v="2023-04-09T00:00:00"/>
    <s v="Standard Class"/>
    <s v="Telangana"/>
    <n v="429287"/>
    <s v="PROD0021"/>
    <s v="Milk"/>
    <s v="Milk - 307"/>
    <n v="3"/>
    <n v="0.1"/>
    <n v="88.05"/>
  </r>
  <r>
    <s v="CUST0046"/>
    <s v="Saanvi"/>
    <s v="Chowdhury"/>
    <d v="1985-02-15T00:00:00"/>
    <n v="2898.12"/>
    <n v="2023"/>
    <s v="Small"/>
    <s v="Tier 2"/>
    <x v="5"/>
    <s v="South"/>
    <s v="India"/>
    <s v="Consumer"/>
    <d v="2023-05-19T00:00:00"/>
    <s v="ORD00216"/>
    <d v="2023-05-17T00:00:00"/>
    <d v="2023-05-21T00:00:00"/>
    <s v="Same Day"/>
    <s v="Telangana"/>
    <n v="265271"/>
    <s v="PROD0019"/>
    <s v="Tea"/>
    <s v="Tea - 648"/>
    <n v="6"/>
    <n v="0"/>
    <n v="537.82000000000005"/>
  </r>
  <r>
    <s v="CUST0046"/>
    <s v="Saanvi"/>
    <s v="Chowdhury"/>
    <d v="1985-02-15T00:00:00"/>
    <n v="314.88"/>
    <n v="2024"/>
    <s v="Large"/>
    <s v="Tier 2"/>
    <x v="2"/>
    <s v="South"/>
    <s v="India"/>
    <s v="Consumer"/>
    <d v="2024-02-08T00:00:00"/>
    <s v="ORD00217"/>
    <d v="2024-02-08T00:00:00"/>
    <d v="2024-02-10T00:00:00"/>
    <s v="First Class"/>
    <s v="Telangana"/>
    <n v="473023"/>
    <s v="PROD0009"/>
    <s v="Wheat Flour"/>
    <s v="Wheat Flour - 946"/>
    <n v="10"/>
    <n v="0.2"/>
    <n v="96.66"/>
  </r>
  <r>
    <s v="CUST0046"/>
    <s v="Saanvi"/>
    <s v="Chowdhury"/>
    <d v="1985-02-15T00:00:00"/>
    <n v="724.4"/>
    <n v="2024"/>
    <s v="Large"/>
    <s v="Tier 2"/>
    <x v="5"/>
    <s v="South"/>
    <s v="India"/>
    <s v="Consumer"/>
    <d v="2024-06-04T00:00:00"/>
    <s v="ORD00218"/>
    <d v="2024-06-01T00:00:00"/>
    <d v="2024-06-05T00:00:00"/>
    <s v="First Class"/>
    <s v="Telangana"/>
    <n v="199326"/>
    <s v="PROD0019"/>
    <s v="Tea"/>
    <s v="Tea - 793"/>
    <n v="5"/>
    <n v="0"/>
    <n v="42.97"/>
  </r>
  <r>
    <s v="CUST0046"/>
    <s v="Saanvi"/>
    <s v="Chowdhury"/>
    <d v="1985-02-15T00:00:00"/>
    <n v="234.9"/>
    <n v="2024"/>
    <s v="Small"/>
    <s v="Tier 2"/>
    <x v="5"/>
    <s v="South"/>
    <s v="India"/>
    <s v="Consumer"/>
    <d v="2024-08-17T00:00:00"/>
    <s v="ORD00219"/>
    <d v="2024-08-17T00:00:00"/>
    <d v="2024-08-19T00:00:00"/>
    <s v="Standard Class"/>
    <s v="Telangana"/>
    <n v="490321"/>
    <s v="PROD0019"/>
    <s v="Tea"/>
    <s v="Tea - 923"/>
    <n v="3"/>
    <n v="0"/>
    <n v="70.260000000000005"/>
  </r>
  <r>
    <s v="CUST0046"/>
    <s v="Saanvi"/>
    <s v="Chowdhury"/>
    <d v="1985-02-15T00:00:00"/>
    <n v="599.04"/>
    <n v="2024"/>
    <s v="Small"/>
    <s v="Tier 2"/>
    <x v="2"/>
    <s v="South"/>
    <s v="India"/>
    <s v="Consumer"/>
    <d v="2024-10-14T00:00:00"/>
    <s v="ORD00220"/>
    <d v="2024-10-14T00:00:00"/>
    <d v="2024-10-15T00:00:00"/>
    <s v="First Class"/>
    <s v="Telangana"/>
    <n v="777366"/>
    <s v="PROD0003"/>
    <s v="Pulses"/>
    <s v="Pulses - 760"/>
    <n v="2"/>
    <n v="0"/>
    <n v="194.82"/>
  </r>
  <r>
    <s v="CUST0046"/>
    <s v="Saanvi"/>
    <s v="Chowdhury"/>
    <d v="1985-02-15T00:00:00"/>
    <n v="449.22"/>
    <n v="2025"/>
    <s v="Large"/>
    <s v="Tier 2"/>
    <x v="5"/>
    <s v="South"/>
    <s v="India"/>
    <s v="Consumer"/>
    <d v="2025-04-22T00:00:00"/>
    <s v="ORD00221"/>
    <d v="2025-04-19T00:00:00"/>
    <d v="2025-04-24T00:00:00"/>
    <s v="Standard Class"/>
    <s v="Telangana"/>
    <n v="620226"/>
    <s v="PROD0017"/>
    <s v="Coffee"/>
    <s v="Coffee - 194"/>
    <n v="6"/>
    <n v="0.05"/>
    <n v="29.29"/>
  </r>
  <r>
    <s v="CUST0047"/>
    <s v="Anika"/>
    <s v="Mukherjee"/>
    <d v="1976-03-16T00:00:00"/>
    <n v="1823.96"/>
    <n v="2024"/>
    <s v="Large"/>
    <s v="Tier 2"/>
    <x v="5"/>
    <s v="South"/>
    <s v="India"/>
    <s v="Home Office"/>
    <d v="2024-11-30T00:00:00"/>
    <s v="ORD00222"/>
    <d v="2024-11-30T00:00:00"/>
    <d v="2024-12-02T00:00:00"/>
    <s v="First Class"/>
    <s v="Kerala"/>
    <n v="778720"/>
    <s v="PROD0017"/>
    <s v="Coffee"/>
    <s v="Coffee - 462"/>
    <n v="4"/>
    <n v="0"/>
    <n v="244.33"/>
  </r>
  <r>
    <s v="CUST0048"/>
    <s v="Reyansh"/>
    <s v="Verma"/>
    <d v="1994-04-03T00:00:00"/>
    <n v="968.29"/>
    <n v="2024"/>
    <s v="Large"/>
    <s v="Tier 2"/>
    <x v="5"/>
    <s v="East"/>
    <s v="India"/>
    <s v="Consumer"/>
    <d v="2024-02-27T00:00:00"/>
    <s v="ORD00223"/>
    <d v="2024-02-26T00:00:00"/>
    <d v="2024-03-02T00:00:00"/>
    <s v="Same Day"/>
    <s v="Jharkhand"/>
    <n v="501078"/>
    <s v="PROD0019"/>
    <s v="Tea"/>
    <s v="Tea - 189"/>
    <n v="5"/>
    <n v="0.05"/>
    <n v="106.35"/>
  </r>
  <r>
    <s v="CUST0048"/>
    <s v="Reyansh"/>
    <s v="Verma"/>
    <d v="1994-04-03T00:00:00"/>
    <n v="3555.81"/>
    <n v="2024"/>
    <s v="Medium"/>
    <s v="Tier 2"/>
    <x v="2"/>
    <s v="East"/>
    <s v="India"/>
    <s v="Consumer"/>
    <d v="2024-07-19T00:00:00"/>
    <s v="ORD00224"/>
    <d v="2024-07-17T00:00:00"/>
    <d v="2024-07-22T00:00:00"/>
    <s v="Second Class"/>
    <s v="Jharkhand"/>
    <n v="288550"/>
    <s v="PROD0009"/>
    <s v="Wheat Flour"/>
    <s v="Wheat Flour - 591"/>
    <n v="9"/>
    <n v="0"/>
    <n v="1151.3800000000001"/>
  </r>
  <r>
    <s v="CUST0048"/>
    <s v="Reyansh"/>
    <s v="Verma"/>
    <d v="1994-04-03T00:00:00"/>
    <n v="109.02"/>
    <n v="2025"/>
    <s v="Large"/>
    <s v="Tier 2"/>
    <x v="4"/>
    <s v="East"/>
    <s v="India"/>
    <s v="Consumer"/>
    <d v="2025-06-23T00:00:00"/>
    <s v="ORD00225"/>
    <d v="2025-06-22T00:00:00"/>
    <d v="2025-06-23T00:00:00"/>
    <s v="Second Class"/>
    <s v="Jharkhand"/>
    <n v="904092"/>
    <s v="PROD0014"/>
    <s v="Tomatoes"/>
    <s v="Tomatoes - 711"/>
    <n v="4"/>
    <n v="0.2"/>
    <n v="30.91"/>
  </r>
  <r>
    <s v="CUST0049"/>
    <s v="Ganesh"/>
    <s v="Pandey"/>
    <d v="1975-08-09T00:00:00"/>
    <n v="3150.42"/>
    <n v="2023"/>
    <s v="Medium"/>
    <s v="Tier 1"/>
    <x v="2"/>
    <s v="West"/>
    <s v="India"/>
    <s v="Corporate"/>
    <d v="2023-04-15T00:00:00"/>
    <s v="ORD00226"/>
    <d v="2023-04-13T00:00:00"/>
    <d v="2023-04-15T00:00:00"/>
    <s v="Second Class"/>
    <s v="Maharashtra"/>
    <n v="979988"/>
    <s v="PROD0012"/>
    <s v="Rice"/>
    <s v="Rice - 372"/>
    <n v="9"/>
    <n v="0.15"/>
    <n v="210.36"/>
  </r>
  <r>
    <s v="CUST0049"/>
    <s v="Ganesh"/>
    <s v="Pandey"/>
    <d v="1975-08-09T00:00:00"/>
    <n v="1467.44"/>
    <n v="2023"/>
    <s v="Large"/>
    <s v="Tier 1"/>
    <x v="3"/>
    <s v="West"/>
    <s v="India"/>
    <s v="Corporate"/>
    <d v="2023-06-13T00:00:00"/>
    <s v="ORD00227"/>
    <d v="2023-06-13T00:00:00"/>
    <d v="2023-06-18T00:00:00"/>
    <s v="Second Class"/>
    <s v="Maharashtra"/>
    <n v="695225"/>
    <s v="PROD0005"/>
    <s v="Yogurt"/>
    <s v="Yogurt - 342"/>
    <n v="10"/>
    <n v="0.15"/>
    <n v="380.49"/>
  </r>
  <r>
    <s v="CUST0049"/>
    <s v="Ganesh"/>
    <s v="Pandey"/>
    <d v="1975-08-09T00:00:00"/>
    <n v="1349.15"/>
    <n v="2023"/>
    <s v="Medium"/>
    <s v="Tier 1"/>
    <x v="0"/>
    <s v="West"/>
    <s v="India"/>
    <s v="Corporate"/>
    <d v="2023-08-31T00:00:00"/>
    <s v="ORD00228"/>
    <d v="2023-08-27T00:00:00"/>
    <d v="2023-08-31T00:00:00"/>
    <s v="First Class"/>
    <s v="Maharashtra"/>
    <n v="614259"/>
    <s v="PROD0007"/>
    <s v="Chips"/>
    <s v="Chips - 676"/>
    <n v="4"/>
    <n v="0.2"/>
    <n v="424.29"/>
  </r>
  <r>
    <s v="CUST0049"/>
    <s v="Ganesh"/>
    <s v="Pandey"/>
    <d v="1975-08-09T00:00:00"/>
    <n v="1235.2"/>
    <n v="2023"/>
    <s v="Large"/>
    <s v="Tier 1"/>
    <x v="4"/>
    <s v="West"/>
    <s v="India"/>
    <s v="Corporate"/>
    <d v="2023-09-12T00:00:00"/>
    <s v="ORD00229"/>
    <d v="2023-09-11T00:00:00"/>
    <d v="2023-09-12T00:00:00"/>
    <s v="First Class"/>
    <s v="Maharashtra"/>
    <n v="945619"/>
    <s v="PROD0016"/>
    <s v="Apples"/>
    <s v="Apples - 157"/>
    <n v="4"/>
    <n v="0"/>
    <n v="256.83999999999997"/>
  </r>
  <r>
    <s v="CUST0050"/>
    <s v="Priya"/>
    <s v="Gupta"/>
    <d v="1982-12-28T00:00:00"/>
    <n v="904.71"/>
    <n v="2023"/>
    <s v="Small"/>
    <s v="Tier 1"/>
    <x v="1"/>
    <s v="South"/>
    <s v="India"/>
    <s v="Corporate"/>
    <d v="2023-07-03T00:00:00"/>
    <s v="ORD00230"/>
    <d v="2023-07-01T00:00:00"/>
    <d v="2023-07-06T00:00:00"/>
    <s v="Second Class"/>
    <s v="Karnataka"/>
    <n v="838761"/>
    <s v="PROD0002"/>
    <s v="Bread"/>
    <s v="Bread - 122"/>
    <n v="3"/>
    <n v="0"/>
    <n v="255.41"/>
  </r>
  <r>
    <s v="CUST0050"/>
    <s v="Priya"/>
    <s v="Gupta"/>
    <d v="1982-12-28T00:00:00"/>
    <n v="363.1"/>
    <n v="2025"/>
    <s v="Medium"/>
    <s v="Tier 1"/>
    <x v="2"/>
    <s v="South"/>
    <s v="India"/>
    <s v="Corporate"/>
    <d v="2025-01-06T00:00:00"/>
    <s v="ORD00231"/>
    <d v="2025-01-04T00:00:00"/>
    <d v="2025-01-06T00:00:00"/>
    <s v="Standard Class"/>
    <s v="Karnataka"/>
    <n v="780714"/>
    <s v="PROD0009"/>
    <s v="Wheat Flour"/>
    <s v="Wheat Flour - 700"/>
    <n v="2"/>
    <n v="0"/>
    <n v="33.020000000000003"/>
  </r>
  <r>
    <s v="CUST0051"/>
    <s v="Aarav"/>
    <s v="Das"/>
    <d v="1976-11-24T00:00:00"/>
    <n v="3903.93"/>
    <n v="2024"/>
    <s v="Small"/>
    <s v="Tier 2"/>
    <x v="0"/>
    <s v="East"/>
    <s v="India"/>
    <s v="Corporate"/>
    <d v="2024-07-30T00:00:00"/>
    <s v="ORD00232"/>
    <d v="2024-07-29T00:00:00"/>
    <d v="2024-08-01T00:00:00"/>
    <s v="Same Day"/>
    <s v="West Bengal"/>
    <n v="836109"/>
    <s v="PROD0001"/>
    <s v="Namkeen"/>
    <s v="Namkeen - 328"/>
    <n v="10"/>
    <n v="0.05"/>
    <n v="554.54"/>
  </r>
  <r>
    <s v="CUST0051"/>
    <s v="Aarav"/>
    <s v="Das"/>
    <d v="1976-11-24T00:00:00"/>
    <n v="319.86"/>
    <n v="2024"/>
    <s v="Large"/>
    <s v="Tier 2"/>
    <x v="0"/>
    <s v="East"/>
    <s v="India"/>
    <s v="Corporate"/>
    <d v="2024-12-12T00:00:00"/>
    <s v="ORD00233"/>
    <d v="2024-12-11T00:00:00"/>
    <d v="2024-12-16T00:00:00"/>
    <s v="Same Day"/>
    <s v="West Bengal"/>
    <n v="620287"/>
    <s v="PROD0001"/>
    <s v="Namkeen"/>
    <s v="Namkeen - 971"/>
    <n v="10"/>
    <n v="0.1"/>
    <n v="46.53"/>
  </r>
  <r>
    <s v="CUST0051"/>
    <s v="Aarav"/>
    <s v="Das"/>
    <d v="1976-11-24T00:00:00"/>
    <n v="268.48"/>
    <n v="2024"/>
    <s v="Medium"/>
    <s v="Tier 2"/>
    <x v="3"/>
    <s v="East"/>
    <s v="India"/>
    <s v="Corporate"/>
    <d v="2024-12-26T00:00:00"/>
    <s v="ORD00234"/>
    <d v="2024-12-25T00:00:00"/>
    <d v="2024-12-26T00:00:00"/>
    <s v="Same Day"/>
    <s v="West Bengal"/>
    <n v="378095"/>
    <s v="PROD0020"/>
    <s v="Paneer"/>
    <s v="Paneer - 863"/>
    <n v="2"/>
    <n v="0"/>
    <n v="26.95"/>
  </r>
  <r>
    <s v="CUST0052"/>
    <s v="Ayesha"/>
    <s v="Venkatesh"/>
    <d v="2000-02-21T00:00:00"/>
    <n v="731.6"/>
    <n v="2023"/>
    <s v="Medium"/>
    <s v="Tier 2"/>
    <x v="1"/>
    <s v="East"/>
    <s v="India"/>
    <s v="Consumer"/>
    <d v="2023-03-12T00:00:00"/>
    <s v="ORD00235"/>
    <d v="2023-03-11T00:00:00"/>
    <d v="2023-03-15T00:00:00"/>
    <s v="Standard Class"/>
    <s v="Jharkhand"/>
    <n v="497108"/>
    <s v="PROD0018"/>
    <s v="Buns"/>
    <s v="Buns - 905"/>
    <n v="2"/>
    <n v="0"/>
    <n v="121.29"/>
  </r>
  <r>
    <s v="CUST0052"/>
    <s v="Ayesha"/>
    <s v="Venkatesh"/>
    <d v="2000-02-21T00:00:00"/>
    <n v="668.53"/>
    <n v="2024"/>
    <s v="Medium"/>
    <s v="Tier 2"/>
    <x v="1"/>
    <s v="East"/>
    <s v="India"/>
    <s v="Consumer"/>
    <d v="2024-12-10T00:00:00"/>
    <s v="ORD00236"/>
    <d v="2024-12-10T00:00:00"/>
    <d v="2024-12-12T00:00:00"/>
    <s v="Same Day"/>
    <s v="Jharkhand"/>
    <n v="938016"/>
    <s v="PROD0006"/>
    <s v="Cookies"/>
    <s v="Cookies - 484"/>
    <n v="2"/>
    <n v="0.2"/>
    <n v="206.72"/>
  </r>
  <r>
    <s v="CUST0053"/>
    <s v="Saanvi"/>
    <s v="Patel"/>
    <d v="1974-10-07T00:00:00"/>
    <n v="1002.65"/>
    <n v="2023"/>
    <s v="Large"/>
    <s v="Tier 1"/>
    <x v="1"/>
    <s v="South"/>
    <s v="India"/>
    <s v="Home Office"/>
    <d v="2023-01-22T00:00:00"/>
    <s v="ORD00237"/>
    <d v="2023-01-21T00:00:00"/>
    <d v="2023-01-22T00:00:00"/>
    <s v="Standard Class"/>
    <s v="Karnataka"/>
    <n v="838726"/>
    <s v="PROD0002"/>
    <s v="Bread"/>
    <s v="Bread - 484"/>
    <n v="3"/>
    <n v="0.1"/>
    <n v="333.43"/>
  </r>
  <r>
    <s v="CUST0053"/>
    <s v="Saanvi"/>
    <s v="Patel"/>
    <d v="1974-10-07T00:00:00"/>
    <n v="887.8"/>
    <n v="2023"/>
    <s v="Small"/>
    <s v="Tier 1"/>
    <x v="4"/>
    <s v="South"/>
    <s v="India"/>
    <s v="Home Office"/>
    <d v="2023-03-18T00:00:00"/>
    <s v="ORD00238"/>
    <d v="2023-03-17T00:00:00"/>
    <d v="2023-03-18T00:00:00"/>
    <s v="First Class"/>
    <s v="Karnataka"/>
    <n v="529161"/>
    <s v="PROD0008"/>
    <s v="Onions"/>
    <s v="Onions - 769"/>
    <n v="3"/>
    <n v="0.05"/>
    <n v="86.23"/>
  </r>
  <r>
    <s v="CUST0053"/>
    <s v="Saanvi"/>
    <s v="Patel"/>
    <d v="1974-10-07T00:00:00"/>
    <n v="1325.97"/>
    <n v="2023"/>
    <s v="Medium"/>
    <s v="Tier 1"/>
    <x v="2"/>
    <s v="South"/>
    <s v="India"/>
    <s v="Home Office"/>
    <d v="2023-04-18T00:00:00"/>
    <s v="ORD00239"/>
    <d v="2023-04-18T00:00:00"/>
    <d v="2023-04-19T00:00:00"/>
    <s v="Standard Class"/>
    <s v="Karnataka"/>
    <n v="261050"/>
    <s v="PROD0003"/>
    <s v="Pulses"/>
    <s v="Pulses - 839"/>
    <n v="9"/>
    <n v="0"/>
    <n v="184.6"/>
  </r>
  <r>
    <s v="CUST0053"/>
    <s v="Saanvi"/>
    <s v="Patel"/>
    <d v="1974-10-07T00:00:00"/>
    <n v="347.54"/>
    <n v="2023"/>
    <s v="Small"/>
    <s v="Tier 1"/>
    <x v="4"/>
    <s v="South"/>
    <s v="India"/>
    <s v="Home Office"/>
    <d v="2023-09-28T00:00:00"/>
    <s v="ORD00240"/>
    <d v="2023-09-25T00:00:00"/>
    <d v="2023-09-30T00:00:00"/>
    <s v="Same Day"/>
    <s v="Karnataka"/>
    <n v="126985"/>
    <s v="PROD0014"/>
    <s v="Tomatoes"/>
    <s v="Tomatoes - 103"/>
    <n v="7"/>
    <n v="0.2"/>
    <n v="86.4"/>
  </r>
  <r>
    <s v="CUST0053"/>
    <s v="Saanvi"/>
    <s v="Patel"/>
    <d v="1974-10-07T00:00:00"/>
    <n v="2322.6999999999998"/>
    <n v="2023"/>
    <s v="Medium"/>
    <s v="Tier 1"/>
    <x v="3"/>
    <s v="South"/>
    <s v="India"/>
    <s v="Home Office"/>
    <d v="2023-11-01T00:00:00"/>
    <s v="ORD00241"/>
    <d v="2023-10-29T00:00:00"/>
    <d v="2023-11-01T00:00:00"/>
    <s v="Standard Class"/>
    <s v="Karnataka"/>
    <n v="793150"/>
    <s v="PROD0005"/>
    <s v="Yogurt"/>
    <s v="Yogurt - 753"/>
    <n v="5"/>
    <n v="0.05"/>
    <n v="704.08"/>
  </r>
  <r>
    <s v="CUST0053"/>
    <s v="Saanvi"/>
    <s v="Patel"/>
    <d v="1974-10-07T00:00:00"/>
    <n v="1854.09"/>
    <n v="2023"/>
    <s v="Medium"/>
    <s v="Tier 1"/>
    <x v="1"/>
    <s v="South"/>
    <s v="India"/>
    <s v="Home Office"/>
    <d v="2023-11-24T00:00:00"/>
    <s v="ORD00242"/>
    <d v="2023-11-23T00:00:00"/>
    <d v="2023-11-26T00:00:00"/>
    <s v="Same Day"/>
    <s v="Karnataka"/>
    <n v="376085"/>
    <s v="PROD0002"/>
    <s v="Bread"/>
    <s v="Bread - 757"/>
    <n v="9"/>
    <n v="0"/>
    <n v="585.24"/>
  </r>
  <r>
    <s v="CUST0054"/>
    <s v="Rahul"/>
    <s v="Verma"/>
    <d v="1967-04-02T00:00:00"/>
    <n v="971.73"/>
    <n v="2023"/>
    <s v="Large"/>
    <s v="Tier 2"/>
    <x v="1"/>
    <s v="Central"/>
    <s v="India"/>
    <s v="Home Office"/>
    <d v="2023-08-23T00:00:00"/>
    <s v="ORD00243"/>
    <d v="2023-08-20T00:00:00"/>
    <d v="2023-08-23T00:00:00"/>
    <s v="First Class"/>
    <s v="Madhya Pradesh"/>
    <n v="680493"/>
    <s v="PROD0006"/>
    <s v="Cookies"/>
    <s v="Cookies - 163"/>
    <n v="3"/>
    <n v="0.15"/>
    <n v="76.78"/>
  </r>
  <r>
    <s v="CUST0054"/>
    <s v="Rahul"/>
    <s v="Verma"/>
    <d v="1967-04-02T00:00:00"/>
    <n v="1789.61"/>
    <n v="2023"/>
    <s v="Small"/>
    <s v="Tier 2"/>
    <x v="4"/>
    <s v="Central"/>
    <s v="India"/>
    <s v="Home Office"/>
    <d v="2023-10-01T00:00:00"/>
    <s v="ORD00244"/>
    <d v="2023-09-27T00:00:00"/>
    <d v="2023-10-01T00:00:00"/>
    <s v="Standard Class"/>
    <s v="Madhya Pradesh"/>
    <n v="413369"/>
    <s v="PROD0008"/>
    <s v="Onions"/>
    <s v="Onions - 938"/>
    <n v="9"/>
    <n v="0.1"/>
    <n v="458.36"/>
  </r>
  <r>
    <s v="CUST0054"/>
    <s v="Rahul"/>
    <s v="Verma"/>
    <d v="1967-04-02T00:00:00"/>
    <n v="234.91"/>
    <n v="2025"/>
    <s v="Small"/>
    <s v="Tier 2"/>
    <x v="4"/>
    <s v="Central"/>
    <s v="India"/>
    <s v="Home Office"/>
    <d v="2025-05-08T00:00:00"/>
    <s v="ORD00245"/>
    <d v="2025-05-07T00:00:00"/>
    <d v="2025-05-12T00:00:00"/>
    <s v="Standard Class"/>
    <s v="Madhya Pradesh"/>
    <n v="281276"/>
    <s v="PROD0008"/>
    <s v="Onions"/>
    <s v="Onions - 974"/>
    <n v="1"/>
    <n v="0.1"/>
    <n v="68.16"/>
  </r>
  <r>
    <s v="CUST0055"/>
    <s v="Sneha"/>
    <s v="Rao"/>
    <d v="1967-07-21T00:00:00"/>
    <n v="1261.1099999999999"/>
    <n v="2023"/>
    <s v="Medium"/>
    <s v="Tier 2"/>
    <x v="4"/>
    <s v="East"/>
    <s v="India"/>
    <s v="Consumer"/>
    <d v="2023-02-13T00:00:00"/>
    <s v="ORD00246"/>
    <d v="2023-02-13T00:00:00"/>
    <d v="2023-02-14T00:00:00"/>
    <s v="Standard Class"/>
    <s v="Bihar"/>
    <n v="678870"/>
    <s v="PROD0008"/>
    <s v="Onions"/>
    <s v="Onions - 306"/>
    <n v="3"/>
    <n v="0"/>
    <n v="184.03"/>
  </r>
  <r>
    <s v="CUST0055"/>
    <s v="Sneha"/>
    <s v="Rao"/>
    <d v="1967-07-21T00:00:00"/>
    <n v="3681.92"/>
    <n v="2023"/>
    <s v="Large"/>
    <s v="Tier 2"/>
    <x v="1"/>
    <s v="East"/>
    <s v="India"/>
    <s v="Consumer"/>
    <d v="2023-05-14T00:00:00"/>
    <s v="ORD00247"/>
    <d v="2023-05-10T00:00:00"/>
    <d v="2023-05-15T00:00:00"/>
    <s v="Standard Class"/>
    <s v="Bihar"/>
    <n v="217984"/>
    <s v="PROD0018"/>
    <s v="Buns"/>
    <s v="Buns - 632"/>
    <n v="8"/>
    <n v="0"/>
    <n v="1052.9000000000001"/>
  </r>
  <r>
    <s v="CUST0055"/>
    <s v="Sneha"/>
    <s v="Rao"/>
    <d v="1967-07-21T00:00:00"/>
    <n v="2417.6799999999998"/>
    <n v="2023"/>
    <s v="Large"/>
    <s v="Tier 2"/>
    <x v="5"/>
    <s v="East"/>
    <s v="India"/>
    <s v="Consumer"/>
    <d v="2023-06-21T00:00:00"/>
    <s v="ORD00248"/>
    <d v="2023-06-21T00:00:00"/>
    <d v="2023-06-22T00:00:00"/>
    <s v="Same Day"/>
    <s v="Bihar"/>
    <n v="923914"/>
    <s v="PROD0017"/>
    <s v="Coffee"/>
    <s v="Coffee - 251"/>
    <n v="10"/>
    <n v="0.2"/>
    <n v="820.68"/>
  </r>
  <r>
    <s v="CUST0055"/>
    <s v="Sneha"/>
    <s v="Rao"/>
    <d v="1967-07-21T00:00:00"/>
    <n v="873.4"/>
    <n v="2023"/>
    <s v="Small"/>
    <s v="Tier 2"/>
    <x v="1"/>
    <s v="East"/>
    <s v="India"/>
    <s v="Consumer"/>
    <d v="2023-07-20T00:00:00"/>
    <s v="ORD00249"/>
    <d v="2023-07-17T00:00:00"/>
    <d v="2023-07-22T00:00:00"/>
    <s v="First Class"/>
    <s v="Bihar"/>
    <n v="388792"/>
    <s v="PROD0006"/>
    <s v="Cookies"/>
    <s v="Cookies - 452"/>
    <n v="7"/>
    <n v="0.15"/>
    <n v="170.9"/>
  </r>
  <r>
    <s v="CUST0055"/>
    <s v="Sneha"/>
    <s v="Rao"/>
    <d v="1967-07-21T00:00:00"/>
    <n v="3294.51"/>
    <n v="2023"/>
    <s v="Small"/>
    <s v="Tier 2"/>
    <x v="5"/>
    <s v="East"/>
    <s v="India"/>
    <s v="Consumer"/>
    <d v="2023-08-06T00:00:00"/>
    <s v="ORD00250"/>
    <d v="2023-08-05T00:00:00"/>
    <d v="2023-08-08T00:00:00"/>
    <s v="Standard Class"/>
    <s v="Bihar"/>
    <n v="381631"/>
    <s v="PROD0017"/>
    <s v="Coffee"/>
    <s v="Coffee - 733"/>
    <n v="10"/>
    <n v="0.05"/>
    <n v="203.06"/>
  </r>
  <r>
    <s v="CUST0055"/>
    <s v="Sneha"/>
    <s v="Rao"/>
    <d v="1967-07-21T00:00:00"/>
    <n v="677.04"/>
    <n v="2024"/>
    <s v="Small"/>
    <s v="Tier 2"/>
    <x v="1"/>
    <s v="East"/>
    <s v="India"/>
    <s v="Consumer"/>
    <d v="2024-03-09T00:00:00"/>
    <s v="ORD00251"/>
    <d v="2024-03-09T00:00:00"/>
    <d v="2024-03-10T00:00:00"/>
    <s v="Second Class"/>
    <s v="Bihar"/>
    <n v="879850"/>
    <s v="PROD0002"/>
    <s v="Bread"/>
    <s v="Bread - 445"/>
    <n v="5"/>
    <n v="0.2"/>
    <n v="133.71"/>
  </r>
  <r>
    <s v="CUST0055"/>
    <s v="Sneha"/>
    <s v="Rao"/>
    <d v="1967-07-21T00:00:00"/>
    <n v="2172.73"/>
    <n v="2025"/>
    <s v="Large"/>
    <s v="Tier 2"/>
    <x v="5"/>
    <s v="East"/>
    <s v="India"/>
    <s v="Consumer"/>
    <d v="2025-04-08T00:00:00"/>
    <s v="ORD00252"/>
    <d v="2025-04-07T00:00:00"/>
    <d v="2025-04-09T00:00:00"/>
    <s v="Standard Class"/>
    <s v="Bihar"/>
    <n v="896386"/>
    <s v="PROD0011"/>
    <s v="Juice"/>
    <s v="Juice - 375"/>
    <n v="7"/>
    <n v="0"/>
    <n v="231.14"/>
  </r>
  <r>
    <s v="CUST0056"/>
    <s v="Arjun"/>
    <s v="Shetty"/>
    <d v="1968-01-19T00:00:00"/>
    <n v="1538.06"/>
    <n v="2023"/>
    <s v="Small"/>
    <s v="Tier 2"/>
    <x v="3"/>
    <s v="West"/>
    <s v="India"/>
    <s v="Consumer"/>
    <d v="2023-02-27T00:00:00"/>
    <s v="ORD00253"/>
    <d v="2023-02-27T00:00:00"/>
    <d v="2023-03-04T00:00:00"/>
    <s v="First Class"/>
    <s v="Rajasthan"/>
    <n v="973390"/>
    <s v="PROD0021"/>
    <s v="Milk"/>
    <s v="Milk - 418"/>
    <n v="9"/>
    <n v="0.2"/>
    <n v="469.71"/>
  </r>
  <r>
    <s v="CUST0056"/>
    <s v="Arjun"/>
    <s v="Shetty"/>
    <d v="1968-01-19T00:00:00"/>
    <n v="239.1"/>
    <n v="2024"/>
    <s v="Medium"/>
    <s v="Tier 2"/>
    <x v="3"/>
    <s v="West"/>
    <s v="India"/>
    <s v="Consumer"/>
    <d v="2024-01-20T00:00:00"/>
    <s v="ORD00254"/>
    <d v="2024-01-18T00:00:00"/>
    <d v="2024-01-21T00:00:00"/>
    <s v="Standard Class"/>
    <s v="Rajasthan"/>
    <n v="766275"/>
    <s v="PROD0021"/>
    <s v="Milk"/>
    <s v="Milk - 355"/>
    <n v="1"/>
    <n v="0"/>
    <n v="62.5"/>
  </r>
  <r>
    <s v="CUST0056"/>
    <s v="Arjun"/>
    <s v="Shetty"/>
    <d v="1968-01-19T00:00:00"/>
    <n v="1451.33"/>
    <n v="2024"/>
    <s v="Large"/>
    <s v="Tier 2"/>
    <x v="4"/>
    <s v="West"/>
    <s v="India"/>
    <s v="Consumer"/>
    <d v="2024-06-15T00:00:00"/>
    <s v="ORD00255"/>
    <d v="2024-06-11T00:00:00"/>
    <d v="2024-06-15T00:00:00"/>
    <s v="Second Class"/>
    <s v="Rajasthan"/>
    <n v="460971"/>
    <s v="PROD0016"/>
    <s v="Apples"/>
    <s v="Apples - 347"/>
    <n v="6"/>
    <n v="0.05"/>
    <n v="149.88999999999999"/>
  </r>
  <r>
    <s v="CUST0056"/>
    <s v="Arjun"/>
    <s v="Shetty"/>
    <d v="1968-01-19T00:00:00"/>
    <n v="297.98"/>
    <n v="2025"/>
    <s v="Small"/>
    <s v="Tier 2"/>
    <x v="3"/>
    <s v="West"/>
    <s v="India"/>
    <s v="Consumer"/>
    <d v="2025-04-21T00:00:00"/>
    <s v="ORD00256"/>
    <d v="2025-04-20T00:00:00"/>
    <d v="2025-04-25T00:00:00"/>
    <s v="First Class"/>
    <s v="Rajasthan"/>
    <n v="810614"/>
    <s v="PROD0020"/>
    <s v="Paneer"/>
    <s v="Paneer - 866"/>
    <n v="2"/>
    <n v="0.05"/>
    <n v="19.34"/>
  </r>
  <r>
    <s v="CUST0057"/>
    <s v="Swathi"/>
    <s v="Menon"/>
    <d v="1990-12-21T00:00:00"/>
    <n v="247.57"/>
    <n v="2024"/>
    <s v="Small"/>
    <s v="Tier 2"/>
    <x v="0"/>
    <s v="Central"/>
    <s v="India"/>
    <s v="Home Office"/>
    <d v="2024-02-24T00:00:00"/>
    <s v="ORD00257"/>
    <d v="2024-02-24T00:00:00"/>
    <d v="2024-02-29T00:00:00"/>
    <s v="Second Class"/>
    <s v="Chhattisgarh"/>
    <n v="737894"/>
    <s v="PROD0007"/>
    <s v="Chips"/>
    <s v="Chips - 985"/>
    <n v="1"/>
    <n v="0"/>
    <n v="60.46"/>
  </r>
  <r>
    <s v="CUST0057"/>
    <s v="Swathi"/>
    <s v="Menon"/>
    <d v="1990-12-21T00:00:00"/>
    <n v="1061.29"/>
    <n v="2024"/>
    <s v="Small"/>
    <s v="Tier 2"/>
    <x v="1"/>
    <s v="Central"/>
    <s v="India"/>
    <s v="Home Office"/>
    <d v="2024-10-31T00:00:00"/>
    <s v="ORD00258"/>
    <d v="2024-10-29T00:00:00"/>
    <d v="2024-11-02T00:00:00"/>
    <s v="Standard Class"/>
    <s v="Chhattisgarh"/>
    <n v="416822"/>
    <s v="PROD0006"/>
    <s v="Cookies"/>
    <s v="Cookies - 826"/>
    <n v="5"/>
    <n v="0.05"/>
    <n v="324.2"/>
  </r>
  <r>
    <s v="CUST0058"/>
    <s v="Sai"/>
    <s v="Chatterjee"/>
    <d v="1994-06-28T00:00:00"/>
    <n v="3123.4"/>
    <n v="2023"/>
    <s v="Medium"/>
    <s v="Tier 2"/>
    <x v="4"/>
    <s v="Central"/>
    <s v="India"/>
    <s v="Corporate"/>
    <d v="2023-04-15T00:00:00"/>
    <s v="ORD00259"/>
    <d v="2023-04-15T00:00:00"/>
    <d v="2023-04-19T00:00:00"/>
    <s v="Second Class"/>
    <s v="Madhya Pradesh"/>
    <n v="771712"/>
    <s v="PROD0014"/>
    <s v="Tomatoes"/>
    <s v="Tomatoes - 674"/>
    <n v="10"/>
    <n v="0"/>
    <n v="797.48"/>
  </r>
  <r>
    <s v="CUST0058"/>
    <s v="Sai"/>
    <s v="Chatterjee"/>
    <d v="1994-06-28T00:00:00"/>
    <n v="496.84"/>
    <n v="2024"/>
    <s v="Large"/>
    <s v="Tier 2"/>
    <x v="1"/>
    <s v="Central"/>
    <s v="India"/>
    <s v="Corporate"/>
    <d v="2024-02-12T00:00:00"/>
    <s v="ORD00260"/>
    <d v="2024-02-11T00:00:00"/>
    <d v="2024-02-12T00:00:00"/>
    <s v="Second Class"/>
    <s v="Madhya Pradesh"/>
    <n v="813824"/>
    <s v="PROD0018"/>
    <s v="Buns"/>
    <s v="Buns - 367"/>
    <n v="5"/>
    <n v="0.1"/>
    <n v="138.94"/>
  </r>
  <r>
    <s v="CUST0058"/>
    <s v="Sai"/>
    <s v="Chatterjee"/>
    <d v="1994-06-28T00:00:00"/>
    <n v="3990.32"/>
    <n v="2024"/>
    <s v="Large"/>
    <s v="Tier 2"/>
    <x v="3"/>
    <s v="Central"/>
    <s v="India"/>
    <s v="Corporate"/>
    <d v="2024-08-24T00:00:00"/>
    <s v="ORD00261"/>
    <d v="2024-08-21T00:00:00"/>
    <d v="2024-08-25T00:00:00"/>
    <s v="Same Day"/>
    <s v="Madhya Pradesh"/>
    <n v="711344"/>
    <s v="PROD0021"/>
    <s v="Milk"/>
    <s v="Milk - 771"/>
    <n v="8"/>
    <n v="0"/>
    <n v="1285.18"/>
  </r>
  <r>
    <s v="CUST0058"/>
    <s v="Sai"/>
    <s v="Chatterjee"/>
    <d v="1994-06-28T00:00:00"/>
    <n v="628.04999999999995"/>
    <n v="2024"/>
    <s v="Medium"/>
    <s v="Tier 2"/>
    <x v="2"/>
    <s v="Central"/>
    <s v="India"/>
    <s v="Corporate"/>
    <d v="2024-10-05T00:00:00"/>
    <s v="ORD00262"/>
    <d v="2024-09-30T00:00:00"/>
    <d v="2024-10-05T00:00:00"/>
    <s v="Second Class"/>
    <s v="Madhya Pradesh"/>
    <n v="631958"/>
    <s v="PROD0003"/>
    <s v="Pulses"/>
    <s v="Pulses - 935"/>
    <n v="4"/>
    <n v="0.15"/>
    <n v="73.3"/>
  </r>
  <r>
    <s v="CUST0058"/>
    <s v="Sai"/>
    <s v="Chatterjee"/>
    <d v="1994-06-28T00:00:00"/>
    <n v="962.55"/>
    <n v="2025"/>
    <s v="Large"/>
    <s v="Tier 2"/>
    <x v="1"/>
    <s v="Central"/>
    <s v="India"/>
    <s v="Corporate"/>
    <d v="2025-04-25T00:00:00"/>
    <s v="ORD00263"/>
    <d v="2025-04-24T00:00:00"/>
    <d v="2025-04-27T00:00:00"/>
    <s v="Second Class"/>
    <s v="Madhya Pradesh"/>
    <n v="786224"/>
    <s v="PROD0002"/>
    <s v="Bread"/>
    <s v="Bread - 960"/>
    <n v="9"/>
    <n v="0"/>
    <n v="184.07"/>
  </r>
  <r>
    <s v="CUST0059"/>
    <s v="Aadhya"/>
    <s v="Subramaniam"/>
    <d v="1997-02-16T00:00:00"/>
    <n v="1071.4100000000001"/>
    <n v="2023"/>
    <s v="Small"/>
    <s v="Tier 2"/>
    <x v="3"/>
    <s v="North"/>
    <s v="India"/>
    <s v="Corporate"/>
    <d v="2023-12-31T00:00:00"/>
    <s v="ORD00264"/>
    <d v="2023-12-30T00:00:00"/>
    <d v="2023-12-31T00:00:00"/>
    <s v="Same Day"/>
    <s v="Punjab"/>
    <n v="595158"/>
    <s v="PROD0020"/>
    <s v="Paneer"/>
    <s v="Paneer - 530"/>
    <n v="6"/>
    <n v="0.1"/>
    <n v="148.09"/>
  </r>
  <r>
    <s v="CUST0060"/>
    <s v="Vijay"/>
    <s v="Reddy"/>
    <d v="1995-02-17T00:00:00"/>
    <n v="257.82"/>
    <n v="2023"/>
    <s v="Small"/>
    <s v="Tier 1"/>
    <x v="1"/>
    <s v="North"/>
    <s v="India"/>
    <s v="Corporate"/>
    <d v="2023-05-06T00:00:00"/>
    <s v="ORD00265"/>
    <d v="2023-05-03T00:00:00"/>
    <d v="2023-05-08T00:00:00"/>
    <s v="Second Class"/>
    <s v="Delhi"/>
    <n v="850432"/>
    <s v="PROD0018"/>
    <s v="Buns"/>
    <s v="Buns - 155"/>
    <n v="3"/>
    <n v="0"/>
    <n v="39.4"/>
  </r>
  <r>
    <s v="CUST0060"/>
    <s v="Vijay"/>
    <s v="Reddy"/>
    <d v="1995-02-17T00:00:00"/>
    <n v="1937.4"/>
    <n v="2024"/>
    <s v="Medium"/>
    <s v="Tier 1"/>
    <x v="3"/>
    <s v="North"/>
    <s v="India"/>
    <s v="Corporate"/>
    <d v="2024-01-26T00:00:00"/>
    <s v="ORD00266"/>
    <d v="2024-01-26T00:00:00"/>
    <d v="2024-01-27T00:00:00"/>
    <s v="Second Class"/>
    <s v="Delhi"/>
    <n v="319553"/>
    <s v="PROD0021"/>
    <s v="Milk"/>
    <s v="Milk - 599"/>
    <n v="6"/>
    <n v="0"/>
    <n v="279.02999999999997"/>
  </r>
  <r>
    <s v="CUST0060"/>
    <s v="Vijay"/>
    <s v="Reddy"/>
    <d v="1995-02-17T00:00:00"/>
    <n v="156.01"/>
    <n v="2024"/>
    <s v="Medium"/>
    <s v="Tier 1"/>
    <x v="3"/>
    <s v="North"/>
    <s v="India"/>
    <s v="Corporate"/>
    <d v="2024-05-30T00:00:00"/>
    <s v="ORD00267"/>
    <d v="2024-05-27T00:00:00"/>
    <d v="2024-05-31T00:00:00"/>
    <s v="Standard Class"/>
    <s v="Delhi"/>
    <n v="104895"/>
    <s v="PROD0005"/>
    <s v="Yogurt"/>
    <s v="Yogurt - 601"/>
    <n v="2"/>
    <n v="0.05"/>
    <n v="37.450000000000003"/>
  </r>
  <r>
    <s v="CUST0060"/>
    <s v="Vijay"/>
    <s v="Reddy"/>
    <d v="1995-02-17T00:00:00"/>
    <n v="2856.18"/>
    <n v="2024"/>
    <s v="Small"/>
    <s v="Tier 1"/>
    <x v="4"/>
    <s v="North"/>
    <s v="India"/>
    <s v="Corporate"/>
    <d v="2024-06-27T00:00:00"/>
    <s v="ORD00268"/>
    <d v="2024-06-26T00:00:00"/>
    <d v="2024-07-01T00:00:00"/>
    <s v="Same Day"/>
    <s v="Delhi"/>
    <n v="757128"/>
    <s v="PROD0010"/>
    <s v="Bananas"/>
    <s v="Bananas - 848"/>
    <n v="6"/>
    <n v="0"/>
    <n v="791.32"/>
  </r>
  <r>
    <s v="CUST0060"/>
    <s v="Vijay"/>
    <s v="Reddy"/>
    <d v="1995-02-17T00:00:00"/>
    <n v="1018.8"/>
    <n v="2024"/>
    <s v="Small"/>
    <s v="Tier 1"/>
    <x v="2"/>
    <s v="North"/>
    <s v="India"/>
    <s v="Corporate"/>
    <d v="2024-11-30T00:00:00"/>
    <s v="ORD00269"/>
    <d v="2024-11-28T00:00:00"/>
    <d v="2024-12-03T00:00:00"/>
    <s v="Same Day"/>
    <s v="Delhi"/>
    <n v="963862"/>
    <s v="PROD0012"/>
    <s v="Rice"/>
    <s v="Rice - 331"/>
    <n v="6"/>
    <n v="0"/>
    <n v="168.17"/>
  </r>
  <r>
    <s v="CUST0060"/>
    <s v="Vijay"/>
    <s v="Reddy"/>
    <d v="1995-02-17T00:00:00"/>
    <n v="2659.39"/>
    <n v="2025"/>
    <s v="Medium"/>
    <s v="Tier 1"/>
    <x v="4"/>
    <s v="North"/>
    <s v="India"/>
    <s v="Corporate"/>
    <d v="2025-06-08T00:00:00"/>
    <s v="ORD00270"/>
    <d v="2025-06-07T00:00:00"/>
    <d v="2025-06-11T00:00:00"/>
    <s v="Standard Class"/>
    <s v="Delhi"/>
    <n v="476701"/>
    <s v="PROD0014"/>
    <s v="Tomatoes"/>
    <s v="Tomatoes - 397"/>
    <n v="8"/>
    <n v="0.1"/>
    <n v="551.12"/>
  </r>
  <r>
    <s v="CUST0061"/>
    <s v="Ganesh"/>
    <s v="Yadav"/>
    <d v="1968-04-03T00:00:00"/>
    <n v="303.05"/>
    <n v="2023"/>
    <s v="Large"/>
    <s v="Tier 2"/>
    <x v="3"/>
    <s v="South"/>
    <s v="India"/>
    <s v="Home Office"/>
    <d v="2023-01-21T00:00:00"/>
    <s v="ORD00271"/>
    <d v="2023-01-20T00:00:00"/>
    <d v="2023-01-21T00:00:00"/>
    <s v="Second Class"/>
    <s v="Tamil Nadu"/>
    <n v="908713"/>
    <s v="PROD0005"/>
    <s v="Yogurt"/>
    <s v="Yogurt - 316"/>
    <n v="1"/>
    <n v="0"/>
    <n v="26.35"/>
  </r>
  <r>
    <s v="CUST0061"/>
    <s v="Ganesh"/>
    <s v="Yadav"/>
    <d v="1968-04-03T00:00:00"/>
    <n v="4228.32"/>
    <n v="2023"/>
    <s v="Large"/>
    <s v="Tier 2"/>
    <x v="0"/>
    <s v="South"/>
    <s v="India"/>
    <s v="Home Office"/>
    <d v="2023-06-18T00:00:00"/>
    <s v="ORD00272"/>
    <d v="2023-06-18T00:00:00"/>
    <d v="2023-06-19T00:00:00"/>
    <s v="Same Day"/>
    <s v="Tamil Nadu"/>
    <n v="537020"/>
    <s v="PROD0004"/>
    <s v="Biscuits"/>
    <s v="Biscuits - 149"/>
    <n v="10"/>
    <n v="0.15"/>
    <n v="348.56"/>
  </r>
  <r>
    <s v="CUST0061"/>
    <s v="Ganesh"/>
    <s v="Yadav"/>
    <d v="1968-04-03T00:00:00"/>
    <n v="1081.02"/>
    <n v="2023"/>
    <s v="Medium"/>
    <s v="Tier 2"/>
    <x v="5"/>
    <s v="South"/>
    <s v="India"/>
    <s v="Home Office"/>
    <d v="2023-08-23T00:00:00"/>
    <s v="ORD00273"/>
    <d v="2023-08-22T00:00:00"/>
    <d v="2023-08-23T00:00:00"/>
    <s v="Same Day"/>
    <s v="Tamil Nadu"/>
    <n v="794663"/>
    <s v="PROD0015"/>
    <s v="Soft Drinks"/>
    <s v="Soft Drinks - 226"/>
    <n v="9"/>
    <n v="0.15"/>
    <n v="103.71"/>
  </r>
  <r>
    <s v="CUST0061"/>
    <s v="Ganesh"/>
    <s v="Yadav"/>
    <d v="1968-04-03T00:00:00"/>
    <n v="3385.32"/>
    <n v="2024"/>
    <s v="Medium"/>
    <s v="Tier 2"/>
    <x v="0"/>
    <s v="South"/>
    <s v="India"/>
    <s v="Home Office"/>
    <d v="2024-02-18T00:00:00"/>
    <s v="ORD00274"/>
    <d v="2024-02-18T00:00:00"/>
    <d v="2024-02-19T00:00:00"/>
    <s v="Same Day"/>
    <s v="Tamil Nadu"/>
    <n v="922880"/>
    <s v="PROD0001"/>
    <s v="Namkeen"/>
    <s v="Namkeen - 737"/>
    <n v="10"/>
    <n v="0.05"/>
    <n v="1012.87"/>
  </r>
  <r>
    <s v="CUST0061"/>
    <s v="Ganesh"/>
    <s v="Yadav"/>
    <d v="1968-04-03T00:00:00"/>
    <n v="1158.8"/>
    <n v="2025"/>
    <s v="Large"/>
    <s v="Tier 2"/>
    <x v="4"/>
    <s v="South"/>
    <s v="India"/>
    <s v="Home Office"/>
    <d v="2025-04-12T00:00:00"/>
    <s v="ORD00275"/>
    <d v="2025-04-11T00:00:00"/>
    <d v="2025-04-13T00:00:00"/>
    <s v="Standard Class"/>
    <s v="Tamil Nadu"/>
    <n v="409698"/>
    <s v="PROD0008"/>
    <s v="Onions"/>
    <s v="Onions - 303"/>
    <n v="10"/>
    <n v="0"/>
    <n v="347"/>
  </r>
  <r>
    <s v="CUST0062"/>
    <s v="Swathi"/>
    <s v="Nair"/>
    <d v="1968-04-15T00:00:00"/>
    <n v="72.45"/>
    <n v="2024"/>
    <s v="Small"/>
    <s v="Tier 2"/>
    <x v="3"/>
    <s v="East"/>
    <s v="India"/>
    <s v="Home Office"/>
    <d v="2024-05-24T00:00:00"/>
    <s v="ORD00276"/>
    <d v="2024-05-23T00:00:00"/>
    <d v="2024-05-24T00:00:00"/>
    <s v="Same Day"/>
    <s v="Jharkhand"/>
    <n v="917392"/>
    <s v="PROD0013"/>
    <s v="Butter"/>
    <s v="Butter - 438"/>
    <n v="4"/>
    <n v="0.15"/>
    <n v="5.56"/>
  </r>
  <r>
    <s v="CUST0062"/>
    <s v="Swathi"/>
    <s v="Nair"/>
    <d v="1968-04-15T00:00:00"/>
    <n v="772.29"/>
    <n v="2024"/>
    <s v="Medium"/>
    <s v="Tier 2"/>
    <x v="0"/>
    <s v="East"/>
    <s v="India"/>
    <s v="Home Office"/>
    <d v="2024-07-17T00:00:00"/>
    <s v="ORD00277"/>
    <d v="2024-07-15T00:00:00"/>
    <d v="2024-07-18T00:00:00"/>
    <s v="Same Day"/>
    <s v="Jharkhand"/>
    <n v="204657"/>
    <s v="PROD0007"/>
    <s v="Chips"/>
    <s v="Chips - 840"/>
    <n v="2"/>
    <n v="0.15"/>
    <n v="92.17"/>
  </r>
  <r>
    <s v="CUST0063"/>
    <s v="Ira"/>
    <s v="Reddy"/>
    <d v="1980-08-28T00:00:00"/>
    <n v="104.96"/>
    <n v="2023"/>
    <s v="Large"/>
    <s v="Tier 2"/>
    <x v="2"/>
    <s v="South"/>
    <s v="India"/>
    <s v="Corporate"/>
    <d v="2023-02-10T00:00:00"/>
    <s v="ORD00278"/>
    <d v="2023-02-10T00:00:00"/>
    <d v="2023-02-11T00:00:00"/>
    <s v="First Class"/>
    <s v="Kerala"/>
    <n v="444625"/>
    <s v="PROD0009"/>
    <s v="Wheat Flour"/>
    <s v="Wheat Flour - 536"/>
    <n v="2"/>
    <n v="0.2"/>
    <n v="33.28"/>
  </r>
  <r>
    <s v="CUST0063"/>
    <s v="Ira"/>
    <s v="Reddy"/>
    <d v="1980-08-28T00:00:00"/>
    <n v="2208.35"/>
    <n v="2023"/>
    <s v="Small"/>
    <s v="Tier 2"/>
    <x v="1"/>
    <s v="South"/>
    <s v="India"/>
    <s v="Corporate"/>
    <d v="2023-10-26T00:00:00"/>
    <s v="ORD00279"/>
    <d v="2023-10-25T00:00:00"/>
    <d v="2023-10-28T00:00:00"/>
    <s v="Standard Class"/>
    <s v="Kerala"/>
    <n v="519692"/>
    <s v="PROD0018"/>
    <s v="Buns"/>
    <s v="Buns - 736"/>
    <n v="5"/>
    <n v="0"/>
    <n v="357.28"/>
  </r>
  <r>
    <s v="CUST0063"/>
    <s v="Ira"/>
    <s v="Reddy"/>
    <d v="1980-08-28T00:00:00"/>
    <n v="2335.15"/>
    <n v="2024"/>
    <s v="Small"/>
    <s v="Tier 2"/>
    <x v="5"/>
    <s v="South"/>
    <s v="India"/>
    <s v="Corporate"/>
    <d v="2024-01-04T00:00:00"/>
    <s v="ORD00280"/>
    <d v="2024-01-04T00:00:00"/>
    <d v="2024-01-06T00:00:00"/>
    <s v="Same Day"/>
    <s v="Kerala"/>
    <n v="985364"/>
    <s v="PROD0011"/>
    <s v="Juice"/>
    <s v="Juice - 955"/>
    <n v="7"/>
    <n v="0.05"/>
    <n v="677.12"/>
  </r>
  <r>
    <s v="CUST0063"/>
    <s v="Ira"/>
    <s v="Reddy"/>
    <d v="1980-08-28T00:00:00"/>
    <n v="2265.12"/>
    <n v="2025"/>
    <s v="Medium"/>
    <s v="Tier 2"/>
    <x v="3"/>
    <s v="South"/>
    <s v="India"/>
    <s v="Corporate"/>
    <d v="2025-04-02T00:00:00"/>
    <s v="ORD00281"/>
    <d v="2025-03-31T00:00:00"/>
    <d v="2025-04-02T00:00:00"/>
    <s v="Second Class"/>
    <s v="Kerala"/>
    <n v="741055"/>
    <s v="PROD0021"/>
    <s v="Milk"/>
    <s v="Milk - 526"/>
    <n v="10"/>
    <n v="0.1"/>
    <n v="574.25"/>
  </r>
  <r>
    <s v="CUST0063"/>
    <s v="Ira"/>
    <s v="Reddy"/>
    <d v="1980-08-28T00:00:00"/>
    <n v="564"/>
    <n v="2025"/>
    <s v="Large"/>
    <s v="Tier 2"/>
    <x v="4"/>
    <s v="South"/>
    <s v="India"/>
    <s v="Corporate"/>
    <d v="2025-05-23T00:00:00"/>
    <s v="ORD00282"/>
    <d v="2025-05-22T00:00:00"/>
    <d v="2025-05-23T00:00:00"/>
    <s v="Second Class"/>
    <s v="Kerala"/>
    <n v="112960"/>
    <s v="PROD0010"/>
    <s v="Bananas"/>
    <s v="Bananas - 594"/>
    <n v="8"/>
    <n v="0.05"/>
    <n v="102.76"/>
  </r>
  <r>
    <s v="CUST0063"/>
    <s v="Ira"/>
    <s v="Reddy"/>
    <d v="1980-08-28T00:00:00"/>
    <n v="3674.1"/>
    <n v="2025"/>
    <s v="Medium"/>
    <s v="Tier 2"/>
    <x v="2"/>
    <s v="South"/>
    <s v="India"/>
    <s v="Corporate"/>
    <d v="2025-06-14T00:00:00"/>
    <s v="ORD00283"/>
    <d v="2025-06-14T00:00:00"/>
    <d v="2025-06-17T00:00:00"/>
    <s v="First Class"/>
    <s v="Kerala"/>
    <n v="605339"/>
    <s v="PROD0003"/>
    <s v="Pulses"/>
    <s v="Pulses - 637"/>
    <n v="10"/>
    <n v="0"/>
    <n v="1261.57"/>
  </r>
  <r>
    <s v="CUST0064"/>
    <s v="Meera"/>
    <s v="Rao"/>
    <d v="1984-08-28T00:00:00"/>
    <n v="748.61"/>
    <n v="2024"/>
    <s v="Medium"/>
    <s v="Tier 2"/>
    <x v="3"/>
    <s v="East"/>
    <s v="India"/>
    <s v="Home Office"/>
    <d v="2024-01-30T00:00:00"/>
    <s v="ORD00284"/>
    <d v="2024-01-30T00:00:00"/>
    <d v="2024-02-01T00:00:00"/>
    <s v="Second Class"/>
    <s v="Jharkhand"/>
    <n v="352593"/>
    <s v="PROD0021"/>
    <s v="Milk"/>
    <s v="Milk - 111"/>
    <n v="3"/>
    <n v="0.05"/>
    <n v="228.75"/>
  </r>
  <r>
    <s v="CUST0064"/>
    <s v="Meera"/>
    <s v="Rao"/>
    <d v="1984-08-28T00:00:00"/>
    <n v="970.79"/>
    <n v="2024"/>
    <s v="Medium"/>
    <s v="Tier 2"/>
    <x v="1"/>
    <s v="East"/>
    <s v="India"/>
    <s v="Home Office"/>
    <d v="2024-10-18T00:00:00"/>
    <s v="ORD00285"/>
    <d v="2024-10-18T00:00:00"/>
    <d v="2024-10-20T00:00:00"/>
    <s v="Standard Class"/>
    <s v="Jharkhand"/>
    <n v="940183"/>
    <s v="PROD0018"/>
    <s v="Buns"/>
    <s v="Buns - 151"/>
    <n v="9"/>
    <n v="0.15"/>
    <n v="158.81"/>
  </r>
  <r>
    <s v="CUST0064"/>
    <s v="Meera"/>
    <s v="Rao"/>
    <d v="1984-08-28T00:00:00"/>
    <n v="1876.72"/>
    <n v="2024"/>
    <s v="Medium"/>
    <s v="Tier 2"/>
    <x v="0"/>
    <s v="East"/>
    <s v="India"/>
    <s v="Home Office"/>
    <d v="2024-11-23T00:00:00"/>
    <s v="ORD00286"/>
    <d v="2024-11-23T00:00:00"/>
    <d v="2024-11-24T00:00:00"/>
    <s v="Standard Class"/>
    <s v="Jharkhand"/>
    <n v="137572"/>
    <s v="PROD0001"/>
    <s v="Namkeen"/>
    <s v="Namkeen - 190"/>
    <n v="8"/>
    <n v="0"/>
    <n v="645.97"/>
  </r>
  <r>
    <s v="CUST0065"/>
    <s v="Farhan"/>
    <s v="Naidu"/>
    <d v="1965-05-09T00:00:00"/>
    <n v="2012.62"/>
    <n v="2023"/>
    <s v="Medium"/>
    <s v="Tier 2"/>
    <x v="0"/>
    <s v="East"/>
    <s v="India"/>
    <s v="Home Office"/>
    <d v="2023-01-03T00:00:00"/>
    <s v="ORD00287"/>
    <d v="2023-01-01T00:00:00"/>
    <d v="2023-01-05T00:00:00"/>
    <s v="Same Day"/>
    <s v="Jharkhand"/>
    <n v="956255"/>
    <s v="PROD0004"/>
    <s v="Biscuits"/>
    <s v="Biscuits - 752"/>
    <n v="5"/>
    <n v="0.1"/>
    <n v="225.52"/>
  </r>
  <r>
    <s v="CUST0065"/>
    <s v="Farhan"/>
    <s v="Naidu"/>
    <d v="1965-05-09T00:00:00"/>
    <n v="3145.72"/>
    <n v="2023"/>
    <s v="Small"/>
    <s v="Tier 2"/>
    <x v="3"/>
    <s v="East"/>
    <s v="India"/>
    <s v="Home Office"/>
    <d v="2023-04-07T00:00:00"/>
    <s v="ORD00288"/>
    <d v="2023-04-04T00:00:00"/>
    <d v="2023-04-07T00:00:00"/>
    <s v="Same Day"/>
    <s v="Jharkhand"/>
    <n v="896204"/>
    <s v="PROD0013"/>
    <s v="Butter"/>
    <s v="Butter - 439"/>
    <n v="9"/>
    <n v="0.1"/>
    <n v="603.79"/>
  </r>
  <r>
    <s v="CUST0065"/>
    <s v="Farhan"/>
    <s v="Naidu"/>
    <d v="1965-05-09T00:00:00"/>
    <n v="971.4"/>
    <n v="2025"/>
    <s v="Large"/>
    <s v="Tier 2"/>
    <x v="2"/>
    <s v="East"/>
    <s v="India"/>
    <s v="Home Office"/>
    <d v="2025-03-23T00:00:00"/>
    <s v="ORD00289"/>
    <d v="2025-03-21T00:00:00"/>
    <d v="2025-03-24T00:00:00"/>
    <s v="Same Day"/>
    <s v="Jharkhand"/>
    <n v="148001"/>
    <s v="PROD0012"/>
    <s v="Rice"/>
    <s v="Rice - 102"/>
    <n v="6"/>
    <n v="0.15"/>
    <n v="329.63"/>
  </r>
  <r>
    <s v="CUST0065"/>
    <s v="Farhan"/>
    <s v="Naidu"/>
    <d v="1965-05-09T00:00:00"/>
    <n v="449.44"/>
    <n v="2025"/>
    <s v="Small"/>
    <s v="Tier 2"/>
    <x v="3"/>
    <s v="East"/>
    <s v="India"/>
    <s v="Home Office"/>
    <d v="2025-04-26T00:00:00"/>
    <s v="ORD00290"/>
    <d v="2025-04-25T00:00:00"/>
    <d v="2025-04-26T00:00:00"/>
    <s v="Standard Class"/>
    <s v="Jharkhand"/>
    <n v="964607"/>
    <s v="PROD0013"/>
    <s v="Butter"/>
    <s v="Butter - 243"/>
    <n v="7"/>
    <n v="0.1"/>
    <n v="48.89"/>
  </r>
  <r>
    <s v="CUST0066"/>
    <s v="Reyansh"/>
    <s v="Mishra"/>
    <d v="1971-01-10T00:00:00"/>
    <n v="1724.76"/>
    <n v="2023"/>
    <s v="Small"/>
    <s v="Tier 2"/>
    <x v="4"/>
    <s v="West"/>
    <s v="India"/>
    <s v="Consumer"/>
    <d v="2023-04-22T00:00:00"/>
    <s v="ORD00291"/>
    <d v="2023-04-21T00:00:00"/>
    <d v="2023-04-23T00:00:00"/>
    <s v="Same Day"/>
    <s v="Goa"/>
    <n v="680099"/>
    <s v="PROD0016"/>
    <s v="Apples"/>
    <s v="Apples - 890"/>
    <n v="8"/>
    <n v="0.1"/>
    <n v="581"/>
  </r>
  <r>
    <s v="CUST0066"/>
    <s v="Reyansh"/>
    <s v="Mishra"/>
    <d v="1971-01-10T00:00:00"/>
    <n v="1056.21"/>
    <n v="2023"/>
    <s v="Medium"/>
    <s v="Tier 2"/>
    <x v="5"/>
    <s v="West"/>
    <s v="India"/>
    <s v="Consumer"/>
    <d v="2023-12-13T00:00:00"/>
    <s v="ORD00292"/>
    <d v="2023-12-13T00:00:00"/>
    <d v="2023-12-15T00:00:00"/>
    <s v="Second Class"/>
    <s v="Goa"/>
    <n v="628597"/>
    <s v="PROD0015"/>
    <s v="Soft Drinks"/>
    <s v="Soft Drinks - 620"/>
    <n v="3"/>
    <n v="0"/>
    <n v="284.27999999999997"/>
  </r>
  <r>
    <s v="CUST0066"/>
    <s v="Reyansh"/>
    <s v="Mishra"/>
    <d v="1971-01-10T00:00:00"/>
    <n v="605.32000000000005"/>
    <n v="2024"/>
    <s v="Small"/>
    <s v="Tier 2"/>
    <x v="5"/>
    <s v="West"/>
    <s v="India"/>
    <s v="Consumer"/>
    <d v="2024-03-01T00:00:00"/>
    <s v="ORD00293"/>
    <d v="2024-02-29T00:00:00"/>
    <d v="2024-03-04T00:00:00"/>
    <s v="Standard Class"/>
    <s v="Goa"/>
    <n v="731792"/>
    <s v="PROD0015"/>
    <s v="Soft Drinks"/>
    <s v="Soft Drinks - 723"/>
    <n v="4"/>
    <n v="0"/>
    <n v="206.5"/>
  </r>
  <r>
    <s v="CUST0066"/>
    <s v="Reyansh"/>
    <s v="Mishra"/>
    <d v="1971-01-10T00:00:00"/>
    <n v="1911.06"/>
    <n v="2025"/>
    <s v="Small"/>
    <s v="Tier 2"/>
    <x v="2"/>
    <s v="West"/>
    <s v="India"/>
    <s v="Consumer"/>
    <d v="2025-01-08T00:00:00"/>
    <s v="ORD00294"/>
    <d v="2025-01-03T00:00:00"/>
    <d v="2025-01-08T00:00:00"/>
    <s v="First Class"/>
    <s v="Goa"/>
    <n v="319899"/>
    <s v="PROD0003"/>
    <s v="Pulses"/>
    <s v="Pulses - 624"/>
    <n v="5"/>
    <n v="0.1"/>
    <n v="589.01"/>
  </r>
  <r>
    <s v="CUST0066"/>
    <s v="Reyansh"/>
    <s v="Mishra"/>
    <d v="1971-01-10T00:00:00"/>
    <n v="2773.02"/>
    <n v="2025"/>
    <s v="Large"/>
    <s v="Tier 2"/>
    <x v="0"/>
    <s v="West"/>
    <s v="India"/>
    <s v="Consumer"/>
    <d v="2025-02-16T00:00:00"/>
    <s v="ORD00295"/>
    <d v="2025-02-14T00:00:00"/>
    <d v="2025-02-16T00:00:00"/>
    <s v="Second Class"/>
    <s v="Goa"/>
    <n v="844858"/>
    <s v="PROD0004"/>
    <s v="Biscuits"/>
    <s v="Biscuits - 397"/>
    <n v="6"/>
    <n v="0"/>
    <n v="955.03"/>
  </r>
  <r>
    <s v="CUST0067"/>
    <s v="Praveen"/>
    <s v="Chowdhury"/>
    <d v="1971-12-22T00:00:00"/>
    <n v="1132.2"/>
    <n v="2023"/>
    <s v="Small"/>
    <s v="Tier 2"/>
    <x v="5"/>
    <s v="West"/>
    <s v="India"/>
    <s v="Home Office"/>
    <d v="2023-12-27T00:00:00"/>
    <s v="ORD00296"/>
    <d v="2023-12-27T00:00:00"/>
    <d v="2023-12-28T00:00:00"/>
    <s v="Standard Class"/>
    <s v="Goa"/>
    <n v="252386"/>
    <s v="PROD0015"/>
    <s v="Soft Drinks"/>
    <s v="Soft Drinks - 790"/>
    <n v="9"/>
    <n v="0.2"/>
    <n v="200.08"/>
  </r>
  <r>
    <s v="CUST0067"/>
    <s v="Praveen"/>
    <s v="Chowdhury"/>
    <d v="1971-12-22T00:00:00"/>
    <n v="1900.45"/>
    <n v="2024"/>
    <s v="Small"/>
    <s v="Tier 2"/>
    <x v="4"/>
    <s v="West"/>
    <s v="India"/>
    <s v="Home Office"/>
    <d v="2024-07-30T00:00:00"/>
    <s v="ORD00297"/>
    <d v="2024-07-29T00:00:00"/>
    <d v="2024-08-01T00:00:00"/>
    <s v="Second Class"/>
    <s v="Goa"/>
    <n v="313910"/>
    <s v="PROD0016"/>
    <s v="Apples"/>
    <s v="Apples - 304"/>
    <n v="5"/>
    <n v="0"/>
    <n v="655.77"/>
  </r>
  <r>
    <s v="CUST0068"/>
    <s v="Aadhya"/>
    <s v="Raghavan"/>
    <d v="1980-05-19T00:00:00"/>
    <n v="3328.67"/>
    <n v="2023"/>
    <s v="Large"/>
    <s v="Tier 2"/>
    <x v="0"/>
    <s v="West"/>
    <s v="India"/>
    <s v="Home Office"/>
    <d v="2023-02-04T00:00:00"/>
    <s v="ORD00298"/>
    <d v="2023-02-03T00:00:00"/>
    <d v="2023-02-07T00:00:00"/>
    <s v="Second Class"/>
    <s v="Gujarat"/>
    <n v="826596"/>
    <s v="PROD0004"/>
    <s v="Biscuits"/>
    <s v="Biscuits - 857"/>
    <n v="9"/>
    <n v="0.15"/>
    <n v="812.65"/>
  </r>
  <r>
    <s v="CUST0068"/>
    <s v="Aadhya"/>
    <s v="Raghavan"/>
    <d v="1980-05-19T00:00:00"/>
    <n v="1231.72"/>
    <n v="2023"/>
    <s v="Small"/>
    <s v="Tier 2"/>
    <x v="2"/>
    <s v="West"/>
    <s v="India"/>
    <s v="Home Office"/>
    <d v="2023-04-15T00:00:00"/>
    <s v="ORD00299"/>
    <d v="2023-04-15T00:00:00"/>
    <d v="2023-04-18T00:00:00"/>
    <s v="Second Class"/>
    <s v="Gujarat"/>
    <n v="312952"/>
    <s v="PROD0012"/>
    <s v="Rice"/>
    <s v="Rice - 490"/>
    <n v="7"/>
    <n v="0.2"/>
    <n v="422.17"/>
  </r>
  <r>
    <s v="CUST0068"/>
    <s v="Aadhya"/>
    <s v="Raghavan"/>
    <d v="1980-05-19T00:00:00"/>
    <n v="1555.53"/>
    <n v="2024"/>
    <s v="Large"/>
    <s v="Tier 2"/>
    <x v="0"/>
    <s v="West"/>
    <s v="India"/>
    <s v="Home Office"/>
    <d v="2024-01-04T00:00:00"/>
    <s v="ORD00300"/>
    <d v="2024-01-03T00:00:00"/>
    <d v="2024-01-06T00:00:00"/>
    <s v="First Class"/>
    <s v="Gujarat"/>
    <n v="408467"/>
    <s v="PROD0001"/>
    <s v="Namkeen"/>
    <s v="Namkeen - 949"/>
    <n v="4"/>
    <n v="0.15"/>
    <n v="408.89"/>
  </r>
  <r>
    <s v="CUST0068"/>
    <s v="Aadhya"/>
    <s v="Raghavan"/>
    <d v="1980-05-19T00:00:00"/>
    <n v="219.5"/>
    <n v="2024"/>
    <s v="Small"/>
    <s v="Tier 2"/>
    <x v="5"/>
    <s v="West"/>
    <s v="India"/>
    <s v="Home Office"/>
    <d v="2024-04-09T00:00:00"/>
    <s v="ORD00301"/>
    <d v="2024-04-08T00:00:00"/>
    <d v="2024-04-09T00:00:00"/>
    <s v="Standard Class"/>
    <s v="Gujarat"/>
    <n v="392670"/>
    <s v="PROD0017"/>
    <s v="Coffee"/>
    <s v="Coffee - 799"/>
    <n v="2"/>
    <n v="0"/>
    <n v="59.38"/>
  </r>
  <r>
    <s v="CUST0068"/>
    <s v="Aadhya"/>
    <s v="Raghavan"/>
    <d v="1980-05-19T00:00:00"/>
    <n v="900.93"/>
    <n v="2025"/>
    <s v="Small"/>
    <s v="Tier 2"/>
    <x v="0"/>
    <s v="West"/>
    <s v="India"/>
    <s v="Home Office"/>
    <d v="2025-04-14T00:00:00"/>
    <s v="ORD00302"/>
    <d v="2025-04-13T00:00:00"/>
    <d v="2025-04-17T00:00:00"/>
    <s v="First Class"/>
    <s v="Gujarat"/>
    <n v="438302"/>
    <s v="PROD0001"/>
    <s v="Namkeen"/>
    <s v="Namkeen - 233"/>
    <n v="3"/>
    <n v="0"/>
    <n v="46.57"/>
  </r>
  <r>
    <s v="CUST0069"/>
    <s v="Neha"/>
    <s v="Pillai"/>
    <d v="2002-12-15T00:00:00"/>
    <n v="2840.8"/>
    <n v="2024"/>
    <s v="Small"/>
    <s v="Tier 1"/>
    <x v="2"/>
    <s v="South"/>
    <s v="India"/>
    <s v="Home Office"/>
    <d v="2024-09-23T00:00:00"/>
    <s v="ORD00303"/>
    <d v="2024-09-22T00:00:00"/>
    <d v="2024-09-25T00:00:00"/>
    <s v="Same Day"/>
    <s v="Karnataka"/>
    <n v="924451"/>
    <s v="PROD0009"/>
    <s v="Wheat Flour"/>
    <s v="Wheat Flour - 602"/>
    <n v="10"/>
    <n v="0"/>
    <n v="810.22"/>
  </r>
  <r>
    <s v="CUST0069"/>
    <s v="Neha"/>
    <s v="Pillai"/>
    <d v="2002-12-15T00:00:00"/>
    <n v="2500.02"/>
    <n v="2024"/>
    <s v="Medium"/>
    <s v="Tier 1"/>
    <x v="0"/>
    <s v="South"/>
    <s v="India"/>
    <s v="Home Office"/>
    <d v="2024-10-04T00:00:00"/>
    <s v="ORD00304"/>
    <d v="2024-10-02T00:00:00"/>
    <d v="2024-10-04T00:00:00"/>
    <s v="Second Class"/>
    <s v="Karnataka"/>
    <n v="478323"/>
    <s v="PROD0007"/>
    <s v="Chips"/>
    <s v="Chips - 525"/>
    <n v="9"/>
    <n v="0"/>
    <n v="387.06"/>
  </r>
  <r>
    <s v="CUST0069"/>
    <s v="Neha"/>
    <s v="Pillai"/>
    <d v="2002-12-15T00:00:00"/>
    <n v="2471.7600000000002"/>
    <n v="2025"/>
    <s v="Large"/>
    <s v="Tier 1"/>
    <x v="1"/>
    <s v="South"/>
    <s v="India"/>
    <s v="Home Office"/>
    <d v="2025-03-03T00:00:00"/>
    <s v="ORD00305"/>
    <d v="2025-03-03T00:00:00"/>
    <d v="2025-03-04T00:00:00"/>
    <s v="Second Class"/>
    <s v="Karnataka"/>
    <n v="567315"/>
    <s v="PROD0002"/>
    <s v="Bread"/>
    <s v="Bread - 870"/>
    <n v="10"/>
    <n v="0.1"/>
    <n v="734.38"/>
  </r>
  <r>
    <s v="CUST0069"/>
    <s v="Neha"/>
    <s v="Pillai"/>
    <d v="2002-12-15T00:00:00"/>
    <n v="974.69"/>
    <n v="2025"/>
    <s v="Large"/>
    <s v="Tier 1"/>
    <x v="3"/>
    <s v="South"/>
    <s v="India"/>
    <s v="Home Office"/>
    <d v="2025-05-15T00:00:00"/>
    <s v="ORD00306"/>
    <d v="2025-05-13T00:00:00"/>
    <d v="2025-05-17T00:00:00"/>
    <s v="Second Class"/>
    <s v="Karnataka"/>
    <n v="125905"/>
    <s v="PROD0005"/>
    <s v="Yogurt"/>
    <s v="Yogurt - 140"/>
    <n v="6"/>
    <n v="0.2"/>
    <n v="325.06"/>
  </r>
  <r>
    <s v="CUST0070"/>
    <s v="Manoj"/>
    <s v="Kulkarni"/>
    <d v="1977-05-31T00:00:00"/>
    <n v="695"/>
    <n v="2024"/>
    <s v="Large"/>
    <s v="Tier 1"/>
    <x v="5"/>
    <s v="South"/>
    <s v="India"/>
    <s v="Corporate"/>
    <d v="2024-01-21T00:00:00"/>
    <s v="ORD00307"/>
    <d v="2024-01-19T00:00:00"/>
    <d v="2024-01-21T00:00:00"/>
    <s v="Same Day"/>
    <s v="Karnataka"/>
    <n v="757386"/>
    <s v="PROD0019"/>
    <s v="Tea"/>
    <s v="Tea - 403"/>
    <n v="4"/>
    <n v="0"/>
    <n v="232.45"/>
  </r>
  <r>
    <s v="CUST0070"/>
    <s v="Manoj"/>
    <s v="Kulkarni"/>
    <d v="1977-05-31T00:00:00"/>
    <n v="1653.68"/>
    <n v="2024"/>
    <s v="Large"/>
    <s v="Tier 1"/>
    <x v="4"/>
    <s v="South"/>
    <s v="India"/>
    <s v="Corporate"/>
    <d v="2024-04-03T00:00:00"/>
    <s v="ORD00308"/>
    <d v="2024-04-01T00:00:00"/>
    <d v="2024-04-03T00:00:00"/>
    <s v="Standard Class"/>
    <s v="Karnataka"/>
    <n v="777968"/>
    <s v="PROD0010"/>
    <s v="Bananas"/>
    <s v="Bananas - 786"/>
    <n v="4"/>
    <n v="0.05"/>
    <n v="497.26"/>
  </r>
  <r>
    <s v="CUST0070"/>
    <s v="Manoj"/>
    <s v="Kulkarni"/>
    <d v="1977-05-31T00:00:00"/>
    <n v="2912.8"/>
    <n v="2024"/>
    <s v="Medium"/>
    <s v="Tier 1"/>
    <x v="4"/>
    <s v="South"/>
    <s v="India"/>
    <s v="Corporate"/>
    <d v="2024-06-04T00:00:00"/>
    <s v="ORD00309"/>
    <d v="2024-06-04T00:00:00"/>
    <d v="2024-06-05T00:00:00"/>
    <s v="Same Day"/>
    <s v="Karnataka"/>
    <n v="702891"/>
    <s v="PROD0010"/>
    <s v="Bananas"/>
    <s v="Bananas - 124"/>
    <n v="8"/>
    <n v="0"/>
    <n v="222.12"/>
  </r>
  <r>
    <s v="CUST0070"/>
    <s v="Manoj"/>
    <s v="Kulkarni"/>
    <d v="1977-05-31T00:00:00"/>
    <n v="1572.99"/>
    <n v="2024"/>
    <s v="Large"/>
    <s v="Tier 1"/>
    <x v="3"/>
    <s v="South"/>
    <s v="India"/>
    <s v="Corporate"/>
    <d v="2024-06-11T00:00:00"/>
    <s v="ORD00310"/>
    <d v="2024-06-10T00:00:00"/>
    <d v="2024-06-11T00:00:00"/>
    <s v="Same Day"/>
    <s v="Karnataka"/>
    <n v="660814"/>
    <s v="PROD0020"/>
    <s v="Paneer"/>
    <s v="Paneer - 517"/>
    <n v="7"/>
    <n v="0.05"/>
    <n v="282.99"/>
  </r>
  <r>
    <s v="CUST0070"/>
    <s v="Manoj"/>
    <s v="Kulkarni"/>
    <d v="1977-05-31T00:00:00"/>
    <n v="334.8"/>
    <n v="2025"/>
    <s v="Medium"/>
    <s v="Tier 1"/>
    <x v="4"/>
    <s v="South"/>
    <s v="India"/>
    <s v="Corporate"/>
    <d v="2025-02-27T00:00:00"/>
    <s v="ORD00311"/>
    <d v="2025-02-27T00:00:00"/>
    <d v="2025-03-04T00:00:00"/>
    <s v="Second Class"/>
    <s v="Karnataka"/>
    <n v="736030"/>
    <s v="PROD0016"/>
    <s v="Apples"/>
    <s v="Apples - 874"/>
    <n v="10"/>
    <n v="0.2"/>
    <n v="24.03"/>
  </r>
  <r>
    <s v="CUST0070"/>
    <s v="Manoj"/>
    <s v="Kulkarni"/>
    <d v="1977-05-31T00:00:00"/>
    <n v="1299.71"/>
    <n v="2025"/>
    <s v="Large"/>
    <s v="Tier 1"/>
    <x v="4"/>
    <s v="South"/>
    <s v="India"/>
    <s v="Corporate"/>
    <d v="2025-04-03T00:00:00"/>
    <s v="ORD00312"/>
    <d v="2025-04-02T00:00:00"/>
    <d v="2025-04-06T00:00:00"/>
    <s v="First Class"/>
    <s v="Karnataka"/>
    <n v="243006"/>
    <s v="PROD0014"/>
    <s v="Tomatoes"/>
    <s v="Tomatoes - 883"/>
    <n v="8"/>
    <n v="0.2"/>
    <n v="322.61"/>
  </r>
  <r>
    <s v="CUST0070"/>
    <s v="Manoj"/>
    <s v="Kulkarni"/>
    <d v="1977-05-31T00:00:00"/>
    <n v="1236.1600000000001"/>
    <n v="2025"/>
    <s v="Large"/>
    <s v="Tier 1"/>
    <x v="2"/>
    <s v="South"/>
    <s v="India"/>
    <s v="Corporate"/>
    <d v="2025-04-21T00:00:00"/>
    <s v="ORD00313"/>
    <d v="2025-04-21T00:00:00"/>
    <d v="2025-04-24T00:00:00"/>
    <s v="First Class"/>
    <s v="Karnataka"/>
    <n v="229221"/>
    <s v="PROD0009"/>
    <s v="Wheat Flour"/>
    <s v="Wheat Flour - 915"/>
    <n v="9"/>
    <n v="0.15"/>
    <n v="115.24"/>
  </r>
  <r>
    <s v="CUST0071"/>
    <s v="Suresh"/>
    <s v="Reddy"/>
    <d v="1993-07-31T00:00:00"/>
    <n v="4270.95"/>
    <n v="2024"/>
    <s v="Medium"/>
    <s v="Tier 2"/>
    <x v="0"/>
    <s v="West"/>
    <s v="India"/>
    <s v="Home Office"/>
    <d v="2024-08-10T00:00:00"/>
    <s v="ORD00314"/>
    <d v="2024-08-09T00:00:00"/>
    <d v="2024-08-12T00:00:00"/>
    <s v="First Class"/>
    <s v="Goa"/>
    <n v="268772"/>
    <s v="PROD0001"/>
    <s v="Namkeen"/>
    <s v="Namkeen - 650"/>
    <n v="9"/>
    <n v="0"/>
    <n v="482.69"/>
  </r>
  <r>
    <s v="CUST0072"/>
    <s v="Deepak"/>
    <s v="Chowdhury"/>
    <d v="1996-08-27T00:00:00"/>
    <n v="923.59"/>
    <n v="2024"/>
    <s v="Large"/>
    <s v="Tier 2"/>
    <x v="1"/>
    <s v="North"/>
    <s v="India"/>
    <s v="Consumer"/>
    <d v="2024-09-26T00:00:00"/>
    <s v="ORD00315"/>
    <d v="2024-09-23T00:00:00"/>
    <d v="2024-09-28T00:00:00"/>
    <s v="Same Day"/>
    <s v="Uttarakhand"/>
    <n v="404771"/>
    <s v="PROD0002"/>
    <s v="Bread"/>
    <s v="Bread - 217"/>
    <n v="3"/>
    <n v="0.1"/>
    <n v="282.32"/>
  </r>
  <r>
    <s v="CUST0072"/>
    <s v="Deepak"/>
    <s v="Chowdhury"/>
    <d v="1996-08-27T00:00:00"/>
    <n v="206.57"/>
    <n v="2025"/>
    <s v="Small"/>
    <s v="Tier 2"/>
    <x v="2"/>
    <s v="North"/>
    <s v="India"/>
    <s v="Consumer"/>
    <d v="2025-05-06T00:00:00"/>
    <s v="ORD00316"/>
    <d v="2025-05-04T00:00:00"/>
    <d v="2025-05-07T00:00:00"/>
    <s v="First Class"/>
    <s v="Uttarakhand"/>
    <n v="204904"/>
    <s v="PROD0012"/>
    <s v="Rice"/>
    <s v="Rice - 356"/>
    <n v="2"/>
    <n v="0.1"/>
    <n v="40.520000000000003"/>
  </r>
  <r>
    <s v="CUST0073"/>
    <s v="Arjun"/>
    <s v="Mishra"/>
    <d v="1995-12-31T00:00:00"/>
    <n v="2860.42"/>
    <n v="2023"/>
    <s v="Medium"/>
    <s v="Tier 1"/>
    <x v="5"/>
    <s v="South"/>
    <s v="India"/>
    <s v="Corporate"/>
    <d v="2023-03-17T00:00:00"/>
    <s v="ORD00317"/>
    <d v="2023-03-13T00:00:00"/>
    <d v="2023-03-18T00:00:00"/>
    <s v="Second Class"/>
    <s v="Telangana"/>
    <n v="549112"/>
    <s v="PROD0015"/>
    <s v="Soft Drinks"/>
    <s v="Soft Drinks - 436"/>
    <n v="10"/>
    <n v="0.15"/>
    <n v="644.30999999999995"/>
  </r>
  <r>
    <s v="CUST0073"/>
    <s v="Arjun"/>
    <s v="Mishra"/>
    <d v="1995-12-31T00:00:00"/>
    <n v="1350.21"/>
    <n v="2023"/>
    <s v="Medium"/>
    <s v="Tier 1"/>
    <x v="3"/>
    <s v="South"/>
    <s v="India"/>
    <s v="Corporate"/>
    <d v="2023-07-20T00:00:00"/>
    <s v="ORD00318"/>
    <d v="2023-07-18T00:00:00"/>
    <d v="2023-07-22T00:00:00"/>
    <s v="First Class"/>
    <s v="Telangana"/>
    <n v="812591"/>
    <s v="PROD0021"/>
    <s v="Milk"/>
    <s v="Milk - 420"/>
    <n v="4"/>
    <n v="0.15"/>
    <n v="367.18"/>
  </r>
  <r>
    <s v="CUST0073"/>
    <s v="Arjun"/>
    <s v="Mishra"/>
    <d v="1995-12-31T00:00:00"/>
    <n v="1937.36"/>
    <n v="2023"/>
    <s v="Small"/>
    <s v="Tier 1"/>
    <x v="2"/>
    <s v="South"/>
    <s v="India"/>
    <s v="Corporate"/>
    <d v="2023-11-26T00:00:00"/>
    <s v="ORD00319"/>
    <d v="2023-11-22T00:00:00"/>
    <d v="2023-11-26T00:00:00"/>
    <s v="First Class"/>
    <s v="Telangana"/>
    <n v="776909"/>
    <s v="PROD0009"/>
    <s v="Wheat Flour"/>
    <s v="Wheat Flour - 998"/>
    <n v="8"/>
    <n v="0"/>
    <n v="547.16999999999996"/>
  </r>
  <r>
    <s v="CUST0074"/>
    <s v="Lakshmi"/>
    <s v="Chowdhury"/>
    <d v="1971-08-24T00:00:00"/>
    <n v="738.32"/>
    <n v="2023"/>
    <s v="Large"/>
    <s v="Tier 2"/>
    <x v="3"/>
    <s v="North"/>
    <s v="India"/>
    <s v="Consumer"/>
    <d v="2023-10-16T00:00:00"/>
    <s v="ORD00320"/>
    <d v="2023-10-15T00:00:00"/>
    <d v="2023-10-16T00:00:00"/>
    <s v="First Class"/>
    <s v="Uttarakhand"/>
    <n v="138436"/>
    <s v="PROD0005"/>
    <s v="Yogurt"/>
    <s v="Yogurt - 369"/>
    <n v="2"/>
    <n v="0"/>
    <n v="225.1"/>
  </r>
  <r>
    <s v="CUST0074"/>
    <s v="Lakshmi"/>
    <s v="Chowdhury"/>
    <d v="1971-08-24T00:00:00"/>
    <n v="1775.59"/>
    <n v="2025"/>
    <s v="Large"/>
    <s v="Tier 2"/>
    <x v="0"/>
    <s v="North"/>
    <s v="India"/>
    <s v="Consumer"/>
    <d v="2025-04-27T00:00:00"/>
    <s v="ORD00321"/>
    <d v="2025-04-26T00:00:00"/>
    <d v="2025-04-30T00:00:00"/>
    <s v="Second Class"/>
    <s v="Uttarakhand"/>
    <n v="240384"/>
    <s v="PROD0001"/>
    <s v="Namkeen"/>
    <s v="Namkeen - 656"/>
    <n v="9"/>
    <n v="0.2"/>
    <n v="167.95"/>
  </r>
  <r>
    <s v="CUST0074"/>
    <s v="Lakshmi"/>
    <s v="Chowdhury"/>
    <d v="1971-08-24T00:00:00"/>
    <n v="1331.3"/>
    <n v="2025"/>
    <s v="Small"/>
    <s v="Tier 2"/>
    <x v="5"/>
    <s v="North"/>
    <s v="India"/>
    <s v="Consumer"/>
    <d v="2025-05-16T00:00:00"/>
    <s v="ORD00322"/>
    <d v="2025-05-11T00:00:00"/>
    <d v="2025-05-16T00:00:00"/>
    <s v="First Class"/>
    <s v="Uttarakhand"/>
    <n v="567896"/>
    <s v="PROD0019"/>
    <s v="Tea"/>
    <s v="Tea - 506"/>
    <n v="6"/>
    <n v="0.15"/>
    <n v="161.97"/>
  </r>
  <r>
    <s v="CUST0074"/>
    <s v="Lakshmi"/>
    <s v="Chowdhury"/>
    <d v="1971-08-24T00:00:00"/>
    <n v="3365.2"/>
    <n v="2025"/>
    <s v="Small"/>
    <s v="Tier 2"/>
    <x v="3"/>
    <s v="North"/>
    <s v="India"/>
    <s v="Consumer"/>
    <d v="2025-05-31T00:00:00"/>
    <s v="ORD00323"/>
    <d v="2025-05-29T00:00:00"/>
    <d v="2025-06-02T00:00:00"/>
    <s v="First Class"/>
    <s v="Uttarakhand"/>
    <n v="898461"/>
    <s v="PROD0005"/>
    <s v="Yogurt"/>
    <s v="Yogurt - 679"/>
    <n v="10"/>
    <n v="0"/>
    <n v="911.22"/>
  </r>
  <r>
    <s v="CUST0075"/>
    <s v="Riya"/>
    <s v="Singh"/>
    <d v="2000-09-17T00:00:00"/>
    <n v="1175.8"/>
    <n v="2023"/>
    <s v="Small"/>
    <s v="Tier 2"/>
    <x v="4"/>
    <s v="South"/>
    <s v="India"/>
    <s v="Consumer"/>
    <d v="2023-03-07T00:00:00"/>
    <s v="ORD00324"/>
    <d v="2023-03-06T00:00:00"/>
    <d v="2023-03-07T00:00:00"/>
    <s v="Second Class"/>
    <s v="Karnataka"/>
    <n v="975427"/>
    <s v="PROD0010"/>
    <s v="Bananas"/>
    <s v="Bananas - 630"/>
    <n v="6"/>
    <n v="0.05"/>
    <n v="369.75"/>
  </r>
  <r>
    <s v="CUST0075"/>
    <s v="Riya"/>
    <s v="Singh"/>
    <d v="2000-09-17T00:00:00"/>
    <n v="2510.96"/>
    <n v="2023"/>
    <s v="Large"/>
    <s v="Tier 2"/>
    <x v="2"/>
    <s v="South"/>
    <s v="India"/>
    <s v="Consumer"/>
    <d v="2023-08-28T00:00:00"/>
    <s v="ORD00325"/>
    <d v="2023-08-28T00:00:00"/>
    <d v="2023-08-31T00:00:00"/>
    <s v="Second Class"/>
    <s v="Karnataka"/>
    <n v="494609"/>
    <s v="PROD0009"/>
    <s v="Wheat Flour"/>
    <s v="Wheat Flour - 692"/>
    <n v="9"/>
    <n v="0.05"/>
    <n v="617.95000000000005"/>
  </r>
  <r>
    <s v="CUST0075"/>
    <s v="Riya"/>
    <s v="Singh"/>
    <d v="2000-09-17T00:00:00"/>
    <n v="1446.03"/>
    <n v="2023"/>
    <s v="Medium"/>
    <s v="Tier 2"/>
    <x v="3"/>
    <s v="South"/>
    <s v="India"/>
    <s v="Consumer"/>
    <d v="2023-09-28T00:00:00"/>
    <s v="ORD00326"/>
    <d v="2023-09-28T00:00:00"/>
    <d v="2023-09-29T00:00:00"/>
    <s v="First Class"/>
    <s v="Karnataka"/>
    <n v="341162"/>
    <s v="PROD0013"/>
    <s v="Butter"/>
    <s v="Butter - 461"/>
    <n v="6"/>
    <n v="0.05"/>
    <n v="457.16"/>
  </r>
  <r>
    <s v="CUST0075"/>
    <s v="Riya"/>
    <s v="Singh"/>
    <d v="2000-09-17T00:00:00"/>
    <n v="329.13"/>
    <n v="2024"/>
    <s v="Medium"/>
    <s v="Tier 2"/>
    <x v="4"/>
    <s v="South"/>
    <s v="India"/>
    <s v="Consumer"/>
    <d v="2024-01-14T00:00:00"/>
    <s v="ORD00327"/>
    <d v="2024-01-14T00:00:00"/>
    <d v="2024-01-15T00:00:00"/>
    <s v="Second Class"/>
    <s v="Karnataka"/>
    <n v="855242"/>
    <s v="PROD0014"/>
    <s v="Tomatoes"/>
    <s v="Tomatoes - 316"/>
    <n v="3"/>
    <n v="0"/>
    <n v="75.900000000000006"/>
  </r>
  <r>
    <s v="CUST0076"/>
    <s v="Zainab"/>
    <s v="Menon"/>
    <d v="1994-12-02T00:00:00"/>
    <n v="942.44"/>
    <n v="2024"/>
    <s v="Large"/>
    <s v="Tier 2"/>
    <x v="5"/>
    <s v="South"/>
    <s v="India"/>
    <s v="Home Office"/>
    <d v="2024-05-05T00:00:00"/>
    <s v="ORD00328"/>
    <d v="2024-05-05T00:00:00"/>
    <d v="2024-05-06T00:00:00"/>
    <s v="First Class"/>
    <s v="Andhra Pradesh"/>
    <n v="241268"/>
    <s v="PROD0017"/>
    <s v="Coffee"/>
    <s v="Coffee - 704"/>
    <n v="3"/>
    <n v="0.05"/>
    <n v="53.47"/>
  </r>
  <r>
    <s v="CUST0076"/>
    <s v="Zainab"/>
    <s v="Menon"/>
    <d v="1994-12-02T00:00:00"/>
    <n v="905"/>
    <n v="2024"/>
    <s v="Medium"/>
    <s v="Tier 2"/>
    <x v="2"/>
    <s v="South"/>
    <s v="India"/>
    <s v="Home Office"/>
    <d v="2024-11-24T00:00:00"/>
    <s v="ORD00329"/>
    <d v="2024-11-22T00:00:00"/>
    <d v="2024-11-24T00:00:00"/>
    <s v="Same Day"/>
    <s v="Andhra Pradesh"/>
    <n v="854500"/>
    <s v="PROD0003"/>
    <s v="Pulses"/>
    <s v="Pulses - 140"/>
    <n v="10"/>
    <n v="0"/>
    <n v="115.37"/>
  </r>
  <r>
    <s v="CUST0077"/>
    <s v="Sandeep"/>
    <s v="Shetty"/>
    <d v="1998-08-15T00:00:00"/>
    <n v="651.97"/>
    <n v="2023"/>
    <s v="Small"/>
    <s v="Tier 1"/>
    <x v="0"/>
    <s v="South"/>
    <s v="India"/>
    <s v="Consumer"/>
    <d v="2023-03-31T00:00:00"/>
    <s v="ORD00330"/>
    <d v="2023-03-29T00:00:00"/>
    <d v="2023-03-31T00:00:00"/>
    <s v="Second Class"/>
    <s v="Telangana"/>
    <n v="275868"/>
    <s v="PROD0001"/>
    <s v="Namkeen"/>
    <s v="Namkeen - 988"/>
    <n v="8"/>
    <n v="0.2"/>
    <n v="112.94"/>
  </r>
  <r>
    <s v="CUST0077"/>
    <s v="Sandeep"/>
    <s v="Shetty"/>
    <d v="1998-08-15T00:00:00"/>
    <n v="2450.7199999999998"/>
    <n v="2023"/>
    <s v="Small"/>
    <s v="Tier 1"/>
    <x v="2"/>
    <s v="South"/>
    <s v="India"/>
    <s v="Consumer"/>
    <d v="2023-08-11T00:00:00"/>
    <s v="ORD00331"/>
    <d v="2023-08-10T00:00:00"/>
    <d v="2023-08-14T00:00:00"/>
    <s v="Same Day"/>
    <s v="Telangana"/>
    <n v="312177"/>
    <s v="PROD0003"/>
    <s v="Pulses"/>
    <s v="Pulses - 450"/>
    <n v="8"/>
    <n v="0"/>
    <n v="291.5"/>
  </r>
  <r>
    <s v="CUST0077"/>
    <s v="Sandeep"/>
    <s v="Shetty"/>
    <d v="1998-08-15T00:00:00"/>
    <n v="2625.4"/>
    <n v="2023"/>
    <s v="Large"/>
    <s v="Tier 1"/>
    <x v="0"/>
    <s v="South"/>
    <s v="India"/>
    <s v="Consumer"/>
    <d v="2023-10-22T00:00:00"/>
    <s v="ORD00332"/>
    <d v="2023-10-18T00:00:00"/>
    <d v="2023-10-22T00:00:00"/>
    <s v="Same Day"/>
    <s v="Telangana"/>
    <n v="921945"/>
    <s v="PROD0004"/>
    <s v="Biscuits"/>
    <s v="Biscuits - 800"/>
    <n v="7"/>
    <n v="0.1"/>
    <n v="207.12"/>
  </r>
  <r>
    <s v="CUST0077"/>
    <s v="Sandeep"/>
    <s v="Shetty"/>
    <d v="1998-08-15T00:00:00"/>
    <n v="110.04"/>
    <n v="2024"/>
    <s v="Small"/>
    <s v="Tier 1"/>
    <x v="0"/>
    <s v="South"/>
    <s v="India"/>
    <s v="Consumer"/>
    <d v="2024-04-08T00:00:00"/>
    <s v="ORD00333"/>
    <d v="2024-04-04T00:00:00"/>
    <d v="2024-04-09T00:00:00"/>
    <s v="Standard Class"/>
    <s v="Telangana"/>
    <n v="647403"/>
    <s v="PROD0004"/>
    <s v="Biscuits"/>
    <s v="Biscuits - 870"/>
    <n v="2"/>
    <n v="0.15"/>
    <n v="9.8000000000000007"/>
  </r>
  <r>
    <s v="CUST0077"/>
    <s v="Sandeep"/>
    <s v="Shetty"/>
    <d v="1998-08-15T00:00:00"/>
    <n v="337.13"/>
    <n v="2025"/>
    <s v="Medium"/>
    <s v="Tier 1"/>
    <x v="5"/>
    <s v="South"/>
    <s v="India"/>
    <s v="Consumer"/>
    <d v="2025-04-24T00:00:00"/>
    <s v="ORD00334"/>
    <d v="2025-04-21T00:00:00"/>
    <d v="2025-04-25T00:00:00"/>
    <s v="Same Day"/>
    <s v="Telangana"/>
    <n v="546157"/>
    <s v="PROD0011"/>
    <s v="Juice"/>
    <s v="Juice - 995"/>
    <n v="1"/>
    <n v="0.05"/>
    <n v="40.07"/>
  </r>
  <r>
    <s v="CUST0078"/>
    <s v="Diya"/>
    <s v="Mishra"/>
    <d v="1983-07-01T00:00:00"/>
    <n v="4188.07"/>
    <n v="2024"/>
    <s v="Large"/>
    <s v="Tier 1"/>
    <x v="3"/>
    <s v="South"/>
    <s v="India"/>
    <s v="Home Office"/>
    <d v="2024-05-03T00:00:00"/>
    <s v="ORD00335"/>
    <d v="2024-05-03T00:00:00"/>
    <d v="2024-05-04T00:00:00"/>
    <s v="Same Day"/>
    <s v="Tamil Nadu"/>
    <n v="645009"/>
    <s v="PROD0021"/>
    <s v="Milk"/>
    <s v="Milk - 390"/>
    <n v="10"/>
    <n v="0.05"/>
    <n v="533.32000000000005"/>
  </r>
  <r>
    <s v="CUST0078"/>
    <s v="Diya"/>
    <s v="Mishra"/>
    <d v="1983-07-01T00:00:00"/>
    <n v="1400.52"/>
    <n v="2025"/>
    <s v="Medium"/>
    <s v="Tier 1"/>
    <x v="4"/>
    <s v="South"/>
    <s v="India"/>
    <s v="Home Office"/>
    <d v="2025-02-23T00:00:00"/>
    <s v="ORD00336"/>
    <d v="2025-02-23T00:00:00"/>
    <d v="2025-02-24T00:00:00"/>
    <s v="Second Class"/>
    <s v="Tamil Nadu"/>
    <n v="373995"/>
    <s v="PROD0008"/>
    <s v="Onions"/>
    <s v="Onions - 770"/>
    <n v="4"/>
    <n v="0"/>
    <n v="241.8"/>
  </r>
  <r>
    <s v="CUST0079"/>
    <s v="Amit"/>
    <s v="Deshmukh"/>
    <d v="1983-06-21T00:00:00"/>
    <n v="3387.68"/>
    <n v="2023"/>
    <s v="Medium"/>
    <s v="Tier 2"/>
    <x v="5"/>
    <s v="West"/>
    <s v="India"/>
    <s v="Consumer"/>
    <d v="2023-10-14T00:00:00"/>
    <s v="ORD00337"/>
    <d v="2023-10-10T00:00:00"/>
    <d v="2023-10-15T00:00:00"/>
    <s v="Second Class"/>
    <s v="Rajasthan"/>
    <n v="421549"/>
    <s v="PROD0017"/>
    <s v="Coffee"/>
    <s v="Coffee - 523"/>
    <n v="9"/>
    <n v="0.05"/>
    <n v="351.02"/>
  </r>
  <r>
    <s v="CUST0079"/>
    <s v="Amit"/>
    <s v="Deshmukh"/>
    <d v="1983-06-21T00:00:00"/>
    <n v="2089.81"/>
    <n v="2024"/>
    <s v="Medium"/>
    <s v="Tier 2"/>
    <x v="0"/>
    <s v="West"/>
    <s v="India"/>
    <s v="Consumer"/>
    <d v="2024-01-10T00:00:00"/>
    <s v="ORD00338"/>
    <d v="2024-01-10T00:00:00"/>
    <d v="2024-01-11T00:00:00"/>
    <s v="First Class"/>
    <s v="Rajasthan"/>
    <n v="205149"/>
    <s v="PROD0001"/>
    <s v="Namkeen"/>
    <s v="Namkeen - 892"/>
    <n v="7"/>
    <n v="0.2"/>
    <n v="646.05999999999995"/>
  </r>
  <r>
    <s v="CUST0079"/>
    <s v="Amit"/>
    <s v="Deshmukh"/>
    <d v="1983-06-21T00:00:00"/>
    <n v="2183.81"/>
    <n v="2024"/>
    <s v="Medium"/>
    <s v="Tier 2"/>
    <x v="3"/>
    <s v="West"/>
    <s v="India"/>
    <s v="Consumer"/>
    <d v="2024-03-09T00:00:00"/>
    <s v="ORD00339"/>
    <d v="2024-03-09T00:00:00"/>
    <d v="2024-03-10T00:00:00"/>
    <s v="Same Day"/>
    <s v="Rajasthan"/>
    <n v="943442"/>
    <s v="PROD0013"/>
    <s v="Butter"/>
    <s v="Butter - 904"/>
    <n v="6"/>
    <n v="0.1"/>
    <n v="565.86"/>
  </r>
  <r>
    <s v="CUST0079"/>
    <s v="Amit"/>
    <s v="Deshmukh"/>
    <d v="1983-06-21T00:00:00"/>
    <n v="2289.8000000000002"/>
    <n v="2024"/>
    <s v="Large"/>
    <s v="Tier 2"/>
    <x v="4"/>
    <s v="West"/>
    <s v="India"/>
    <s v="Consumer"/>
    <d v="2024-08-01T00:00:00"/>
    <s v="ORD00340"/>
    <d v="2024-08-01T00:00:00"/>
    <d v="2024-08-04T00:00:00"/>
    <s v="Same Day"/>
    <s v="Rajasthan"/>
    <n v="859687"/>
    <s v="PROD0010"/>
    <s v="Bananas"/>
    <s v="Bananas - 582"/>
    <n v="10"/>
    <n v="0"/>
    <n v="295.22000000000003"/>
  </r>
  <r>
    <s v="CUST0079"/>
    <s v="Amit"/>
    <s v="Deshmukh"/>
    <d v="1983-06-21T00:00:00"/>
    <n v="1275.83"/>
    <n v="2024"/>
    <s v="Medium"/>
    <s v="Tier 2"/>
    <x v="5"/>
    <s v="West"/>
    <s v="India"/>
    <s v="Consumer"/>
    <d v="2024-09-20T00:00:00"/>
    <s v="ORD00341"/>
    <d v="2024-09-18T00:00:00"/>
    <d v="2024-09-20T00:00:00"/>
    <s v="Standard Class"/>
    <s v="Rajasthan"/>
    <n v="111230"/>
    <s v="PROD0015"/>
    <s v="Soft Drinks"/>
    <s v="Soft Drinks - 728"/>
    <n v="9"/>
    <n v="0.1"/>
    <n v="85.79"/>
  </r>
  <r>
    <s v="CUST0079"/>
    <s v="Amit"/>
    <s v="Deshmukh"/>
    <d v="1983-06-21T00:00:00"/>
    <n v="356.67"/>
    <n v="2024"/>
    <s v="Small"/>
    <s v="Tier 2"/>
    <x v="3"/>
    <s v="West"/>
    <s v="India"/>
    <s v="Consumer"/>
    <d v="2024-11-29T00:00:00"/>
    <s v="ORD00342"/>
    <d v="2024-11-27T00:00:00"/>
    <d v="2024-11-29T00:00:00"/>
    <s v="Same Day"/>
    <s v="Rajasthan"/>
    <n v="477214"/>
    <s v="PROD0020"/>
    <s v="Paneer"/>
    <s v="Paneer - 299"/>
    <n v="1"/>
    <n v="0.1"/>
    <n v="73.03"/>
  </r>
  <r>
    <s v="CUST0080"/>
    <s v="Ayesha"/>
    <s v="Nair"/>
    <d v="1982-02-28T00:00:00"/>
    <n v="1260.17"/>
    <n v="2023"/>
    <s v="Small"/>
    <s v="Tier 2"/>
    <x v="4"/>
    <s v="South"/>
    <s v="India"/>
    <s v="Consumer"/>
    <d v="2023-01-03T00:00:00"/>
    <s v="ORD00343"/>
    <d v="2023-01-01T00:00:00"/>
    <d v="2023-01-03T00:00:00"/>
    <s v="Same Day"/>
    <s v="Karnataka"/>
    <n v="194545"/>
    <s v="PROD0014"/>
    <s v="Tomatoes"/>
    <s v="Tomatoes - 898"/>
    <n v="7"/>
    <n v="0.05"/>
    <n v="216.29"/>
  </r>
  <r>
    <s v="CUST0080"/>
    <s v="Ayesha"/>
    <s v="Nair"/>
    <d v="1982-02-28T00:00:00"/>
    <n v="4132.8"/>
    <n v="2023"/>
    <s v="Large"/>
    <s v="Tier 2"/>
    <x v="0"/>
    <s v="South"/>
    <s v="India"/>
    <s v="Consumer"/>
    <d v="2023-06-12T00:00:00"/>
    <s v="ORD00344"/>
    <d v="2023-06-11T00:00:00"/>
    <d v="2023-06-14T00:00:00"/>
    <s v="First Class"/>
    <s v="Karnataka"/>
    <n v="576849"/>
    <s v="PROD0001"/>
    <s v="Namkeen"/>
    <s v="Namkeen - 843"/>
    <n v="9"/>
    <n v="0"/>
    <n v="637.45000000000005"/>
  </r>
  <r>
    <s v="CUST0081"/>
    <s v="Saanvi"/>
    <s v="Kulkarni"/>
    <d v="1985-08-25T00:00:00"/>
    <n v="915.9"/>
    <n v="2023"/>
    <s v="Large"/>
    <s v="Tier 2"/>
    <x v="0"/>
    <s v="North"/>
    <s v="India"/>
    <s v="Consumer"/>
    <d v="2023-01-07T00:00:00"/>
    <s v="ORD00345"/>
    <d v="2023-01-05T00:00:00"/>
    <d v="2023-01-08T00:00:00"/>
    <s v="Standard Class"/>
    <s v="Haryana"/>
    <n v="495397"/>
    <s v="PROD0007"/>
    <s v="Chips"/>
    <s v="Chips - 615"/>
    <n v="5"/>
    <n v="0"/>
    <n v="266.42"/>
  </r>
  <r>
    <s v="CUST0081"/>
    <s v="Saanvi"/>
    <s v="Kulkarni"/>
    <d v="1985-08-25T00:00:00"/>
    <n v="1227.49"/>
    <n v="2023"/>
    <s v="Small"/>
    <s v="Tier 2"/>
    <x v="0"/>
    <s v="North"/>
    <s v="India"/>
    <s v="Consumer"/>
    <d v="2023-04-24T00:00:00"/>
    <s v="ORD00346"/>
    <d v="2023-04-20T00:00:00"/>
    <d v="2023-04-24T00:00:00"/>
    <s v="Standard Class"/>
    <s v="Haryana"/>
    <n v="221916"/>
    <s v="PROD0001"/>
    <s v="Namkeen"/>
    <s v="Namkeen - 888"/>
    <n v="4"/>
    <n v="0.2"/>
    <n v="230.34"/>
  </r>
  <r>
    <s v="CUST0081"/>
    <s v="Saanvi"/>
    <s v="Kulkarni"/>
    <d v="1985-08-25T00:00:00"/>
    <n v="1379.68"/>
    <n v="2023"/>
    <s v="Large"/>
    <s v="Tier 2"/>
    <x v="1"/>
    <s v="North"/>
    <s v="India"/>
    <s v="Consumer"/>
    <d v="2023-07-01T00:00:00"/>
    <s v="ORD00347"/>
    <d v="2023-06-29T00:00:00"/>
    <d v="2023-07-03T00:00:00"/>
    <s v="Same Day"/>
    <s v="Haryana"/>
    <n v="834861"/>
    <s v="PROD0002"/>
    <s v="Bread"/>
    <s v="Bread - 491"/>
    <n v="4"/>
    <n v="0"/>
    <n v="400.17"/>
  </r>
  <r>
    <s v="CUST0081"/>
    <s v="Saanvi"/>
    <s v="Kulkarni"/>
    <d v="1985-08-25T00:00:00"/>
    <n v="359.53"/>
    <n v="2023"/>
    <s v="Medium"/>
    <s v="Tier 2"/>
    <x v="1"/>
    <s v="North"/>
    <s v="India"/>
    <s v="Consumer"/>
    <d v="2023-09-25T00:00:00"/>
    <s v="ORD00348"/>
    <d v="2023-09-25T00:00:00"/>
    <d v="2023-09-26T00:00:00"/>
    <s v="Second Class"/>
    <s v="Haryana"/>
    <n v="470711"/>
    <s v="PROD0002"/>
    <s v="Bread"/>
    <s v="Bread - 394"/>
    <n v="2"/>
    <n v="0.15"/>
    <n v="106.54"/>
  </r>
  <r>
    <s v="CUST0081"/>
    <s v="Saanvi"/>
    <s v="Kulkarni"/>
    <d v="1985-08-25T00:00:00"/>
    <n v="1038.08"/>
    <n v="2024"/>
    <s v="Small"/>
    <s v="Tier 2"/>
    <x v="3"/>
    <s v="North"/>
    <s v="India"/>
    <s v="Consumer"/>
    <d v="2024-02-22T00:00:00"/>
    <s v="ORD00349"/>
    <d v="2024-02-21T00:00:00"/>
    <d v="2024-02-23T00:00:00"/>
    <s v="First Class"/>
    <s v="Haryana"/>
    <n v="312616"/>
    <s v="PROD0020"/>
    <s v="Paneer"/>
    <s v="Paneer - 287"/>
    <n v="4"/>
    <n v="0"/>
    <n v="125.05"/>
  </r>
  <r>
    <s v="CUST0081"/>
    <s v="Saanvi"/>
    <s v="Kulkarni"/>
    <d v="1985-08-25T00:00:00"/>
    <n v="155.08000000000001"/>
    <n v="2024"/>
    <s v="Small"/>
    <s v="Tier 2"/>
    <x v="3"/>
    <s v="North"/>
    <s v="India"/>
    <s v="Consumer"/>
    <d v="2024-06-06T00:00:00"/>
    <s v="ORD00350"/>
    <d v="2024-06-02T00:00:00"/>
    <d v="2024-06-06T00:00:00"/>
    <s v="Same Day"/>
    <s v="Haryana"/>
    <n v="989203"/>
    <s v="PROD0020"/>
    <s v="Paneer"/>
    <s v="Paneer - 259"/>
    <n v="2"/>
    <n v="0"/>
    <n v="39.200000000000003"/>
  </r>
  <r>
    <s v="CUST0081"/>
    <s v="Saanvi"/>
    <s v="Kulkarni"/>
    <d v="1985-08-25T00:00:00"/>
    <n v="1384.13"/>
    <n v="2024"/>
    <s v="Large"/>
    <s v="Tier 2"/>
    <x v="5"/>
    <s v="North"/>
    <s v="India"/>
    <s v="Consumer"/>
    <d v="2024-08-12T00:00:00"/>
    <s v="ORD00351"/>
    <d v="2024-08-11T00:00:00"/>
    <d v="2024-08-15T00:00:00"/>
    <s v="Second Class"/>
    <s v="Haryana"/>
    <n v="517206"/>
    <s v="PROD0011"/>
    <s v="Juice"/>
    <s v="Juice - 735"/>
    <n v="6"/>
    <n v="0.1"/>
    <n v="429.95"/>
  </r>
  <r>
    <s v="CUST0082"/>
    <s v="Kavya"/>
    <s v="Sharma"/>
    <d v="1994-08-10T00:00:00"/>
    <n v="320.67"/>
    <n v="2023"/>
    <s v="Small"/>
    <s v="Tier 2"/>
    <x v="4"/>
    <s v="West"/>
    <s v="India"/>
    <s v="Corporate"/>
    <d v="2023-05-13T00:00:00"/>
    <s v="ORD00352"/>
    <d v="2023-05-12T00:00:00"/>
    <d v="2023-05-14T00:00:00"/>
    <s v="Standard Class"/>
    <s v="Gujarat"/>
    <n v="430984"/>
    <s v="PROD0008"/>
    <s v="Onions"/>
    <s v="Onions - 589"/>
    <n v="9"/>
    <n v="0"/>
    <n v="53.91"/>
  </r>
  <r>
    <s v="CUST0082"/>
    <s v="Kavya"/>
    <s v="Sharma"/>
    <d v="1994-08-10T00:00:00"/>
    <n v="808.52"/>
    <n v="2024"/>
    <s v="Small"/>
    <s v="Tier 2"/>
    <x v="2"/>
    <s v="West"/>
    <s v="India"/>
    <s v="Corporate"/>
    <d v="2024-08-15T00:00:00"/>
    <s v="ORD00353"/>
    <d v="2024-08-13T00:00:00"/>
    <d v="2024-08-18T00:00:00"/>
    <s v="Second Class"/>
    <s v="Gujarat"/>
    <n v="348658"/>
    <s v="PROD0012"/>
    <s v="Rice"/>
    <s v="Rice - 112"/>
    <n v="4"/>
    <n v="0"/>
    <n v="119.36"/>
  </r>
  <r>
    <s v="CUST0083"/>
    <s v="Anika"/>
    <s v="Pandey"/>
    <d v="1968-02-12T00:00:00"/>
    <n v="707.71"/>
    <n v="2023"/>
    <s v="Medium"/>
    <s v="Tier 2"/>
    <x v="3"/>
    <s v="West"/>
    <s v="India"/>
    <s v="Home Office"/>
    <d v="2023-12-20T00:00:00"/>
    <s v="ORD00354"/>
    <d v="2023-12-18T00:00:00"/>
    <d v="2023-12-22T00:00:00"/>
    <s v="First Class"/>
    <s v="Goa"/>
    <n v="699166"/>
    <s v="PROD0013"/>
    <s v="Butter"/>
    <s v="Butter - 534"/>
    <n v="4"/>
    <n v="0.2"/>
    <n v="114.43"/>
  </r>
  <r>
    <s v="CUST0083"/>
    <s v="Anika"/>
    <s v="Pandey"/>
    <d v="1968-02-12T00:00:00"/>
    <n v="585.58000000000004"/>
    <n v="2024"/>
    <s v="Small"/>
    <s v="Tier 2"/>
    <x v="3"/>
    <s v="West"/>
    <s v="India"/>
    <s v="Home Office"/>
    <d v="2024-01-13T00:00:00"/>
    <s v="ORD00355"/>
    <d v="2024-01-10T00:00:00"/>
    <d v="2024-01-14T00:00:00"/>
    <s v="First Class"/>
    <s v="Goa"/>
    <n v="938900"/>
    <s v="PROD0005"/>
    <s v="Yogurt"/>
    <s v="Yogurt - 933"/>
    <n v="2"/>
    <n v="0.2"/>
    <n v="70.7"/>
  </r>
  <r>
    <s v="CUST0083"/>
    <s v="Anika"/>
    <s v="Pandey"/>
    <d v="1968-02-12T00:00:00"/>
    <n v="99.53"/>
    <n v="2024"/>
    <s v="Large"/>
    <s v="Tier 2"/>
    <x v="2"/>
    <s v="West"/>
    <s v="India"/>
    <s v="Home Office"/>
    <d v="2024-09-23T00:00:00"/>
    <s v="ORD00356"/>
    <d v="2024-09-19T00:00:00"/>
    <d v="2024-09-24T00:00:00"/>
    <s v="Second Class"/>
    <s v="Goa"/>
    <n v="923481"/>
    <s v="PROD0012"/>
    <s v="Rice"/>
    <s v="Rice - 584"/>
    <n v="1"/>
    <n v="0.05"/>
    <n v="8.99"/>
  </r>
  <r>
    <s v="CUST0084"/>
    <s v="Pooja"/>
    <s v="Das"/>
    <d v="1995-06-26T00:00:00"/>
    <n v="117.17"/>
    <n v="2023"/>
    <s v="Large"/>
    <s v="Tier 2"/>
    <x v="4"/>
    <s v="East"/>
    <s v="India"/>
    <s v="Consumer"/>
    <d v="2023-09-15T00:00:00"/>
    <s v="ORD00357"/>
    <d v="2023-09-14T00:00:00"/>
    <d v="2023-09-15T00:00:00"/>
    <s v="Second Class"/>
    <s v="Jharkhand"/>
    <n v="372387"/>
    <s v="PROD0008"/>
    <s v="Onions"/>
    <s v="Onions - 201"/>
    <n v="3"/>
    <n v="0.2"/>
    <n v="14.8"/>
  </r>
  <r>
    <s v="CUST0084"/>
    <s v="Pooja"/>
    <s v="Das"/>
    <d v="1995-06-26T00:00:00"/>
    <n v="4205.6099999999997"/>
    <n v="2024"/>
    <s v="Medium"/>
    <s v="Tier 2"/>
    <x v="1"/>
    <s v="East"/>
    <s v="India"/>
    <s v="Consumer"/>
    <d v="2024-07-29T00:00:00"/>
    <s v="ORD00358"/>
    <d v="2024-07-29T00:00:00"/>
    <d v="2024-08-02T00:00:00"/>
    <s v="First Class"/>
    <s v="Jharkhand"/>
    <n v="704875"/>
    <s v="PROD0018"/>
    <s v="Buns"/>
    <s v="Buns - 673"/>
    <n v="9"/>
    <n v="0"/>
    <n v="644.48"/>
  </r>
  <r>
    <s v="CUST0084"/>
    <s v="Pooja"/>
    <s v="Das"/>
    <d v="1995-06-26T00:00:00"/>
    <n v="747.22"/>
    <n v="2024"/>
    <s v="Large"/>
    <s v="Tier 2"/>
    <x v="0"/>
    <s v="East"/>
    <s v="India"/>
    <s v="Consumer"/>
    <d v="2024-08-07T00:00:00"/>
    <s v="ORD00359"/>
    <d v="2024-08-04T00:00:00"/>
    <d v="2024-08-07T00:00:00"/>
    <s v="Standard Class"/>
    <s v="Jharkhand"/>
    <n v="182216"/>
    <s v="PROD0004"/>
    <s v="Biscuits"/>
    <s v="Biscuits - 764"/>
    <n v="9"/>
    <n v="0.2"/>
    <n v="101.16"/>
  </r>
  <r>
    <s v="CUST0084"/>
    <s v="Pooja"/>
    <s v="Das"/>
    <d v="1995-06-26T00:00:00"/>
    <n v="1113.74"/>
    <n v="2025"/>
    <s v="Large"/>
    <s v="Tier 2"/>
    <x v="5"/>
    <s v="East"/>
    <s v="India"/>
    <s v="Consumer"/>
    <d v="2025-06-01T00:00:00"/>
    <s v="ORD00360"/>
    <d v="2025-05-29T00:00:00"/>
    <d v="2025-06-01T00:00:00"/>
    <s v="Standard Class"/>
    <s v="Jharkhand"/>
    <n v="990136"/>
    <s v="PROD0011"/>
    <s v="Juice"/>
    <s v="Juice - 574"/>
    <n v="3"/>
    <n v="0.15"/>
    <n v="325.56"/>
  </r>
  <r>
    <s v="CUST0085"/>
    <s v="Krishna"/>
    <s v="Mishra"/>
    <d v="1976-09-19T00:00:00"/>
    <n v="3294.3"/>
    <n v="2023"/>
    <s v="Medium"/>
    <s v="Tier 2"/>
    <x v="1"/>
    <s v="West"/>
    <s v="India"/>
    <s v="Corporate"/>
    <d v="2023-03-26T00:00:00"/>
    <s v="ORD00361"/>
    <d v="2023-03-23T00:00:00"/>
    <d v="2023-03-26T00:00:00"/>
    <s v="First Class"/>
    <s v="Maharashtra"/>
    <n v="292818"/>
    <s v="PROD0006"/>
    <s v="Cookies"/>
    <s v="Cookies - 373"/>
    <n v="10"/>
    <n v="0"/>
    <n v="1042.01"/>
  </r>
  <r>
    <s v="CUST0085"/>
    <s v="Krishna"/>
    <s v="Mishra"/>
    <d v="1976-09-19T00:00:00"/>
    <n v="1148.42"/>
    <n v="2023"/>
    <s v="Small"/>
    <s v="Tier 2"/>
    <x v="4"/>
    <s v="West"/>
    <s v="India"/>
    <s v="Corporate"/>
    <d v="2023-06-15T00:00:00"/>
    <s v="ORD00362"/>
    <d v="2023-06-15T00:00:00"/>
    <d v="2023-06-16T00:00:00"/>
    <s v="Standard Class"/>
    <s v="Maharashtra"/>
    <n v="208013"/>
    <s v="PROD0010"/>
    <s v="Bananas"/>
    <s v="Bananas - 845"/>
    <n v="4"/>
    <n v="0.15"/>
    <n v="298.83"/>
  </r>
  <r>
    <s v="CUST0085"/>
    <s v="Krishna"/>
    <s v="Mishra"/>
    <d v="1976-09-19T00:00:00"/>
    <n v="2266"/>
    <n v="2023"/>
    <s v="Small"/>
    <s v="Tier 2"/>
    <x v="4"/>
    <s v="West"/>
    <s v="India"/>
    <s v="Corporate"/>
    <d v="2023-08-22T00:00:00"/>
    <s v="ORD00363"/>
    <d v="2023-08-22T00:00:00"/>
    <d v="2023-08-27T00:00:00"/>
    <s v="Second Class"/>
    <s v="Maharashtra"/>
    <n v="748127"/>
    <s v="PROD0016"/>
    <s v="Apples"/>
    <s v="Apples - 999"/>
    <n v="8"/>
    <n v="0"/>
    <n v="637.38"/>
  </r>
  <r>
    <s v="CUST0085"/>
    <s v="Krishna"/>
    <s v="Mishra"/>
    <d v="1976-09-19T00:00:00"/>
    <n v="1179.5"/>
    <n v="2023"/>
    <s v="Small"/>
    <s v="Tier 2"/>
    <x v="3"/>
    <s v="West"/>
    <s v="India"/>
    <s v="Corporate"/>
    <d v="2023-11-19T00:00:00"/>
    <s v="ORD00364"/>
    <d v="2023-11-18T00:00:00"/>
    <d v="2023-11-22T00:00:00"/>
    <s v="First Class"/>
    <s v="Maharashtra"/>
    <n v="129959"/>
    <s v="PROD0021"/>
    <s v="Milk"/>
    <s v="Milk - 770"/>
    <n v="7"/>
    <n v="0"/>
    <n v="319.97000000000003"/>
  </r>
  <r>
    <s v="CUST0085"/>
    <s v="Krishna"/>
    <s v="Mishra"/>
    <d v="1976-09-19T00:00:00"/>
    <n v="2478.59"/>
    <n v="2023"/>
    <s v="Large"/>
    <s v="Tier 2"/>
    <x v="4"/>
    <s v="West"/>
    <s v="India"/>
    <s v="Corporate"/>
    <d v="2023-11-23T00:00:00"/>
    <s v="ORD00365"/>
    <d v="2023-11-21T00:00:00"/>
    <d v="2023-11-26T00:00:00"/>
    <s v="Standard Class"/>
    <s v="Maharashtra"/>
    <n v="241678"/>
    <s v="PROD0014"/>
    <s v="Tomatoes"/>
    <s v="Tomatoes - 981"/>
    <n v="6"/>
    <n v="0.05"/>
    <n v="848.9"/>
  </r>
  <r>
    <s v="CUST0085"/>
    <s v="Krishna"/>
    <s v="Mishra"/>
    <d v="1976-09-19T00:00:00"/>
    <n v="2608.14"/>
    <n v="2023"/>
    <s v="Large"/>
    <s v="Tier 2"/>
    <x v="2"/>
    <s v="West"/>
    <s v="India"/>
    <s v="Corporate"/>
    <d v="2023-12-21T00:00:00"/>
    <s v="ORD00366"/>
    <d v="2023-12-18T00:00:00"/>
    <d v="2023-12-23T00:00:00"/>
    <s v="Second Class"/>
    <s v="Maharashtra"/>
    <n v="464032"/>
    <s v="PROD0003"/>
    <s v="Pulses"/>
    <s v="Pulses - 281"/>
    <n v="10"/>
    <n v="0.15"/>
    <n v="716.39"/>
  </r>
  <r>
    <s v="CUST0085"/>
    <s v="Krishna"/>
    <s v="Mishra"/>
    <d v="1976-09-19T00:00:00"/>
    <n v="464.18"/>
    <n v="2024"/>
    <s v="Small"/>
    <s v="Tier 2"/>
    <x v="5"/>
    <s v="West"/>
    <s v="India"/>
    <s v="Corporate"/>
    <d v="2024-10-31T00:00:00"/>
    <s v="ORD00367"/>
    <d v="2024-10-30T00:00:00"/>
    <d v="2024-11-01T00:00:00"/>
    <s v="Same Day"/>
    <s v="Maharashtra"/>
    <n v="648736"/>
    <s v="PROD0017"/>
    <s v="Coffee"/>
    <s v="Coffee - 924"/>
    <n v="2"/>
    <n v="0"/>
    <n v="80.61"/>
  </r>
  <r>
    <s v="CUST0086"/>
    <s v="Aditya"/>
    <s v="Nair"/>
    <d v="1991-10-06T00:00:00"/>
    <n v="1048.3800000000001"/>
    <n v="2023"/>
    <s v="Small"/>
    <s v="Tier 2"/>
    <x v="4"/>
    <s v="North"/>
    <s v="India"/>
    <s v="Home Office"/>
    <d v="2023-05-21T00:00:00"/>
    <s v="ORD00368"/>
    <d v="2023-05-20T00:00:00"/>
    <d v="2023-05-23T00:00:00"/>
    <s v="Second Class"/>
    <s v="Uttarakhand"/>
    <n v="297731"/>
    <s v="PROD0008"/>
    <s v="Onions"/>
    <s v="Onions - 873"/>
    <n v="8"/>
    <n v="0.2"/>
    <n v="187.8"/>
  </r>
  <r>
    <s v="CUST0086"/>
    <s v="Aditya"/>
    <s v="Nair"/>
    <d v="1991-10-06T00:00:00"/>
    <n v="334.46"/>
    <n v="2023"/>
    <s v="Medium"/>
    <s v="Tier 2"/>
    <x v="5"/>
    <s v="North"/>
    <s v="India"/>
    <s v="Home Office"/>
    <d v="2023-10-22T00:00:00"/>
    <s v="ORD00369"/>
    <d v="2023-10-21T00:00:00"/>
    <d v="2023-10-25T00:00:00"/>
    <s v="Same Day"/>
    <s v="Uttarakhand"/>
    <n v="542750"/>
    <s v="PROD0015"/>
    <s v="Soft Drinks"/>
    <s v="Soft Drinks - 504"/>
    <n v="4"/>
    <n v="0.15"/>
    <n v="81.540000000000006"/>
  </r>
  <r>
    <s v="CUST0086"/>
    <s v="Aditya"/>
    <s v="Nair"/>
    <d v="1991-10-06T00:00:00"/>
    <n v="3464.94"/>
    <n v="2023"/>
    <s v="Medium"/>
    <s v="Tier 2"/>
    <x v="2"/>
    <s v="North"/>
    <s v="India"/>
    <s v="Home Office"/>
    <d v="2023-12-21T00:00:00"/>
    <s v="ORD00370"/>
    <d v="2023-12-19T00:00:00"/>
    <d v="2023-12-24T00:00:00"/>
    <s v="First Class"/>
    <s v="Uttarakhand"/>
    <n v="994940"/>
    <s v="PROD0012"/>
    <s v="Rice"/>
    <s v="Rice - 629"/>
    <n v="10"/>
    <n v="0.15"/>
    <n v="455.85"/>
  </r>
  <r>
    <s v="CUST0086"/>
    <s v="Aditya"/>
    <s v="Nair"/>
    <d v="1991-10-06T00:00:00"/>
    <n v="346.61"/>
    <n v="2024"/>
    <s v="Small"/>
    <s v="Tier 2"/>
    <x v="4"/>
    <s v="North"/>
    <s v="India"/>
    <s v="Home Office"/>
    <d v="2024-04-28T00:00:00"/>
    <s v="ORD00371"/>
    <d v="2024-04-25T00:00:00"/>
    <d v="2024-04-28T00:00:00"/>
    <s v="Second Class"/>
    <s v="Uttarakhand"/>
    <n v="120337"/>
    <s v="PROD0010"/>
    <s v="Bananas"/>
    <s v="Bananas - 239"/>
    <n v="5"/>
    <n v="0.05"/>
    <n v="81.56"/>
  </r>
  <r>
    <s v="CUST0086"/>
    <s v="Aditya"/>
    <s v="Nair"/>
    <d v="1991-10-06T00:00:00"/>
    <n v="109.25"/>
    <n v="2024"/>
    <s v="Medium"/>
    <s v="Tier 2"/>
    <x v="3"/>
    <s v="North"/>
    <s v="India"/>
    <s v="Home Office"/>
    <d v="2024-07-03T00:00:00"/>
    <s v="ORD00372"/>
    <d v="2024-07-01T00:00:00"/>
    <d v="2024-07-03T00:00:00"/>
    <s v="Same Day"/>
    <s v="Uttarakhand"/>
    <n v="344119"/>
    <s v="PROD0021"/>
    <s v="Milk"/>
    <s v="Milk - 647"/>
    <n v="1"/>
    <n v="0"/>
    <n v="14.71"/>
  </r>
  <r>
    <s v="CUST0086"/>
    <s v="Aditya"/>
    <s v="Nair"/>
    <d v="1991-10-06T00:00:00"/>
    <n v="944.3"/>
    <n v="2025"/>
    <s v="Medium"/>
    <s v="Tier 2"/>
    <x v="4"/>
    <s v="North"/>
    <s v="India"/>
    <s v="Home Office"/>
    <d v="2025-05-20T00:00:00"/>
    <s v="ORD00373"/>
    <d v="2025-05-18T00:00:00"/>
    <d v="2025-05-22T00:00:00"/>
    <s v="Same Day"/>
    <s v="Uttarakhand"/>
    <n v="446290"/>
    <s v="PROD0010"/>
    <s v="Bananas"/>
    <s v="Bananas - 115"/>
    <n v="8"/>
    <n v="0.05"/>
    <n v="135.47999999999999"/>
  </r>
  <r>
    <s v="CUST0087"/>
    <s v="Rahul"/>
    <s v="Chatterjee"/>
    <d v="1992-03-12T00:00:00"/>
    <n v="360.83"/>
    <n v="2025"/>
    <s v="Small"/>
    <s v="Tier 2"/>
    <x v="3"/>
    <s v="East"/>
    <s v="India"/>
    <s v="Corporate"/>
    <d v="2025-02-10T00:00:00"/>
    <s v="ORD00374"/>
    <d v="2025-02-07T00:00:00"/>
    <d v="2025-02-10T00:00:00"/>
    <s v="Same Day"/>
    <s v="Bihar"/>
    <n v="905459"/>
    <s v="PROD0021"/>
    <s v="Milk"/>
    <s v="Milk - 372"/>
    <n v="7"/>
    <n v="0.05"/>
    <n v="37.700000000000003"/>
  </r>
  <r>
    <s v="CUST0088"/>
    <s v="Swathi"/>
    <s v="Gupta"/>
    <d v="1976-06-05T00:00:00"/>
    <n v="540.29999999999995"/>
    <n v="2023"/>
    <s v="Small"/>
    <s v="Tier 2"/>
    <x v="4"/>
    <s v="South"/>
    <s v="India"/>
    <s v="Consumer"/>
    <d v="2023-09-13T00:00:00"/>
    <s v="ORD00375"/>
    <d v="2023-09-11T00:00:00"/>
    <d v="2023-09-14T00:00:00"/>
    <s v="Same Day"/>
    <s v="Karnataka"/>
    <n v="880900"/>
    <s v="PROD0010"/>
    <s v="Bananas"/>
    <s v="Bananas - 571"/>
    <n v="2"/>
    <n v="0"/>
    <n v="103.66"/>
  </r>
  <r>
    <s v="CUST0088"/>
    <s v="Swathi"/>
    <s v="Gupta"/>
    <d v="1976-06-05T00:00:00"/>
    <n v="1254.95"/>
    <n v="2024"/>
    <s v="Small"/>
    <s v="Tier 2"/>
    <x v="0"/>
    <s v="South"/>
    <s v="India"/>
    <s v="Consumer"/>
    <d v="2024-01-30T00:00:00"/>
    <s v="ORD00376"/>
    <d v="2024-01-30T00:00:00"/>
    <d v="2024-01-31T00:00:00"/>
    <s v="First Class"/>
    <s v="Karnataka"/>
    <n v="763653"/>
    <s v="PROD0004"/>
    <s v="Biscuits"/>
    <s v="Biscuits - 225"/>
    <n v="5"/>
    <n v="0"/>
    <n v="137.56"/>
  </r>
  <r>
    <s v="CUST0088"/>
    <s v="Swathi"/>
    <s v="Gupta"/>
    <d v="1976-06-05T00:00:00"/>
    <n v="1083.54"/>
    <n v="2024"/>
    <s v="Small"/>
    <s v="Tier 2"/>
    <x v="5"/>
    <s v="South"/>
    <s v="India"/>
    <s v="Consumer"/>
    <d v="2024-03-29T00:00:00"/>
    <s v="ORD00377"/>
    <d v="2024-03-29T00:00:00"/>
    <d v="2024-03-31T00:00:00"/>
    <s v="Standard Class"/>
    <s v="Karnataka"/>
    <n v="821846"/>
    <s v="PROD0011"/>
    <s v="Juice"/>
    <s v="Juice - 115"/>
    <n v="3"/>
    <n v="0.1"/>
    <n v="93.07"/>
  </r>
  <r>
    <s v="CUST0088"/>
    <s v="Swathi"/>
    <s v="Gupta"/>
    <d v="1976-06-05T00:00:00"/>
    <n v="264.83999999999997"/>
    <n v="2025"/>
    <s v="Large"/>
    <s v="Tier 2"/>
    <x v="0"/>
    <s v="South"/>
    <s v="India"/>
    <s v="Consumer"/>
    <d v="2025-01-27T00:00:00"/>
    <s v="ORD00378"/>
    <d v="2025-01-25T00:00:00"/>
    <d v="2025-01-30T00:00:00"/>
    <s v="Same Day"/>
    <s v="Karnataka"/>
    <n v="162678"/>
    <s v="PROD0007"/>
    <s v="Chips"/>
    <s v="Chips - 480"/>
    <n v="2"/>
    <n v="0.05"/>
    <n v="20.5"/>
  </r>
  <r>
    <s v="CUST0088"/>
    <s v="Swathi"/>
    <s v="Gupta"/>
    <d v="1976-06-05T00:00:00"/>
    <n v="3599.1"/>
    <n v="2025"/>
    <s v="Medium"/>
    <s v="Tier 2"/>
    <x v="1"/>
    <s v="South"/>
    <s v="India"/>
    <s v="Consumer"/>
    <d v="2025-03-02T00:00:00"/>
    <s v="ORD00379"/>
    <d v="2025-02-28T00:00:00"/>
    <d v="2025-03-03T00:00:00"/>
    <s v="First Class"/>
    <s v="Karnataka"/>
    <n v="122390"/>
    <s v="PROD0006"/>
    <s v="Cookies"/>
    <s v="Cookies - 257"/>
    <n v="9"/>
    <n v="0"/>
    <n v="706.69"/>
  </r>
  <r>
    <s v="CUST0089"/>
    <s v="Sneha"/>
    <s v="Yadav"/>
    <d v="2001-03-06T00:00:00"/>
    <n v="1332.42"/>
    <n v="2023"/>
    <s v="Medium"/>
    <s v="Tier 2"/>
    <x v="5"/>
    <s v="East"/>
    <s v="India"/>
    <s v="Corporate"/>
    <d v="2023-02-12T00:00:00"/>
    <s v="ORD00380"/>
    <d v="2023-02-10T00:00:00"/>
    <d v="2023-02-12T00:00:00"/>
    <s v="Second Class"/>
    <s v="Jharkhand"/>
    <n v="867979"/>
    <s v="PROD0015"/>
    <s v="Soft Drinks"/>
    <s v="Soft Drinks - 672"/>
    <n v="5"/>
    <n v="0.05"/>
    <n v="142.47999999999999"/>
  </r>
  <r>
    <s v="CUST0089"/>
    <s v="Sneha"/>
    <s v="Yadav"/>
    <d v="2001-03-06T00:00:00"/>
    <n v="4130.55"/>
    <n v="2023"/>
    <s v="Medium"/>
    <s v="Tier 2"/>
    <x v="5"/>
    <s v="East"/>
    <s v="India"/>
    <s v="Corporate"/>
    <d v="2023-05-19T00:00:00"/>
    <s v="ORD00381"/>
    <d v="2023-05-18T00:00:00"/>
    <d v="2023-05-23T00:00:00"/>
    <s v="Second Class"/>
    <s v="Jharkhand"/>
    <n v="959222"/>
    <s v="PROD0011"/>
    <s v="Juice"/>
    <s v="Juice - 988"/>
    <n v="10"/>
    <n v="0.1"/>
    <n v="405.22"/>
  </r>
  <r>
    <s v="CUST0089"/>
    <s v="Sneha"/>
    <s v="Yadav"/>
    <d v="2001-03-06T00:00:00"/>
    <n v="138.38"/>
    <n v="2023"/>
    <s v="Large"/>
    <s v="Tier 2"/>
    <x v="1"/>
    <s v="East"/>
    <s v="India"/>
    <s v="Corporate"/>
    <d v="2023-09-14T00:00:00"/>
    <s v="ORD00382"/>
    <d v="2023-09-14T00:00:00"/>
    <d v="2023-09-16T00:00:00"/>
    <s v="Second Class"/>
    <s v="Jharkhand"/>
    <n v="913712"/>
    <s v="PROD0006"/>
    <s v="Cookies"/>
    <s v="Cookies - 475"/>
    <n v="8"/>
    <n v="0.15"/>
    <n v="27.92"/>
  </r>
  <r>
    <s v="CUST0089"/>
    <s v="Sneha"/>
    <s v="Yadav"/>
    <d v="2001-03-06T00:00:00"/>
    <n v="604.76"/>
    <n v="2024"/>
    <s v="Large"/>
    <s v="Tier 2"/>
    <x v="0"/>
    <s v="East"/>
    <s v="India"/>
    <s v="Corporate"/>
    <d v="2024-01-04T00:00:00"/>
    <s v="ORD00383"/>
    <d v="2024-01-02T00:00:00"/>
    <d v="2024-01-04T00:00:00"/>
    <s v="Standard Class"/>
    <s v="Jharkhand"/>
    <n v="902930"/>
    <s v="PROD0007"/>
    <s v="Chips"/>
    <s v="Chips - 428"/>
    <n v="2"/>
    <n v="0.1"/>
    <n v="178.84"/>
  </r>
  <r>
    <s v="CUST0089"/>
    <s v="Sneha"/>
    <s v="Yadav"/>
    <d v="2001-03-06T00:00:00"/>
    <n v="743.11"/>
    <n v="2025"/>
    <s v="Small"/>
    <s v="Tier 2"/>
    <x v="0"/>
    <s v="East"/>
    <s v="India"/>
    <s v="Corporate"/>
    <d v="2025-01-11T00:00:00"/>
    <s v="ORD00384"/>
    <d v="2025-01-11T00:00:00"/>
    <d v="2025-01-12T00:00:00"/>
    <s v="First Class"/>
    <s v="Jharkhand"/>
    <n v="287316"/>
    <s v="PROD0007"/>
    <s v="Chips"/>
    <s v="Chips - 727"/>
    <n v="5"/>
    <n v="0.15"/>
    <n v="108.95"/>
  </r>
  <r>
    <s v="CUST0090"/>
    <s v="Manoj"/>
    <s v="Iyer"/>
    <d v="1994-10-18T00:00:00"/>
    <n v="2115.54"/>
    <n v="2023"/>
    <s v="Small"/>
    <s v="Tier 2"/>
    <x v="0"/>
    <s v="North"/>
    <s v="India"/>
    <s v="Home Office"/>
    <d v="2023-02-04T00:00:00"/>
    <s v="ORD00385"/>
    <d v="2023-02-02T00:00:00"/>
    <d v="2023-02-07T00:00:00"/>
    <s v="Second Class"/>
    <s v="Punjab"/>
    <n v="331444"/>
    <s v="PROD0004"/>
    <s v="Biscuits"/>
    <s v="Biscuits - 956"/>
    <n v="7"/>
    <n v="0.1"/>
    <n v="501.79"/>
  </r>
  <r>
    <s v="CUST0090"/>
    <s v="Manoj"/>
    <s v="Iyer"/>
    <d v="1994-10-18T00:00:00"/>
    <n v="466.5"/>
    <n v="2023"/>
    <s v="Large"/>
    <s v="Tier 2"/>
    <x v="0"/>
    <s v="North"/>
    <s v="India"/>
    <s v="Home Office"/>
    <d v="2023-04-13T00:00:00"/>
    <s v="ORD00386"/>
    <d v="2023-04-12T00:00:00"/>
    <d v="2023-04-13T00:00:00"/>
    <s v="Same Day"/>
    <s v="Punjab"/>
    <n v="478458"/>
    <s v="PROD0004"/>
    <s v="Biscuits"/>
    <s v="Biscuits - 172"/>
    <n v="1"/>
    <n v="0"/>
    <n v="115.1"/>
  </r>
  <r>
    <s v="CUST0090"/>
    <s v="Manoj"/>
    <s v="Iyer"/>
    <d v="1994-10-18T00:00:00"/>
    <n v="2407.44"/>
    <n v="2023"/>
    <s v="Large"/>
    <s v="Tier 2"/>
    <x v="0"/>
    <s v="North"/>
    <s v="India"/>
    <s v="Home Office"/>
    <d v="2023-04-20T00:00:00"/>
    <s v="ORD00387"/>
    <d v="2023-04-20T00:00:00"/>
    <d v="2023-04-23T00:00:00"/>
    <s v="Same Day"/>
    <s v="Punjab"/>
    <n v="974991"/>
    <s v="PROD0004"/>
    <s v="Biscuits"/>
    <s v="Biscuits - 525"/>
    <n v="6"/>
    <n v="0"/>
    <n v="715.23"/>
  </r>
  <r>
    <s v="CUST0090"/>
    <s v="Manoj"/>
    <s v="Iyer"/>
    <d v="1994-10-18T00:00:00"/>
    <n v="509.64"/>
    <n v="2023"/>
    <s v="Small"/>
    <s v="Tier 2"/>
    <x v="1"/>
    <s v="North"/>
    <s v="India"/>
    <s v="Home Office"/>
    <d v="2023-07-17T00:00:00"/>
    <s v="ORD00388"/>
    <d v="2023-07-16T00:00:00"/>
    <d v="2023-07-20T00:00:00"/>
    <s v="First Class"/>
    <s v="Punjab"/>
    <n v="697717"/>
    <s v="PROD0002"/>
    <s v="Bread"/>
    <s v="Bread - 321"/>
    <n v="9"/>
    <n v="0.15"/>
    <n v="60.8"/>
  </r>
  <r>
    <s v="CUST0090"/>
    <s v="Manoj"/>
    <s v="Iyer"/>
    <d v="1994-10-18T00:00:00"/>
    <n v="1973.61"/>
    <n v="2023"/>
    <s v="Large"/>
    <s v="Tier 2"/>
    <x v="2"/>
    <s v="North"/>
    <s v="India"/>
    <s v="Home Office"/>
    <d v="2023-07-28T00:00:00"/>
    <s v="ORD00389"/>
    <d v="2023-07-26T00:00:00"/>
    <d v="2023-07-31T00:00:00"/>
    <s v="Standard Class"/>
    <s v="Punjab"/>
    <n v="836677"/>
    <s v="PROD0012"/>
    <s v="Rice"/>
    <s v="Rice - 671"/>
    <n v="9"/>
    <n v="0"/>
    <n v="552.38"/>
  </r>
  <r>
    <s v="CUST0090"/>
    <s v="Manoj"/>
    <s v="Iyer"/>
    <d v="1994-10-18T00:00:00"/>
    <n v="1081.03"/>
    <n v="2024"/>
    <s v="Large"/>
    <s v="Tier 2"/>
    <x v="2"/>
    <s v="North"/>
    <s v="India"/>
    <s v="Home Office"/>
    <d v="2024-05-13T00:00:00"/>
    <s v="ORD00390"/>
    <d v="2024-05-12T00:00:00"/>
    <d v="2024-05-15T00:00:00"/>
    <s v="Standard Class"/>
    <s v="Punjab"/>
    <n v="469438"/>
    <s v="PROD0009"/>
    <s v="Wheat Flour"/>
    <s v="Wheat Flour - 206"/>
    <n v="3"/>
    <n v="0.1"/>
    <n v="184.28"/>
  </r>
  <r>
    <s v="CUST0091"/>
    <s v="Krishna"/>
    <s v="Venkatesh"/>
    <d v="1978-06-22T00:00:00"/>
    <n v="1161.24"/>
    <n v="2023"/>
    <s v="Medium"/>
    <s v="Tier 2"/>
    <x v="5"/>
    <s v="East"/>
    <s v="India"/>
    <s v="Home Office"/>
    <d v="2023-12-04T00:00:00"/>
    <s v="ORD00391"/>
    <d v="2023-11-29T00:00:00"/>
    <d v="2023-12-04T00:00:00"/>
    <s v="Second Class"/>
    <s v="Bihar"/>
    <n v="574379"/>
    <s v="PROD0011"/>
    <s v="Juice"/>
    <s v="Juice - 723"/>
    <n v="4"/>
    <n v="0"/>
    <n v="188.72"/>
  </r>
  <r>
    <s v="CUST0091"/>
    <s v="Krishna"/>
    <s v="Venkatesh"/>
    <d v="1978-06-22T00:00:00"/>
    <n v="442.64"/>
    <n v="2024"/>
    <s v="Small"/>
    <s v="Tier 2"/>
    <x v="5"/>
    <s v="East"/>
    <s v="India"/>
    <s v="Home Office"/>
    <d v="2024-01-17T00:00:00"/>
    <s v="ORD00392"/>
    <d v="2024-01-16T00:00:00"/>
    <d v="2024-01-18T00:00:00"/>
    <s v="Second Class"/>
    <s v="Bihar"/>
    <n v="332665"/>
    <s v="PROD0015"/>
    <s v="Soft Drinks"/>
    <s v="Soft Drinks - 100"/>
    <n v="1"/>
    <n v="0.1"/>
    <n v="24.3"/>
  </r>
  <r>
    <s v="CUST0091"/>
    <s v="Krishna"/>
    <s v="Venkatesh"/>
    <d v="1978-06-22T00:00:00"/>
    <n v="2075.2600000000002"/>
    <n v="2024"/>
    <s v="Small"/>
    <s v="Tier 2"/>
    <x v="3"/>
    <s v="East"/>
    <s v="India"/>
    <s v="Home Office"/>
    <d v="2024-02-28T00:00:00"/>
    <s v="ORD00393"/>
    <d v="2024-02-27T00:00:00"/>
    <d v="2024-03-03T00:00:00"/>
    <s v="Same Day"/>
    <s v="Bihar"/>
    <n v="582732"/>
    <s v="PROD0020"/>
    <s v="Paneer"/>
    <s v="Paneer - 122"/>
    <n v="5"/>
    <n v="0.1"/>
    <n v="450.12"/>
  </r>
  <r>
    <s v="CUST0091"/>
    <s v="Krishna"/>
    <s v="Venkatesh"/>
    <d v="1978-06-22T00:00:00"/>
    <n v="882.9"/>
    <n v="2024"/>
    <s v="Small"/>
    <s v="Tier 2"/>
    <x v="1"/>
    <s v="East"/>
    <s v="India"/>
    <s v="Home Office"/>
    <d v="2024-07-19T00:00:00"/>
    <s v="ORD00394"/>
    <d v="2024-07-17T00:00:00"/>
    <d v="2024-07-20T00:00:00"/>
    <s v="Standard Class"/>
    <s v="Bihar"/>
    <n v="696707"/>
    <s v="PROD0002"/>
    <s v="Bread"/>
    <s v="Bread - 241"/>
    <n v="5"/>
    <n v="0.1"/>
    <n v="110.32"/>
  </r>
  <r>
    <s v="CUST0091"/>
    <s v="Krishna"/>
    <s v="Venkatesh"/>
    <d v="1978-06-22T00:00:00"/>
    <n v="2403.54"/>
    <n v="2024"/>
    <s v="Large"/>
    <s v="Tier 2"/>
    <x v="3"/>
    <s v="East"/>
    <s v="India"/>
    <s v="Home Office"/>
    <d v="2024-10-10T00:00:00"/>
    <s v="ORD00395"/>
    <d v="2024-10-10T00:00:00"/>
    <d v="2024-10-15T00:00:00"/>
    <s v="Second Class"/>
    <s v="Bihar"/>
    <n v="139186"/>
    <s v="PROD0021"/>
    <s v="Milk"/>
    <s v="Milk - 840"/>
    <n v="6"/>
    <n v="0"/>
    <n v="472.25"/>
  </r>
  <r>
    <s v="CUST0091"/>
    <s v="Krishna"/>
    <s v="Venkatesh"/>
    <d v="1978-06-22T00:00:00"/>
    <n v="631.14"/>
    <n v="2025"/>
    <s v="Small"/>
    <s v="Tier 2"/>
    <x v="2"/>
    <s v="East"/>
    <s v="India"/>
    <s v="Home Office"/>
    <d v="2025-02-24T00:00:00"/>
    <s v="ORD00396"/>
    <d v="2025-02-21T00:00:00"/>
    <d v="2025-02-25T00:00:00"/>
    <s v="First Class"/>
    <s v="Bihar"/>
    <n v="883997"/>
    <s v="PROD0003"/>
    <s v="Pulses"/>
    <s v="Pulses - 490"/>
    <n v="2"/>
    <n v="0.2"/>
    <n v="94.87"/>
  </r>
  <r>
    <s v="CUST0091"/>
    <s v="Krishna"/>
    <s v="Venkatesh"/>
    <d v="1978-06-22T00:00:00"/>
    <n v="289.67"/>
    <n v="2025"/>
    <s v="Small"/>
    <s v="Tier 2"/>
    <x v="2"/>
    <s v="East"/>
    <s v="India"/>
    <s v="Home Office"/>
    <d v="2025-05-19T00:00:00"/>
    <s v="ORD00397"/>
    <d v="2025-05-15T00:00:00"/>
    <d v="2025-05-20T00:00:00"/>
    <s v="Second Class"/>
    <s v="Bihar"/>
    <n v="626806"/>
    <s v="PROD0003"/>
    <s v="Pulses"/>
    <s v="Pulses - 111"/>
    <n v="7"/>
    <n v="0.1"/>
    <n v="18.059999999999999"/>
  </r>
  <r>
    <s v="CUST0092"/>
    <s v="Sandeep"/>
    <s v="Kumar"/>
    <d v="1983-01-19T00:00:00"/>
    <n v="1058.02"/>
    <n v="2023"/>
    <s v="Medium"/>
    <s v="Tier 1"/>
    <x v="5"/>
    <s v="North"/>
    <s v="India"/>
    <s v="Consumer"/>
    <d v="2023-02-21T00:00:00"/>
    <s v="ORD00398"/>
    <d v="2023-02-21T00:00:00"/>
    <d v="2023-02-24T00:00:00"/>
    <s v="Same Day"/>
    <s v="Delhi"/>
    <n v="674779"/>
    <s v="PROD0019"/>
    <s v="Tea"/>
    <s v="Tea - 327"/>
    <n v="7"/>
    <n v="0.05"/>
    <n v="99.88"/>
  </r>
  <r>
    <s v="CUST0092"/>
    <s v="Sandeep"/>
    <s v="Kumar"/>
    <d v="1983-01-19T00:00:00"/>
    <n v="1460.93"/>
    <n v="2023"/>
    <s v="Large"/>
    <s v="Tier 1"/>
    <x v="5"/>
    <s v="North"/>
    <s v="India"/>
    <s v="Consumer"/>
    <d v="2023-06-07T00:00:00"/>
    <s v="ORD00399"/>
    <d v="2023-06-06T00:00:00"/>
    <d v="2023-06-08T00:00:00"/>
    <s v="First Class"/>
    <s v="Delhi"/>
    <n v="611559"/>
    <s v="PROD0011"/>
    <s v="Juice"/>
    <s v="Juice - 187"/>
    <n v="7"/>
    <n v="0.2"/>
    <n v="378.91"/>
  </r>
  <r>
    <s v="CUST0092"/>
    <s v="Sandeep"/>
    <s v="Kumar"/>
    <d v="1983-01-19T00:00:00"/>
    <n v="4487.3999999999996"/>
    <n v="2024"/>
    <s v="Medium"/>
    <s v="Tier 1"/>
    <x v="5"/>
    <s v="North"/>
    <s v="India"/>
    <s v="Consumer"/>
    <d v="2024-02-08T00:00:00"/>
    <s v="ORD00400"/>
    <d v="2024-02-07T00:00:00"/>
    <d v="2024-02-08T00:00:00"/>
    <s v="Second Class"/>
    <s v="Delhi"/>
    <n v="817999"/>
    <s v="PROD0017"/>
    <s v="Coffee"/>
    <s v="Coffee - 674"/>
    <n v="10"/>
    <n v="0.1"/>
    <n v="555.87"/>
  </r>
  <r>
    <s v="CUST0092"/>
    <s v="Sandeep"/>
    <s v="Kumar"/>
    <d v="1983-01-19T00:00:00"/>
    <n v="1563.1"/>
    <n v="2024"/>
    <s v="Medium"/>
    <s v="Tier 1"/>
    <x v="0"/>
    <s v="North"/>
    <s v="India"/>
    <s v="Consumer"/>
    <d v="2024-11-20T00:00:00"/>
    <s v="ORD00401"/>
    <d v="2024-11-20T00:00:00"/>
    <d v="2024-11-23T00:00:00"/>
    <s v="First Class"/>
    <s v="Delhi"/>
    <n v="466704"/>
    <s v="PROD0007"/>
    <s v="Chips"/>
    <s v="Chips - 215"/>
    <n v="7"/>
    <n v="0"/>
    <n v="167.48"/>
  </r>
  <r>
    <s v="CUST0092"/>
    <s v="Sandeep"/>
    <s v="Kumar"/>
    <d v="1983-01-19T00:00:00"/>
    <n v="555.41"/>
    <n v="2025"/>
    <s v="Large"/>
    <s v="Tier 1"/>
    <x v="0"/>
    <s v="North"/>
    <s v="India"/>
    <s v="Consumer"/>
    <d v="2025-01-20T00:00:00"/>
    <s v="ORD00402"/>
    <d v="2025-01-19T00:00:00"/>
    <d v="2025-01-22T00:00:00"/>
    <s v="Same Day"/>
    <s v="Delhi"/>
    <n v="217830"/>
    <s v="PROD0001"/>
    <s v="Namkeen"/>
    <s v="Namkeen - 738"/>
    <n v="3"/>
    <n v="0.2"/>
    <n v="66.680000000000007"/>
  </r>
  <r>
    <s v="CUST0093"/>
    <s v="Sandeep"/>
    <s v="Subramaniam"/>
    <d v="1982-01-03T00:00:00"/>
    <n v="316.27"/>
    <n v="2023"/>
    <s v="Large"/>
    <s v="Tier 2"/>
    <x v="1"/>
    <s v="West"/>
    <s v="India"/>
    <s v="Home Office"/>
    <d v="2023-06-03T00:00:00"/>
    <s v="ORD00403"/>
    <d v="2023-06-01T00:00:00"/>
    <d v="2023-06-03T00:00:00"/>
    <s v="First Class"/>
    <s v="Maharashtra"/>
    <n v="313701"/>
    <s v="PROD0002"/>
    <s v="Bread"/>
    <s v="Bread - 451"/>
    <n v="2"/>
    <n v="0.05"/>
    <n v="17.97"/>
  </r>
  <r>
    <s v="CUST0093"/>
    <s v="Sandeep"/>
    <s v="Subramaniam"/>
    <d v="1982-01-03T00:00:00"/>
    <n v="1275.3900000000001"/>
    <n v="2023"/>
    <s v="Large"/>
    <s v="Tier 2"/>
    <x v="0"/>
    <s v="West"/>
    <s v="India"/>
    <s v="Home Office"/>
    <d v="2023-09-08T00:00:00"/>
    <s v="ORD00404"/>
    <d v="2023-09-06T00:00:00"/>
    <d v="2023-09-08T00:00:00"/>
    <s v="Same Day"/>
    <s v="Maharashtra"/>
    <n v="494900"/>
    <s v="PROD0004"/>
    <s v="Biscuits"/>
    <s v="Biscuits - 868"/>
    <n v="5"/>
    <n v="0.1"/>
    <n v="343.05"/>
  </r>
  <r>
    <s v="CUST0093"/>
    <s v="Sandeep"/>
    <s v="Subramaniam"/>
    <d v="1982-01-03T00:00:00"/>
    <n v="142.62"/>
    <n v="2024"/>
    <s v="Small"/>
    <s v="Tier 2"/>
    <x v="0"/>
    <s v="West"/>
    <s v="India"/>
    <s v="Home Office"/>
    <d v="2024-09-29T00:00:00"/>
    <s v="ORD00405"/>
    <d v="2024-09-27T00:00:00"/>
    <d v="2024-10-02T00:00:00"/>
    <s v="Standard Class"/>
    <s v="Maharashtra"/>
    <n v="786563"/>
    <s v="PROD0004"/>
    <s v="Biscuits"/>
    <s v="Biscuits - 639"/>
    <n v="1"/>
    <n v="0"/>
    <n v="19.28"/>
  </r>
  <r>
    <s v="CUST0093"/>
    <s v="Sandeep"/>
    <s v="Subramaniam"/>
    <d v="1982-01-03T00:00:00"/>
    <n v="1437.48"/>
    <n v="2025"/>
    <s v="Medium"/>
    <s v="Tier 2"/>
    <x v="4"/>
    <s v="West"/>
    <s v="India"/>
    <s v="Home Office"/>
    <d v="2025-05-02T00:00:00"/>
    <s v="ORD00406"/>
    <d v="2025-05-02T00:00:00"/>
    <d v="2025-05-03T00:00:00"/>
    <s v="Standard Class"/>
    <s v="Maharashtra"/>
    <n v="342397"/>
    <s v="PROD0016"/>
    <s v="Apples"/>
    <s v="Apples - 497"/>
    <n v="5"/>
    <n v="0.15"/>
    <n v="227.22"/>
  </r>
  <r>
    <s v="CUST0093"/>
    <s v="Sandeep"/>
    <s v="Subramaniam"/>
    <d v="1982-01-03T00:00:00"/>
    <n v="3139.56"/>
    <n v="2025"/>
    <s v="Medium"/>
    <s v="Tier 2"/>
    <x v="5"/>
    <s v="West"/>
    <s v="India"/>
    <s v="Home Office"/>
    <d v="2025-06-10T00:00:00"/>
    <s v="ORD00407"/>
    <d v="2025-06-08T00:00:00"/>
    <d v="2025-06-10T00:00:00"/>
    <s v="Same Day"/>
    <s v="Maharashtra"/>
    <n v="141683"/>
    <s v="PROD0019"/>
    <s v="Tea"/>
    <s v="Tea - 423"/>
    <n v="8"/>
    <n v="0.1"/>
    <n v="239.88"/>
  </r>
  <r>
    <s v="CUST0094"/>
    <s v="Riya"/>
    <s v="Das"/>
    <d v="1989-07-31T00:00:00"/>
    <n v="73.489999999999995"/>
    <n v="2023"/>
    <s v="Large"/>
    <s v="Tier 2"/>
    <x v="1"/>
    <s v="South"/>
    <s v="India"/>
    <s v="Corporate"/>
    <d v="2023-11-10T00:00:00"/>
    <s v="ORD00408"/>
    <d v="2023-11-09T00:00:00"/>
    <d v="2023-11-12T00:00:00"/>
    <s v="Second Class"/>
    <s v="Tamil Nadu"/>
    <n v="951331"/>
    <s v="PROD0018"/>
    <s v="Buns"/>
    <s v="Buns - 502"/>
    <n v="3"/>
    <n v="0.15"/>
    <n v="11.43"/>
  </r>
  <r>
    <s v="CUST0094"/>
    <s v="Riya"/>
    <s v="Das"/>
    <d v="1989-07-31T00:00:00"/>
    <n v="2505.38"/>
    <n v="2024"/>
    <s v="Small"/>
    <s v="Tier 2"/>
    <x v="4"/>
    <s v="South"/>
    <s v="India"/>
    <s v="Corporate"/>
    <d v="2024-06-28T00:00:00"/>
    <s v="ORD00409"/>
    <d v="2024-06-26T00:00:00"/>
    <d v="2024-07-01T00:00:00"/>
    <s v="First Class"/>
    <s v="Tamil Nadu"/>
    <n v="458388"/>
    <s v="PROD0014"/>
    <s v="Tomatoes"/>
    <s v="Tomatoes - 999"/>
    <n v="7"/>
    <n v="0.2"/>
    <n v="869.64"/>
  </r>
  <r>
    <s v="CUST0095"/>
    <s v="Aadhya"/>
    <s v="Chatterjee"/>
    <d v="2000-03-31T00:00:00"/>
    <n v="793.15"/>
    <n v="2023"/>
    <s v="Medium"/>
    <s v="Tier 2"/>
    <x v="2"/>
    <s v="Central"/>
    <s v="India"/>
    <s v="Corporate"/>
    <d v="2023-04-02T00:00:00"/>
    <s v="ORD00410"/>
    <d v="2023-03-31T00:00:00"/>
    <d v="2023-04-03T00:00:00"/>
    <s v="First Class"/>
    <s v="Madhya Pradesh"/>
    <n v="316800"/>
    <s v="PROD0003"/>
    <s v="Pulses"/>
    <s v="Pulses - 993"/>
    <n v="4"/>
    <n v="0.1"/>
    <n v="76"/>
  </r>
  <r>
    <s v="CUST0095"/>
    <s v="Aadhya"/>
    <s v="Chatterjee"/>
    <d v="2000-03-31T00:00:00"/>
    <n v="3135.06"/>
    <n v="2023"/>
    <s v="Medium"/>
    <s v="Tier 2"/>
    <x v="2"/>
    <s v="Central"/>
    <s v="India"/>
    <s v="Corporate"/>
    <d v="2023-05-22T00:00:00"/>
    <s v="ORD00411"/>
    <d v="2023-05-21T00:00:00"/>
    <d v="2023-05-24T00:00:00"/>
    <s v="First Class"/>
    <s v="Madhya Pradesh"/>
    <n v="788108"/>
    <s v="PROD0012"/>
    <s v="Rice"/>
    <s v="Rice - 694"/>
    <n v="9"/>
    <n v="0"/>
    <n v="968.03"/>
  </r>
  <r>
    <s v="CUST0095"/>
    <s v="Aadhya"/>
    <s v="Chatterjee"/>
    <d v="2000-03-31T00:00:00"/>
    <n v="488.78"/>
    <n v="2024"/>
    <s v="Large"/>
    <s v="Tier 2"/>
    <x v="0"/>
    <s v="Central"/>
    <s v="India"/>
    <s v="Corporate"/>
    <d v="2024-01-28T00:00:00"/>
    <s v="ORD00412"/>
    <d v="2024-01-27T00:00:00"/>
    <d v="2024-01-30T00:00:00"/>
    <s v="Same Day"/>
    <s v="Madhya Pradesh"/>
    <n v="902616"/>
    <s v="PROD0007"/>
    <s v="Chips"/>
    <s v="Chips - 425"/>
    <n v="2"/>
    <n v="0.15"/>
    <n v="41.8"/>
  </r>
  <r>
    <s v="CUST0095"/>
    <s v="Aadhya"/>
    <s v="Chatterjee"/>
    <d v="2000-03-31T00:00:00"/>
    <n v="930.56"/>
    <n v="2024"/>
    <s v="Small"/>
    <s v="Tier 2"/>
    <x v="1"/>
    <s v="Central"/>
    <s v="India"/>
    <s v="Corporate"/>
    <d v="2024-06-18T00:00:00"/>
    <s v="ORD00413"/>
    <d v="2024-06-17T00:00:00"/>
    <d v="2024-06-20T00:00:00"/>
    <s v="Same Day"/>
    <s v="Madhya Pradesh"/>
    <n v="237935"/>
    <s v="PROD0018"/>
    <s v="Buns"/>
    <s v="Buns - 521"/>
    <n v="5"/>
    <n v="0.2"/>
    <n v="296.14"/>
  </r>
  <r>
    <s v="CUST0095"/>
    <s v="Aadhya"/>
    <s v="Chatterjee"/>
    <d v="2000-03-31T00:00:00"/>
    <n v="2845.17"/>
    <n v="2024"/>
    <s v="Small"/>
    <s v="Tier 2"/>
    <x v="3"/>
    <s v="Central"/>
    <s v="India"/>
    <s v="Corporate"/>
    <d v="2024-11-05T00:00:00"/>
    <s v="ORD00414"/>
    <d v="2024-11-03T00:00:00"/>
    <d v="2024-11-05T00:00:00"/>
    <s v="First Class"/>
    <s v="Madhya Pradesh"/>
    <n v="820767"/>
    <s v="PROD0021"/>
    <s v="Milk"/>
    <s v="Milk - 880"/>
    <n v="10"/>
    <n v="0.1"/>
    <n v="626.26"/>
  </r>
  <r>
    <s v="CUST0095"/>
    <s v="Aadhya"/>
    <s v="Chatterjee"/>
    <d v="2000-03-31T00:00:00"/>
    <n v="539.9"/>
    <n v="2025"/>
    <s v="Medium"/>
    <s v="Tier 2"/>
    <x v="4"/>
    <s v="Central"/>
    <s v="India"/>
    <s v="Corporate"/>
    <d v="2025-01-18T00:00:00"/>
    <s v="ORD00415"/>
    <d v="2025-01-17T00:00:00"/>
    <d v="2025-01-20T00:00:00"/>
    <s v="Standard Class"/>
    <s v="Madhya Pradesh"/>
    <n v="596864"/>
    <s v="PROD0014"/>
    <s v="Tomatoes"/>
    <s v="Tomatoes - 181"/>
    <n v="8"/>
    <n v="0.2"/>
    <n v="124.94"/>
  </r>
  <r>
    <s v="CUST0096"/>
    <s v="Deepak"/>
    <s v="Mukherjee"/>
    <d v="1995-04-23T00:00:00"/>
    <n v="441"/>
    <n v="2023"/>
    <s v="Small"/>
    <s v="Tier 2"/>
    <x v="4"/>
    <s v="West"/>
    <s v="India"/>
    <s v="Home Office"/>
    <d v="2023-07-17T00:00:00"/>
    <s v="ORD00416"/>
    <d v="2023-07-17T00:00:00"/>
    <d v="2023-07-19T00:00:00"/>
    <s v="First Class"/>
    <s v="Gujarat"/>
    <n v="560623"/>
    <s v="PROD0008"/>
    <s v="Onions"/>
    <s v="Onions - 882"/>
    <n v="1"/>
    <n v="0.05"/>
    <n v="51.49"/>
  </r>
  <r>
    <s v="CUST0096"/>
    <s v="Deepak"/>
    <s v="Mukherjee"/>
    <d v="1995-04-23T00:00:00"/>
    <n v="2616.3000000000002"/>
    <n v="2023"/>
    <s v="Large"/>
    <s v="Tier 2"/>
    <x v="0"/>
    <s v="West"/>
    <s v="India"/>
    <s v="Home Office"/>
    <d v="2023-08-21T00:00:00"/>
    <s v="ORD00417"/>
    <d v="2023-08-20T00:00:00"/>
    <d v="2023-08-21T00:00:00"/>
    <s v="Second Class"/>
    <s v="Gujarat"/>
    <n v="513296"/>
    <s v="PROD0001"/>
    <s v="Namkeen"/>
    <s v="Namkeen - 804"/>
    <n v="6"/>
    <n v="0"/>
    <n v="466.4"/>
  </r>
  <r>
    <s v="CUST0097"/>
    <s v="Ananya"/>
    <s v="Subramaniam"/>
    <d v="1968-10-21T00:00:00"/>
    <n v="256.41000000000003"/>
    <n v="2024"/>
    <s v="Large"/>
    <s v="Tier 1"/>
    <x v="0"/>
    <s v="North"/>
    <s v="India"/>
    <s v="Consumer"/>
    <d v="2024-07-03T00:00:00"/>
    <s v="ORD00418"/>
    <d v="2024-07-03T00:00:00"/>
    <d v="2024-07-04T00:00:00"/>
    <s v="Standard Class"/>
    <s v="Delhi"/>
    <n v="870881"/>
    <s v="PROD0004"/>
    <s v="Biscuits"/>
    <s v="Biscuits - 996"/>
    <n v="1"/>
    <n v="0.05"/>
    <n v="47.97"/>
  </r>
  <r>
    <s v="CUST0097"/>
    <s v="Ananya"/>
    <s v="Subramaniam"/>
    <d v="1968-10-21T00:00:00"/>
    <n v="105.57"/>
    <n v="2024"/>
    <s v="Medium"/>
    <s v="Tier 1"/>
    <x v="4"/>
    <s v="North"/>
    <s v="India"/>
    <s v="Consumer"/>
    <d v="2024-08-10T00:00:00"/>
    <s v="ORD00419"/>
    <d v="2024-08-08T00:00:00"/>
    <d v="2024-08-11T00:00:00"/>
    <s v="First Class"/>
    <s v="Delhi"/>
    <n v="542983"/>
    <s v="PROD0008"/>
    <s v="Onions"/>
    <s v="Onions - 628"/>
    <n v="1"/>
    <n v="0.05"/>
    <n v="17.88"/>
  </r>
  <r>
    <s v="CUST0097"/>
    <s v="Ananya"/>
    <s v="Subramaniam"/>
    <d v="1968-10-21T00:00:00"/>
    <n v="3879.65"/>
    <n v="2024"/>
    <s v="Large"/>
    <s v="Tier 1"/>
    <x v="1"/>
    <s v="North"/>
    <s v="India"/>
    <s v="Consumer"/>
    <d v="2024-08-31T00:00:00"/>
    <s v="ORD00420"/>
    <d v="2024-08-31T00:00:00"/>
    <d v="2024-09-04T00:00:00"/>
    <s v="Same Day"/>
    <s v="Delhi"/>
    <n v="288503"/>
    <s v="PROD0006"/>
    <s v="Cookies"/>
    <s v="Cookies - 155"/>
    <n v="9"/>
    <n v="0.05"/>
    <n v="1159.8900000000001"/>
  </r>
  <r>
    <s v="CUST0097"/>
    <s v="Ananya"/>
    <s v="Subramaniam"/>
    <d v="1968-10-21T00:00:00"/>
    <n v="626.01"/>
    <n v="2025"/>
    <s v="Large"/>
    <s v="Tier 1"/>
    <x v="0"/>
    <s v="North"/>
    <s v="India"/>
    <s v="Consumer"/>
    <d v="2025-01-31T00:00:00"/>
    <s v="ORD00421"/>
    <d v="2025-01-30T00:00:00"/>
    <d v="2025-02-01T00:00:00"/>
    <s v="First Class"/>
    <s v="Delhi"/>
    <n v="576769"/>
    <s v="PROD0004"/>
    <s v="Biscuits"/>
    <s v="Biscuits - 659"/>
    <n v="3"/>
    <n v="0"/>
    <n v="115.98"/>
  </r>
  <r>
    <s v="CUST0098"/>
    <s v="Ganesh"/>
    <s v="Menon"/>
    <d v="1995-03-08T00:00:00"/>
    <n v="1094.46"/>
    <n v="2023"/>
    <s v="Small"/>
    <s v="Tier 1"/>
    <x v="2"/>
    <s v="North"/>
    <s v="India"/>
    <s v="Consumer"/>
    <d v="2023-11-30T00:00:00"/>
    <s v="ORD00422"/>
    <d v="2023-11-28T00:00:00"/>
    <d v="2023-12-02T00:00:00"/>
    <s v="Standard Class"/>
    <s v="Delhi"/>
    <n v="862182"/>
    <s v="PROD0003"/>
    <s v="Pulses"/>
    <s v="Pulses - 828"/>
    <n v="3"/>
    <n v="0"/>
    <n v="84.66"/>
  </r>
  <r>
    <s v="CUST0099"/>
    <s v="Rohan"/>
    <s v="Sharma"/>
    <d v="1967-01-28T00:00:00"/>
    <n v="1236.28"/>
    <n v="2023"/>
    <s v="Small"/>
    <s v="Tier 2"/>
    <x v="5"/>
    <s v="West"/>
    <s v="India"/>
    <s v="Home Office"/>
    <d v="2023-06-13T00:00:00"/>
    <s v="ORD00423"/>
    <d v="2023-06-13T00:00:00"/>
    <d v="2023-06-15T00:00:00"/>
    <s v="First Class"/>
    <s v="Rajasthan"/>
    <n v="906519"/>
    <s v="PROD0019"/>
    <s v="Tea"/>
    <s v="Tea - 886"/>
    <n v="3"/>
    <n v="0.1"/>
    <n v="384.97"/>
  </r>
  <r>
    <s v="CUST0099"/>
    <s v="Rohan"/>
    <s v="Sharma"/>
    <d v="1967-01-28T00:00:00"/>
    <n v="674.28"/>
    <n v="2024"/>
    <s v="Small"/>
    <s v="Tier 2"/>
    <x v="2"/>
    <s v="West"/>
    <s v="India"/>
    <s v="Home Office"/>
    <d v="2024-01-24T00:00:00"/>
    <s v="ORD00424"/>
    <d v="2024-01-23T00:00:00"/>
    <d v="2024-01-26T00:00:00"/>
    <s v="First Class"/>
    <s v="Rajasthan"/>
    <n v="312705"/>
    <s v="PROD0012"/>
    <s v="Rice"/>
    <s v="Rice - 529"/>
    <n v="5"/>
    <n v="0.2"/>
    <n v="228.1"/>
  </r>
  <r>
    <s v="CUST0099"/>
    <s v="Rohan"/>
    <s v="Sharma"/>
    <d v="1967-01-28T00:00:00"/>
    <n v="1967.34"/>
    <n v="2024"/>
    <s v="Small"/>
    <s v="Tier 2"/>
    <x v="4"/>
    <s v="West"/>
    <s v="India"/>
    <s v="Home Office"/>
    <d v="2024-06-08T00:00:00"/>
    <s v="ORD00425"/>
    <d v="2024-06-07T00:00:00"/>
    <d v="2024-06-08T00:00:00"/>
    <s v="First Class"/>
    <s v="Rajasthan"/>
    <n v="717466"/>
    <s v="PROD0014"/>
    <s v="Tomatoes"/>
    <s v="Tomatoes - 112"/>
    <n v="8"/>
    <n v="0.05"/>
    <n v="419.14"/>
  </r>
  <r>
    <s v="CUST0099"/>
    <s v="Rohan"/>
    <s v="Sharma"/>
    <d v="1967-01-28T00:00:00"/>
    <n v="1462.23"/>
    <n v="2024"/>
    <s v="Medium"/>
    <s v="Tier 2"/>
    <x v="2"/>
    <s v="West"/>
    <s v="India"/>
    <s v="Home Office"/>
    <d v="2024-07-19T00:00:00"/>
    <s v="ORD00426"/>
    <d v="2024-07-17T00:00:00"/>
    <d v="2024-07-19T00:00:00"/>
    <s v="First Class"/>
    <s v="Rajasthan"/>
    <n v="151295"/>
    <s v="PROD0009"/>
    <s v="Wheat Flour"/>
    <s v="Wheat Flour - 564"/>
    <n v="7"/>
    <n v="0.1"/>
    <n v="336.36"/>
  </r>
  <r>
    <s v="CUST0099"/>
    <s v="Rohan"/>
    <s v="Sharma"/>
    <d v="1967-01-28T00:00:00"/>
    <n v="180.62"/>
    <n v="2024"/>
    <s v="Medium"/>
    <s v="Tier 2"/>
    <x v="3"/>
    <s v="West"/>
    <s v="India"/>
    <s v="Home Office"/>
    <d v="2024-09-22T00:00:00"/>
    <s v="ORD00427"/>
    <d v="2024-09-18T00:00:00"/>
    <d v="2024-09-23T00:00:00"/>
    <s v="Second Class"/>
    <s v="Rajasthan"/>
    <n v="191962"/>
    <s v="PROD0005"/>
    <s v="Yogurt"/>
    <s v="Yogurt - 156"/>
    <n v="6"/>
    <n v="0.2"/>
    <n v="10.79"/>
  </r>
  <r>
    <s v="CUST0100"/>
    <s v="Suresh"/>
    <s v="Iyer"/>
    <d v="1985-06-06T00:00:00"/>
    <n v="1331.61"/>
    <n v="2024"/>
    <s v="Small"/>
    <s v="Tier 2"/>
    <x v="3"/>
    <s v="North"/>
    <s v="India"/>
    <s v="Home Office"/>
    <d v="2024-03-06T00:00:00"/>
    <s v="ORD00428"/>
    <d v="2024-03-02T00:00:00"/>
    <d v="2024-03-07T00:00:00"/>
    <s v="Standard Class"/>
    <s v="Uttarakhand"/>
    <n v="885734"/>
    <s v="PROD0005"/>
    <s v="Yogurt"/>
    <s v="Yogurt - 788"/>
    <n v="5"/>
    <n v="0.15"/>
    <n v="346.16"/>
  </r>
  <r>
    <s v="CUST0101"/>
    <s v="Ayesha"/>
    <s v="Das"/>
    <d v="1987-03-06T00:00:00"/>
    <n v="614.48"/>
    <n v="2023"/>
    <s v="Small"/>
    <s v="Tier 2"/>
    <x v="1"/>
    <s v="North"/>
    <s v="India"/>
    <s v="Consumer"/>
    <d v="2023-02-09T00:00:00"/>
    <s v="ORD00429"/>
    <d v="2023-02-06T00:00:00"/>
    <d v="2023-02-09T00:00:00"/>
    <s v="Same Day"/>
    <s v="Uttar Pradesh"/>
    <n v="828361"/>
    <s v="PROD0018"/>
    <s v="Buns"/>
    <s v="Buns - 488"/>
    <n v="2"/>
    <n v="0.2"/>
    <n v="132.19999999999999"/>
  </r>
  <r>
    <s v="CUST0101"/>
    <s v="Ayesha"/>
    <s v="Das"/>
    <d v="1987-03-06T00:00:00"/>
    <n v="1617.39"/>
    <n v="2023"/>
    <s v="Large"/>
    <s v="Tier 2"/>
    <x v="1"/>
    <s v="North"/>
    <s v="India"/>
    <s v="Consumer"/>
    <d v="2023-04-06T00:00:00"/>
    <s v="ORD00430"/>
    <d v="2023-04-06T00:00:00"/>
    <d v="2023-04-07T00:00:00"/>
    <s v="Same Day"/>
    <s v="Uttar Pradesh"/>
    <n v="607157"/>
    <s v="PROD0018"/>
    <s v="Buns"/>
    <s v="Buns - 639"/>
    <n v="7"/>
    <n v="0.15"/>
    <n v="182.3"/>
  </r>
  <r>
    <s v="CUST0101"/>
    <s v="Ayesha"/>
    <s v="Das"/>
    <d v="1987-03-06T00:00:00"/>
    <n v="899.96"/>
    <n v="2023"/>
    <s v="Large"/>
    <s v="Tier 2"/>
    <x v="2"/>
    <s v="North"/>
    <s v="India"/>
    <s v="Consumer"/>
    <d v="2023-11-07T00:00:00"/>
    <s v="ORD00431"/>
    <d v="2023-11-03T00:00:00"/>
    <d v="2023-11-08T00:00:00"/>
    <s v="Second Class"/>
    <s v="Uttar Pradesh"/>
    <n v="236014"/>
    <s v="PROD0003"/>
    <s v="Pulses"/>
    <s v="Pulses - 719"/>
    <n v="5"/>
    <n v="0.2"/>
    <n v="130.44999999999999"/>
  </r>
  <r>
    <s v="CUST0101"/>
    <s v="Ayesha"/>
    <s v="Das"/>
    <d v="1987-03-06T00:00:00"/>
    <n v="3163.59"/>
    <n v="2025"/>
    <s v="Small"/>
    <s v="Tier 2"/>
    <x v="0"/>
    <s v="North"/>
    <s v="India"/>
    <s v="Consumer"/>
    <d v="2025-02-27T00:00:00"/>
    <s v="ORD00432"/>
    <d v="2025-02-25T00:00:00"/>
    <d v="2025-02-27T00:00:00"/>
    <s v="Second Class"/>
    <s v="Uttar Pradesh"/>
    <n v="302957"/>
    <s v="PROD0004"/>
    <s v="Biscuits"/>
    <s v="Biscuits - 608"/>
    <n v="9"/>
    <n v="0.05"/>
    <n v="625.6"/>
  </r>
  <r>
    <s v="CUST0102"/>
    <s v="Farhan"/>
    <s v="Raghavan"/>
    <d v="1965-04-01T00:00:00"/>
    <n v="1534.4"/>
    <n v="2023"/>
    <s v="Large"/>
    <s v="Tier 2"/>
    <x v="5"/>
    <s v="South"/>
    <s v="India"/>
    <s v="Consumer"/>
    <d v="2023-01-27T00:00:00"/>
    <s v="ORD00433"/>
    <d v="2023-01-25T00:00:00"/>
    <d v="2023-01-28T00:00:00"/>
    <s v="First Class"/>
    <s v="Andhra Pradesh"/>
    <n v="111846"/>
    <s v="PROD0019"/>
    <s v="Tea"/>
    <s v="Tea - 855"/>
    <n v="4"/>
    <n v="0.05"/>
    <n v="267.31"/>
  </r>
  <r>
    <s v="CUST0103"/>
    <s v="Diya"/>
    <s v="Deshmukh"/>
    <d v="1996-03-20T00:00:00"/>
    <n v="2044.8"/>
    <n v="2023"/>
    <s v="Medium"/>
    <s v="Tier 2"/>
    <x v="4"/>
    <s v="East"/>
    <s v="India"/>
    <s v="Consumer"/>
    <d v="2023-09-20T00:00:00"/>
    <s v="ORD00434"/>
    <d v="2023-09-18T00:00:00"/>
    <d v="2023-09-21T00:00:00"/>
    <s v="Same Day"/>
    <s v="Bihar"/>
    <n v="972460"/>
    <s v="PROD0014"/>
    <s v="Tomatoes"/>
    <s v="Tomatoes - 407"/>
    <n v="9"/>
    <n v="0.2"/>
    <n v="106"/>
  </r>
  <r>
    <s v="CUST0103"/>
    <s v="Diya"/>
    <s v="Deshmukh"/>
    <d v="1996-03-20T00:00:00"/>
    <n v="2637.33"/>
    <n v="2023"/>
    <s v="Medium"/>
    <s v="Tier 2"/>
    <x v="3"/>
    <s v="East"/>
    <s v="India"/>
    <s v="Consumer"/>
    <d v="2023-10-16T00:00:00"/>
    <s v="ORD00435"/>
    <d v="2023-10-16T00:00:00"/>
    <d v="2023-10-17T00:00:00"/>
    <s v="First Class"/>
    <s v="Bihar"/>
    <n v="757667"/>
    <s v="PROD0005"/>
    <s v="Yogurt"/>
    <s v="Yogurt - 438"/>
    <n v="6"/>
    <n v="0.05"/>
    <n v="856.73"/>
  </r>
  <r>
    <s v="CUST0103"/>
    <s v="Diya"/>
    <s v="Deshmukh"/>
    <d v="1996-03-20T00:00:00"/>
    <n v="3257.38"/>
    <n v="2024"/>
    <s v="Large"/>
    <s v="Tier 2"/>
    <x v="5"/>
    <s v="East"/>
    <s v="India"/>
    <s v="Consumer"/>
    <d v="2024-12-09T00:00:00"/>
    <s v="ORD00436"/>
    <d v="2024-12-07T00:00:00"/>
    <d v="2024-12-10T00:00:00"/>
    <s v="Same Day"/>
    <s v="Bihar"/>
    <n v="318379"/>
    <s v="PROD0011"/>
    <s v="Juice"/>
    <s v="Juice - 573"/>
    <n v="7"/>
    <n v="0"/>
    <n v="978.95"/>
  </r>
  <r>
    <s v="CUST0103"/>
    <s v="Diya"/>
    <s v="Deshmukh"/>
    <d v="1996-03-20T00:00:00"/>
    <n v="310.68"/>
    <n v="2025"/>
    <s v="Medium"/>
    <s v="Tier 2"/>
    <x v="0"/>
    <s v="East"/>
    <s v="India"/>
    <s v="Consumer"/>
    <d v="2025-03-21T00:00:00"/>
    <s v="ORD00437"/>
    <d v="2025-03-20T00:00:00"/>
    <d v="2025-03-21T00:00:00"/>
    <s v="First Class"/>
    <s v="Bihar"/>
    <n v="698717"/>
    <s v="PROD0004"/>
    <s v="Biscuits"/>
    <s v="Biscuits - 439"/>
    <n v="6"/>
    <n v="0"/>
    <n v="41.67"/>
  </r>
  <r>
    <s v="CUST0104"/>
    <s v="Divya"/>
    <s v="Menon"/>
    <d v="1970-06-12T00:00:00"/>
    <n v="2164.3200000000002"/>
    <n v="2023"/>
    <s v="Medium"/>
    <s v="Tier 1"/>
    <x v="1"/>
    <s v="East"/>
    <s v="India"/>
    <s v="Corporate"/>
    <d v="2023-05-01T00:00:00"/>
    <s v="ORD00438"/>
    <d v="2023-04-30T00:00:00"/>
    <d v="2023-05-04T00:00:00"/>
    <s v="Standard Class"/>
    <s v="West Bengal"/>
    <n v="969749"/>
    <s v="PROD0006"/>
    <s v="Cookies"/>
    <s v="Cookies - 978"/>
    <n v="6"/>
    <n v="0"/>
    <n v="376.94"/>
  </r>
  <r>
    <s v="CUST0104"/>
    <s v="Divya"/>
    <s v="Menon"/>
    <d v="1970-06-12T00:00:00"/>
    <n v="520.04999999999995"/>
    <n v="2023"/>
    <s v="Medium"/>
    <s v="Tier 1"/>
    <x v="1"/>
    <s v="East"/>
    <s v="India"/>
    <s v="Corporate"/>
    <d v="2023-07-11T00:00:00"/>
    <s v="ORD00439"/>
    <d v="2023-07-11T00:00:00"/>
    <d v="2023-07-13T00:00:00"/>
    <s v="Same Day"/>
    <s v="West Bengal"/>
    <n v="937838"/>
    <s v="PROD0002"/>
    <s v="Bread"/>
    <s v="Bread - 637"/>
    <n v="5"/>
    <n v="0"/>
    <n v="148.47"/>
  </r>
  <r>
    <s v="CUST0104"/>
    <s v="Divya"/>
    <s v="Menon"/>
    <d v="1970-06-12T00:00:00"/>
    <n v="2363.09"/>
    <n v="2024"/>
    <s v="Small"/>
    <s v="Tier 1"/>
    <x v="5"/>
    <s v="East"/>
    <s v="India"/>
    <s v="Corporate"/>
    <d v="2024-09-03T00:00:00"/>
    <s v="ORD00440"/>
    <d v="2024-09-01T00:00:00"/>
    <d v="2024-09-04T00:00:00"/>
    <s v="Same Day"/>
    <s v="West Bengal"/>
    <n v="962074"/>
    <s v="PROD0017"/>
    <s v="Coffee"/>
    <s v="Coffee - 294"/>
    <n v="6"/>
    <n v="0.15"/>
    <n v="737.67"/>
  </r>
  <r>
    <s v="CUST0104"/>
    <s v="Divya"/>
    <s v="Menon"/>
    <d v="1970-06-12T00:00:00"/>
    <n v="1397.6"/>
    <n v="2025"/>
    <s v="Small"/>
    <s v="Tier 1"/>
    <x v="0"/>
    <s v="East"/>
    <s v="India"/>
    <s v="Corporate"/>
    <d v="2025-06-04T00:00:00"/>
    <s v="ORD00441"/>
    <d v="2025-06-04T00:00:00"/>
    <d v="2025-06-09T00:00:00"/>
    <s v="Second Class"/>
    <s v="West Bengal"/>
    <n v="146168"/>
    <s v="PROD0004"/>
    <s v="Biscuits"/>
    <s v="Biscuits - 235"/>
    <n v="4"/>
    <n v="0.05"/>
    <n v="232.39"/>
  </r>
  <r>
    <s v="CUST0105"/>
    <s v="Imran"/>
    <s v="Naidu"/>
    <d v="1990-01-27T00:00:00"/>
    <n v="123.16"/>
    <n v="2023"/>
    <s v="Small"/>
    <s v="Tier 2"/>
    <x v="4"/>
    <s v="Central"/>
    <s v="India"/>
    <s v="Corporate"/>
    <d v="2023-04-01T00:00:00"/>
    <s v="ORD00442"/>
    <d v="2023-03-31T00:00:00"/>
    <d v="2023-04-02T00:00:00"/>
    <s v="First Class"/>
    <s v="Chhattisgarh"/>
    <n v="400487"/>
    <s v="PROD0016"/>
    <s v="Apples"/>
    <s v="Apples - 633"/>
    <n v="5"/>
    <n v="0.2"/>
    <n v="17.690000000000001"/>
  </r>
  <r>
    <s v="CUST0105"/>
    <s v="Imran"/>
    <s v="Naidu"/>
    <d v="1990-01-27T00:00:00"/>
    <n v="2737.12"/>
    <n v="2023"/>
    <s v="Small"/>
    <s v="Tier 2"/>
    <x v="1"/>
    <s v="Central"/>
    <s v="India"/>
    <s v="Corporate"/>
    <d v="2023-12-08T00:00:00"/>
    <s v="ORD00443"/>
    <d v="2023-12-08T00:00:00"/>
    <d v="2023-12-11T00:00:00"/>
    <s v="Same Day"/>
    <s v="Chhattisgarh"/>
    <n v="316612"/>
    <s v="PROD0006"/>
    <s v="Cookies"/>
    <s v="Cookies - 426"/>
    <n v="8"/>
    <n v="0"/>
    <n v="259.47000000000003"/>
  </r>
  <r>
    <s v="CUST0105"/>
    <s v="Imran"/>
    <s v="Naidu"/>
    <d v="1990-01-27T00:00:00"/>
    <n v="765.56"/>
    <n v="2024"/>
    <s v="Small"/>
    <s v="Tier 2"/>
    <x v="0"/>
    <s v="Central"/>
    <s v="India"/>
    <s v="Corporate"/>
    <d v="2024-04-24T00:00:00"/>
    <s v="ORD00444"/>
    <d v="2024-04-23T00:00:00"/>
    <d v="2024-04-28T00:00:00"/>
    <s v="Same Day"/>
    <s v="Chhattisgarh"/>
    <n v="426503"/>
    <s v="PROD0001"/>
    <s v="Namkeen"/>
    <s v="Namkeen - 662"/>
    <n v="6"/>
    <n v="0.15"/>
    <n v="222.93"/>
  </r>
  <r>
    <s v="CUST0105"/>
    <s v="Imran"/>
    <s v="Naidu"/>
    <d v="1990-01-27T00:00:00"/>
    <n v="354.8"/>
    <n v="2024"/>
    <s v="Medium"/>
    <s v="Tier 2"/>
    <x v="0"/>
    <s v="Central"/>
    <s v="India"/>
    <s v="Corporate"/>
    <d v="2024-08-31T00:00:00"/>
    <s v="ORD00445"/>
    <d v="2024-08-31T00:00:00"/>
    <d v="2024-09-01T00:00:00"/>
    <s v="Same Day"/>
    <s v="Chhattisgarh"/>
    <n v="190302"/>
    <s v="PROD0001"/>
    <s v="Namkeen"/>
    <s v="Namkeen - 653"/>
    <n v="8"/>
    <n v="0"/>
    <n v="67.849999999999994"/>
  </r>
  <r>
    <s v="CUST0105"/>
    <s v="Imran"/>
    <s v="Naidu"/>
    <d v="1990-01-27T00:00:00"/>
    <n v="3806.39"/>
    <n v="2025"/>
    <s v="Medium"/>
    <s v="Tier 2"/>
    <x v="5"/>
    <s v="Central"/>
    <s v="India"/>
    <s v="Corporate"/>
    <d v="2025-06-15T00:00:00"/>
    <s v="ORD00446"/>
    <d v="2025-06-11T00:00:00"/>
    <d v="2025-06-15T00:00:00"/>
    <s v="Second Class"/>
    <s v="Chhattisgarh"/>
    <n v="448475"/>
    <s v="PROD0015"/>
    <s v="Soft Drinks"/>
    <s v="Soft Drinks - 283"/>
    <n v="10"/>
    <n v="0.15"/>
    <n v="1145.1600000000001"/>
  </r>
  <r>
    <s v="CUST0106"/>
    <s v="Kavitha"/>
    <s v="Kulkarni"/>
    <d v="1997-04-07T00:00:00"/>
    <n v="533.52"/>
    <n v="2023"/>
    <s v="Small"/>
    <s v="Tier 2"/>
    <x v="5"/>
    <s v="East"/>
    <s v="India"/>
    <s v="Home Office"/>
    <d v="2023-03-25T00:00:00"/>
    <s v="ORD00447"/>
    <d v="2023-03-22T00:00:00"/>
    <d v="2023-03-26T00:00:00"/>
    <s v="First Class"/>
    <s v="Bihar"/>
    <n v="250703"/>
    <s v="PROD0017"/>
    <s v="Coffee"/>
    <s v="Coffee - 195"/>
    <n v="8"/>
    <n v="0"/>
    <n v="136.22999999999999"/>
  </r>
  <r>
    <s v="CUST0106"/>
    <s v="Kavitha"/>
    <s v="Kulkarni"/>
    <d v="1997-04-07T00:00:00"/>
    <n v="642.66"/>
    <n v="2024"/>
    <s v="Medium"/>
    <s v="Tier 2"/>
    <x v="0"/>
    <s v="East"/>
    <s v="India"/>
    <s v="Home Office"/>
    <d v="2024-07-03T00:00:00"/>
    <s v="ORD00448"/>
    <d v="2024-06-30T00:00:00"/>
    <d v="2024-07-03T00:00:00"/>
    <s v="Same Day"/>
    <s v="Bihar"/>
    <n v="168540"/>
    <s v="PROD0001"/>
    <s v="Namkeen"/>
    <s v="Namkeen - 472"/>
    <n v="7"/>
    <n v="0.15"/>
    <n v="95.82"/>
  </r>
  <r>
    <s v="CUST0106"/>
    <s v="Kavitha"/>
    <s v="Kulkarni"/>
    <d v="1997-04-07T00:00:00"/>
    <n v="1931.2"/>
    <n v="2024"/>
    <s v="Large"/>
    <s v="Tier 2"/>
    <x v="5"/>
    <s v="East"/>
    <s v="India"/>
    <s v="Home Office"/>
    <d v="2024-11-18T00:00:00"/>
    <s v="ORD00449"/>
    <d v="2024-11-17T00:00:00"/>
    <d v="2024-11-20T00:00:00"/>
    <s v="Same Day"/>
    <s v="Bihar"/>
    <n v="525392"/>
    <s v="PROD0019"/>
    <s v="Tea"/>
    <s v="Tea - 459"/>
    <n v="8"/>
    <n v="0"/>
    <n v="260.08999999999997"/>
  </r>
  <r>
    <s v="CUST0106"/>
    <s v="Kavitha"/>
    <s v="Kulkarni"/>
    <d v="1997-04-07T00:00:00"/>
    <n v="2388.5300000000002"/>
    <n v="2024"/>
    <s v="Large"/>
    <s v="Tier 2"/>
    <x v="2"/>
    <s v="East"/>
    <s v="India"/>
    <s v="Home Office"/>
    <d v="2025-01-03T00:00:00"/>
    <s v="ORD00450"/>
    <d v="2024-12-31T00:00:00"/>
    <d v="2025-01-04T00:00:00"/>
    <s v="Standard Class"/>
    <s v="Bihar"/>
    <n v="350164"/>
    <s v="PROD0012"/>
    <s v="Rice"/>
    <s v="Rice - 433"/>
    <n v="9"/>
    <n v="0.2"/>
    <n v="335.91"/>
  </r>
  <r>
    <s v="CUST0106"/>
    <s v="Kavitha"/>
    <s v="Kulkarni"/>
    <d v="1997-04-07T00:00:00"/>
    <n v="1389.29"/>
    <n v="2025"/>
    <s v="Large"/>
    <s v="Tier 2"/>
    <x v="0"/>
    <s v="East"/>
    <s v="India"/>
    <s v="Home Office"/>
    <d v="2025-02-17T00:00:00"/>
    <s v="ORD00451"/>
    <d v="2025-02-15T00:00:00"/>
    <d v="2025-02-17T00:00:00"/>
    <s v="Standard Class"/>
    <s v="Bihar"/>
    <n v="922412"/>
    <s v="PROD0007"/>
    <s v="Chips"/>
    <s v="Chips - 661"/>
    <n v="3"/>
    <n v="0.05"/>
    <n v="97"/>
  </r>
  <r>
    <s v="CUST0106"/>
    <s v="Kavitha"/>
    <s v="Kulkarni"/>
    <d v="1997-04-07T00:00:00"/>
    <n v="350.47"/>
    <n v="2025"/>
    <s v="Small"/>
    <s v="Tier 2"/>
    <x v="5"/>
    <s v="East"/>
    <s v="India"/>
    <s v="Home Office"/>
    <d v="2025-04-11T00:00:00"/>
    <s v="ORD00452"/>
    <d v="2025-04-08T00:00:00"/>
    <d v="2025-04-13T00:00:00"/>
    <s v="Standard Class"/>
    <s v="Bihar"/>
    <n v="441183"/>
    <s v="PROD0011"/>
    <s v="Juice"/>
    <s v="Juice - 657"/>
    <n v="4"/>
    <n v="0.15"/>
    <n v="25.71"/>
  </r>
  <r>
    <s v="CUST0107"/>
    <s v="Deepak"/>
    <s v="Mishra"/>
    <d v="1972-02-21T00:00:00"/>
    <n v="628.27"/>
    <n v="2023"/>
    <s v="Medium"/>
    <s v="Tier 2"/>
    <x v="5"/>
    <s v="East"/>
    <s v="India"/>
    <s v="Corporate"/>
    <d v="2023-07-02T00:00:00"/>
    <s v="ORD00453"/>
    <d v="2023-06-30T00:00:00"/>
    <d v="2023-07-04T00:00:00"/>
    <s v="Same Day"/>
    <s v="Odisha"/>
    <n v="194930"/>
    <s v="PROD0019"/>
    <s v="Tea"/>
    <s v="Tea - 712"/>
    <n v="2"/>
    <n v="0.1"/>
    <n v="176.8"/>
  </r>
  <r>
    <s v="CUST0107"/>
    <s v="Deepak"/>
    <s v="Mishra"/>
    <d v="1972-02-21T00:00:00"/>
    <n v="325.89"/>
    <n v="2023"/>
    <s v="Medium"/>
    <s v="Tier 2"/>
    <x v="3"/>
    <s v="East"/>
    <s v="India"/>
    <s v="Corporate"/>
    <d v="2023-11-14T00:00:00"/>
    <s v="ORD00454"/>
    <d v="2023-11-12T00:00:00"/>
    <d v="2023-11-17T00:00:00"/>
    <s v="Standard Class"/>
    <s v="Odisha"/>
    <n v="305171"/>
    <s v="PROD0005"/>
    <s v="Yogurt"/>
    <s v="Yogurt - 694"/>
    <n v="1"/>
    <n v="0.15"/>
    <n v="30.88"/>
  </r>
  <r>
    <s v="CUST0107"/>
    <s v="Deepak"/>
    <s v="Mishra"/>
    <d v="1972-02-21T00:00:00"/>
    <n v="3410.97"/>
    <n v="2024"/>
    <s v="Small"/>
    <s v="Tier 2"/>
    <x v="3"/>
    <s v="East"/>
    <s v="India"/>
    <s v="Corporate"/>
    <d v="2024-04-02T00:00:00"/>
    <s v="ORD00455"/>
    <d v="2024-03-31T00:00:00"/>
    <d v="2024-04-04T00:00:00"/>
    <s v="Same Day"/>
    <s v="Odisha"/>
    <n v="741194"/>
    <s v="PROD0020"/>
    <s v="Paneer"/>
    <s v="Paneer - 406"/>
    <n v="10"/>
    <n v="0.15"/>
    <n v="482.19"/>
  </r>
  <r>
    <s v="CUST0107"/>
    <s v="Deepak"/>
    <s v="Mishra"/>
    <d v="1972-02-21T00:00:00"/>
    <n v="1287.5999999999999"/>
    <n v="2025"/>
    <s v="Small"/>
    <s v="Tier 2"/>
    <x v="0"/>
    <s v="East"/>
    <s v="India"/>
    <s v="Corporate"/>
    <d v="2025-04-21T00:00:00"/>
    <s v="ORD00456"/>
    <d v="2025-04-21T00:00:00"/>
    <d v="2025-04-26T00:00:00"/>
    <s v="Second Class"/>
    <s v="Odisha"/>
    <n v="215027"/>
    <s v="PROD0001"/>
    <s v="Namkeen"/>
    <s v="Namkeen - 967"/>
    <n v="3"/>
    <n v="0"/>
    <n v="207"/>
  </r>
  <r>
    <s v="CUST0108"/>
    <s v="Ganesh"/>
    <s v="Menon"/>
    <d v="2002-09-04T00:00:00"/>
    <n v="1429.08"/>
    <n v="2023"/>
    <s v="Small"/>
    <s v="Tier 2"/>
    <x v="5"/>
    <s v="West"/>
    <s v="India"/>
    <s v="Home Office"/>
    <d v="2023-02-02T00:00:00"/>
    <s v="ORD00457"/>
    <d v="2023-02-01T00:00:00"/>
    <d v="2023-02-03T00:00:00"/>
    <s v="First Class"/>
    <s v="Goa"/>
    <n v="682401"/>
    <s v="PROD0011"/>
    <s v="Juice"/>
    <s v="Juice - 828"/>
    <n v="7"/>
    <n v="0.05"/>
    <n v="305.16000000000003"/>
  </r>
  <r>
    <s v="CUST0108"/>
    <s v="Ganesh"/>
    <s v="Menon"/>
    <d v="2002-09-04T00:00:00"/>
    <n v="526.67999999999995"/>
    <n v="2023"/>
    <s v="Small"/>
    <s v="Tier 2"/>
    <x v="5"/>
    <s v="West"/>
    <s v="India"/>
    <s v="Home Office"/>
    <d v="2023-08-29T00:00:00"/>
    <s v="ORD00458"/>
    <d v="2023-08-29T00:00:00"/>
    <d v="2023-08-31T00:00:00"/>
    <s v="Same Day"/>
    <s v="Goa"/>
    <n v="250990"/>
    <s v="PROD0011"/>
    <s v="Juice"/>
    <s v="Juice - 960"/>
    <n v="7"/>
    <n v="0.2"/>
    <n v="132.21"/>
  </r>
  <r>
    <s v="CUST0108"/>
    <s v="Ganesh"/>
    <s v="Menon"/>
    <d v="2002-09-04T00:00:00"/>
    <n v="3415.93"/>
    <n v="2024"/>
    <s v="Large"/>
    <s v="Tier 2"/>
    <x v="2"/>
    <s v="West"/>
    <s v="India"/>
    <s v="Home Office"/>
    <d v="2024-03-21T00:00:00"/>
    <s v="ORD00459"/>
    <d v="2024-03-18T00:00:00"/>
    <d v="2024-03-22T00:00:00"/>
    <s v="Standard Class"/>
    <s v="Goa"/>
    <n v="753523"/>
    <s v="PROD0009"/>
    <s v="Wheat Flour"/>
    <s v="Wheat Flour - 773"/>
    <n v="7"/>
    <n v="0"/>
    <n v="257.56"/>
  </r>
  <r>
    <s v="CUST0108"/>
    <s v="Ganesh"/>
    <s v="Menon"/>
    <d v="2002-09-04T00:00:00"/>
    <n v="1895.12"/>
    <n v="2024"/>
    <s v="Medium"/>
    <s v="Tier 2"/>
    <x v="3"/>
    <s v="West"/>
    <s v="India"/>
    <s v="Home Office"/>
    <d v="2024-08-27T00:00:00"/>
    <s v="ORD00460"/>
    <d v="2024-08-27T00:00:00"/>
    <d v="2024-08-29T00:00:00"/>
    <s v="Same Day"/>
    <s v="Goa"/>
    <n v="706012"/>
    <s v="PROD0013"/>
    <s v="Butter"/>
    <s v="Butter - 621"/>
    <n v="7"/>
    <n v="0.05"/>
    <n v="313.48"/>
  </r>
  <r>
    <s v="CUST0108"/>
    <s v="Ganesh"/>
    <s v="Menon"/>
    <d v="2002-09-04T00:00:00"/>
    <n v="1208.8399999999999"/>
    <n v="2024"/>
    <s v="Large"/>
    <s v="Tier 2"/>
    <x v="5"/>
    <s v="West"/>
    <s v="India"/>
    <s v="Home Office"/>
    <d v="2024-12-20T00:00:00"/>
    <s v="ORD00461"/>
    <d v="2024-12-20T00:00:00"/>
    <d v="2024-12-21T00:00:00"/>
    <s v="Standard Class"/>
    <s v="Goa"/>
    <n v="839122"/>
    <s v="PROD0017"/>
    <s v="Coffee"/>
    <s v="Coffee - 829"/>
    <n v="9"/>
    <n v="0.1"/>
    <n v="269.45999999999998"/>
  </r>
  <r>
    <s v="CUST0108"/>
    <s v="Ganesh"/>
    <s v="Menon"/>
    <d v="2002-09-04T00:00:00"/>
    <n v="3853.04"/>
    <n v="2025"/>
    <s v="Medium"/>
    <s v="Tier 2"/>
    <x v="1"/>
    <s v="West"/>
    <s v="India"/>
    <s v="Home Office"/>
    <d v="2025-06-07T00:00:00"/>
    <s v="ORD00462"/>
    <d v="2025-06-05T00:00:00"/>
    <d v="2025-06-10T00:00:00"/>
    <s v="Same Day"/>
    <s v="Goa"/>
    <n v="648779"/>
    <s v="PROD0002"/>
    <s v="Bread"/>
    <s v="Bread - 694"/>
    <n v="8"/>
    <n v="0"/>
    <n v="356.89"/>
  </r>
  <r>
    <s v="CUST0109"/>
    <s v="Myra"/>
    <s v="Pillai"/>
    <d v="1984-09-24T00:00:00"/>
    <n v="3627.81"/>
    <n v="2023"/>
    <s v="Medium"/>
    <s v="Tier 2"/>
    <x v="2"/>
    <s v="South"/>
    <s v="India"/>
    <s v="Consumer"/>
    <d v="2023-04-01T00:00:00"/>
    <s v="ORD00463"/>
    <d v="2023-04-01T00:00:00"/>
    <d v="2023-04-04T00:00:00"/>
    <s v="Standard Class"/>
    <s v="Kerala"/>
    <n v="637566"/>
    <s v="PROD0012"/>
    <s v="Rice"/>
    <s v="Rice - 800"/>
    <n v="9"/>
    <n v="0"/>
    <n v="848.59"/>
  </r>
  <r>
    <s v="CUST0109"/>
    <s v="Myra"/>
    <s v="Pillai"/>
    <d v="1984-09-24T00:00:00"/>
    <n v="2309.1799999999998"/>
    <n v="2023"/>
    <s v="Large"/>
    <s v="Tier 2"/>
    <x v="5"/>
    <s v="South"/>
    <s v="India"/>
    <s v="Consumer"/>
    <d v="2023-09-09T00:00:00"/>
    <s v="ORD00464"/>
    <d v="2023-09-09T00:00:00"/>
    <d v="2023-09-11T00:00:00"/>
    <s v="Second Class"/>
    <s v="Kerala"/>
    <n v="862285"/>
    <s v="PROD0011"/>
    <s v="Juice"/>
    <s v="Juice - 531"/>
    <n v="6"/>
    <n v="0.2"/>
    <n v="319.56"/>
  </r>
  <r>
    <s v="CUST0109"/>
    <s v="Myra"/>
    <s v="Pillai"/>
    <d v="1984-09-24T00:00:00"/>
    <n v="2142.0700000000002"/>
    <n v="2024"/>
    <s v="Medium"/>
    <s v="Tier 2"/>
    <x v="0"/>
    <s v="South"/>
    <s v="India"/>
    <s v="Consumer"/>
    <d v="2024-04-28T00:00:00"/>
    <s v="ORD00465"/>
    <d v="2024-04-28T00:00:00"/>
    <d v="2024-05-01T00:00:00"/>
    <s v="Standard Class"/>
    <s v="Kerala"/>
    <n v="186518"/>
    <s v="PROD0001"/>
    <s v="Namkeen"/>
    <s v="Namkeen - 162"/>
    <n v="8"/>
    <n v="0.1"/>
    <n v="140.28"/>
  </r>
  <r>
    <s v="CUST0109"/>
    <s v="Myra"/>
    <s v="Pillai"/>
    <d v="1984-09-24T00:00:00"/>
    <n v="634.41"/>
    <n v="2024"/>
    <s v="Large"/>
    <s v="Tier 2"/>
    <x v="3"/>
    <s v="South"/>
    <s v="India"/>
    <s v="Consumer"/>
    <d v="2024-10-07T00:00:00"/>
    <s v="ORD00466"/>
    <d v="2024-10-07T00:00:00"/>
    <d v="2024-10-10T00:00:00"/>
    <s v="Same Day"/>
    <s v="Kerala"/>
    <n v="733152"/>
    <s v="PROD0021"/>
    <s v="Milk"/>
    <s v="Milk - 971"/>
    <n v="5"/>
    <n v="0.1"/>
    <n v="85.2"/>
  </r>
  <r>
    <s v="CUST0109"/>
    <s v="Myra"/>
    <s v="Pillai"/>
    <d v="1984-09-24T00:00:00"/>
    <n v="1579.92"/>
    <n v="2024"/>
    <s v="Small"/>
    <s v="Tier 2"/>
    <x v="3"/>
    <s v="South"/>
    <s v="India"/>
    <s v="Consumer"/>
    <d v="2024-11-11T00:00:00"/>
    <s v="ORD00467"/>
    <d v="2024-11-10T00:00:00"/>
    <d v="2024-11-12T00:00:00"/>
    <s v="Same Day"/>
    <s v="Kerala"/>
    <n v="459502"/>
    <s v="PROD0005"/>
    <s v="Yogurt"/>
    <s v="Yogurt - 774"/>
    <n v="8"/>
    <n v="0"/>
    <n v="202.82"/>
  </r>
  <r>
    <s v="CUST0109"/>
    <s v="Myra"/>
    <s v="Pillai"/>
    <d v="1984-09-24T00:00:00"/>
    <n v="1012.92"/>
    <n v="2025"/>
    <s v="Large"/>
    <s v="Tier 2"/>
    <x v="4"/>
    <s v="South"/>
    <s v="India"/>
    <s v="Consumer"/>
    <d v="2025-01-30T00:00:00"/>
    <s v="ORD00468"/>
    <d v="2025-01-29T00:00:00"/>
    <d v="2025-02-02T00:00:00"/>
    <s v="Standard Class"/>
    <s v="Kerala"/>
    <n v="861265"/>
    <s v="PROD0010"/>
    <s v="Bananas"/>
    <s v="Bananas - 709"/>
    <n v="3"/>
    <n v="0.2"/>
    <n v="352.57"/>
  </r>
  <r>
    <s v="CUST0110"/>
    <s v="Anika"/>
    <s v="Kumar"/>
    <d v="1979-05-06T00:00:00"/>
    <n v="1913.15"/>
    <n v="2023"/>
    <s v="Medium"/>
    <s v="Tier 2"/>
    <x v="1"/>
    <s v="East"/>
    <s v="India"/>
    <s v="Consumer"/>
    <d v="2023-08-07T00:00:00"/>
    <s v="ORD00469"/>
    <d v="2023-08-04T00:00:00"/>
    <d v="2023-08-08T00:00:00"/>
    <s v="Second Class"/>
    <s v="Jharkhand"/>
    <n v="599401"/>
    <s v="PROD0002"/>
    <s v="Bread"/>
    <s v="Bread - 757"/>
    <n v="5"/>
    <n v="0"/>
    <n v="125.8"/>
  </r>
  <r>
    <s v="CUST0110"/>
    <s v="Anika"/>
    <s v="Kumar"/>
    <d v="1979-05-06T00:00:00"/>
    <n v="2314.73"/>
    <n v="2024"/>
    <s v="Medium"/>
    <s v="Tier 2"/>
    <x v="2"/>
    <s v="East"/>
    <s v="India"/>
    <s v="Consumer"/>
    <d v="2024-08-16T00:00:00"/>
    <s v="ORD00470"/>
    <d v="2024-08-14T00:00:00"/>
    <d v="2024-08-16T00:00:00"/>
    <s v="Same Day"/>
    <s v="Jharkhand"/>
    <n v="402820"/>
    <s v="PROD0003"/>
    <s v="Pulses"/>
    <s v="Pulses - 339"/>
    <n v="7"/>
    <n v="0.05"/>
    <n v="445.3"/>
  </r>
  <r>
    <s v="CUST0110"/>
    <s v="Anika"/>
    <s v="Kumar"/>
    <d v="1979-05-06T00:00:00"/>
    <n v="2456.41"/>
    <n v="2025"/>
    <s v="Medium"/>
    <s v="Tier 2"/>
    <x v="5"/>
    <s v="East"/>
    <s v="India"/>
    <s v="Consumer"/>
    <d v="2025-01-22T00:00:00"/>
    <s v="ORD00471"/>
    <d v="2025-01-21T00:00:00"/>
    <d v="2025-01-22T00:00:00"/>
    <s v="Second Class"/>
    <s v="Jharkhand"/>
    <n v="451238"/>
    <s v="PROD0015"/>
    <s v="Soft Drinks"/>
    <s v="Soft Drinks - 794"/>
    <n v="6"/>
    <n v="0.15"/>
    <n v="827.22"/>
  </r>
  <r>
    <s v="CUST0110"/>
    <s v="Anika"/>
    <s v="Kumar"/>
    <d v="1979-05-06T00:00:00"/>
    <n v="256.63"/>
    <n v="2025"/>
    <s v="Large"/>
    <s v="Tier 2"/>
    <x v="1"/>
    <s v="East"/>
    <s v="India"/>
    <s v="Consumer"/>
    <d v="2025-05-14T00:00:00"/>
    <s v="ORD00472"/>
    <d v="2025-05-12T00:00:00"/>
    <d v="2025-05-14T00:00:00"/>
    <s v="First Class"/>
    <s v="Jharkhand"/>
    <n v="645209"/>
    <s v="PROD0018"/>
    <s v="Buns"/>
    <s v="Buns - 921"/>
    <n v="2"/>
    <n v="0.1"/>
    <n v="42.95"/>
  </r>
  <r>
    <s v="CUST0111"/>
    <s v="Rohan"/>
    <s v="Menon"/>
    <d v="1982-03-08T00:00:00"/>
    <n v="419.21"/>
    <n v="2023"/>
    <s v="Large"/>
    <s v="Tier 1"/>
    <x v="0"/>
    <s v="South"/>
    <s v="India"/>
    <s v="Consumer"/>
    <d v="2023-07-04T00:00:00"/>
    <s v="ORD00473"/>
    <d v="2023-07-04T00:00:00"/>
    <d v="2023-07-09T00:00:00"/>
    <s v="Standard Class"/>
    <s v="Telangana"/>
    <n v="468591"/>
    <s v="PROD0007"/>
    <s v="Chips"/>
    <s v="Chips - 788"/>
    <n v="1"/>
    <n v="0"/>
    <n v="72.680000000000007"/>
  </r>
  <r>
    <s v="CUST0111"/>
    <s v="Rohan"/>
    <s v="Menon"/>
    <d v="1982-03-08T00:00:00"/>
    <n v="130.82"/>
    <n v="2023"/>
    <s v="Small"/>
    <s v="Tier 1"/>
    <x v="3"/>
    <s v="South"/>
    <s v="India"/>
    <s v="Consumer"/>
    <d v="2023-11-22T00:00:00"/>
    <s v="ORD00474"/>
    <d v="2023-11-17T00:00:00"/>
    <d v="2023-11-22T00:00:00"/>
    <s v="Same Day"/>
    <s v="Telangana"/>
    <n v="842470"/>
    <s v="PROD0020"/>
    <s v="Paneer"/>
    <s v="Paneer - 357"/>
    <n v="4"/>
    <n v="0.1"/>
    <n v="10.15"/>
  </r>
  <r>
    <s v="CUST0111"/>
    <s v="Rohan"/>
    <s v="Menon"/>
    <d v="1982-03-08T00:00:00"/>
    <n v="700.06"/>
    <n v="2024"/>
    <s v="Small"/>
    <s v="Tier 1"/>
    <x v="4"/>
    <s v="South"/>
    <s v="India"/>
    <s v="Consumer"/>
    <d v="2024-12-08T00:00:00"/>
    <s v="ORD00475"/>
    <d v="2024-12-07T00:00:00"/>
    <d v="2024-12-12T00:00:00"/>
    <s v="First Class"/>
    <s v="Telangana"/>
    <n v="365641"/>
    <s v="PROD0016"/>
    <s v="Apples"/>
    <s v="Apples - 976"/>
    <n v="10"/>
    <n v="0.15"/>
    <n v="195.43"/>
  </r>
  <r>
    <s v="CUST0112"/>
    <s v="Sandeep"/>
    <s v="Chatterjee"/>
    <d v="1979-11-05T00:00:00"/>
    <n v="2096.0100000000002"/>
    <n v="2023"/>
    <s v="Small"/>
    <s v="Tier 2"/>
    <x v="5"/>
    <s v="East"/>
    <s v="India"/>
    <s v="Corporate"/>
    <d v="2023-03-21T00:00:00"/>
    <s v="ORD00476"/>
    <d v="2023-03-19T00:00:00"/>
    <d v="2023-03-22T00:00:00"/>
    <s v="Same Day"/>
    <s v="Jharkhand"/>
    <n v="390756"/>
    <s v="PROD0011"/>
    <s v="Juice"/>
    <s v="Juice - 887"/>
    <n v="7"/>
    <n v="0.15"/>
    <n v="588.9"/>
  </r>
  <r>
    <s v="CUST0112"/>
    <s v="Sandeep"/>
    <s v="Chatterjee"/>
    <d v="1979-11-05T00:00:00"/>
    <n v="2988.36"/>
    <n v="2024"/>
    <s v="Medium"/>
    <s v="Tier 2"/>
    <x v="4"/>
    <s v="East"/>
    <s v="India"/>
    <s v="Corporate"/>
    <d v="2024-10-17T00:00:00"/>
    <s v="ORD00477"/>
    <d v="2024-10-16T00:00:00"/>
    <d v="2024-10-19T00:00:00"/>
    <s v="Same Day"/>
    <s v="Jharkhand"/>
    <n v="615607"/>
    <s v="PROD0008"/>
    <s v="Onions"/>
    <s v="Onions - 497"/>
    <n v="6"/>
    <n v="0"/>
    <n v="1006.13"/>
  </r>
  <r>
    <s v="CUST0112"/>
    <s v="Sandeep"/>
    <s v="Chatterjee"/>
    <d v="1979-11-05T00:00:00"/>
    <n v="518.76"/>
    <n v="2024"/>
    <s v="Large"/>
    <s v="Tier 2"/>
    <x v="3"/>
    <s v="East"/>
    <s v="India"/>
    <s v="Corporate"/>
    <d v="2024-11-09T00:00:00"/>
    <s v="ORD00478"/>
    <d v="2024-11-07T00:00:00"/>
    <d v="2024-11-09T00:00:00"/>
    <s v="Same Day"/>
    <s v="Jharkhand"/>
    <n v="563031"/>
    <s v="PROD0013"/>
    <s v="Butter"/>
    <s v="Butter - 282"/>
    <n v="8"/>
    <n v="0.1"/>
    <n v="145.57"/>
  </r>
  <r>
    <s v="CUST0113"/>
    <s v="Vihaan"/>
    <s v="Gupta"/>
    <d v="2002-05-13T00:00:00"/>
    <n v="220.48"/>
    <n v="2023"/>
    <s v="Large"/>
    <s v="Tier 2"/>
    <x v="2"/>
    <s v="North"/>
    <s v="India"/>
    <s v="Home Office"/>
    <d v="2023-02-05T00:00:00"/>
    <s v="ORD00479"/>
    <d v="2023-02-05T00:00:00"/>
    <d v="2023-02-06T00:00:00"/>
    <s v="Standard Class"/>
    <s v="Uttarakhand"/>
    <n v="379378"/>
    <s v="PROD0009"/>
    <s v="Wheat Flour"/>
    <s v="Wheat Flour - 895"/>
    <n v="8"/>
    <n v="0.05"/>
    <n v="20.87"/>
  </r>
  <r>
    <s v="CUST0113"/>
    <s v="Vihaan"/>
    <s v="Gupta"/>
    <d v="2002-05-13T00:00:00"/>
    <n v="185.13"/>
    <n v="2023"/>
    <s v="Medium"/>
    <s v="Tier 2"/>
    <x v="3"/>
    <s v="North"/>
    <s v="India"/>
    <s v="Home Office"/>
    <d v="2023-03-17T00:00:00"/>
    <s v="ORD00480"/>
    <d v="2023-03-14T00:00:00"/>
    <d v="2023-03-18T00:00:00"/>
    <s v="Standard Class"/>
    <s v="Uttarakhand"/>
    <n v="985049"/>
    <s v="PROD0020"/>
    <s v="Paneer"/>
    <s v="Paneer - 500"/>
    <n v="10"/>
    <n v="0.15"/>
    <n v="61.46"/>
  </r>
  <r>
    <s v="CUST0113"/>
    <s v="Vihaan"/>
    <s v="Gupta"/>
    <d v="2002-05-13T00:00:00"/>
    <n v="73.41"/>
    <n v="2023"/>
    <s v="Large"/>
    <s v="Tier 2"/>
    <x v="2"/>
    <s v="North"/>
    <s v="India"/>
    <s v="Home Office"/>
    <d v="2023-03-16T00:00:00"/>
    <s v="ORD00481"/>
    <d v="2023-03-16T00:00:00"/>
    <d v="2023-03-20T00:00:00"/>
    <s v="Second Class"/>
    <s v="Uttarakhand"/>
    <n v="449636"/>
    <s v="PROD0012"/>
    <s v="Rice"/>
    <s v="Rice - 653"/>
    <n v="4"/>
    <n v="0.15"/>
    <n v="21.68"/>
  </r>
  <r>
    <s v="CUST0113"/>
    <s v="Vihaan"/>
    <s v="Gupta"/>
    <d v="2002-05-13T00:00:00"/>
    <n v="274.97000000000003"/>
    <n v="2023"/>
    <s v="Small"/>
    <s v="Tier 2"/>
    <x v="2"/>
    <s v="North"/>
    <s v="India"/>
    <s v="Home Office"/>
    <d v="2023-04-18T00:00:00"/>
    <s v="ORD00482"/>
    <d v="2023-04-16T00:00:00"/>
    <d v="2023-04-21T00:00:00"/>
    <s v="Standard Class"/>
    <s v="Uttarakhand"/>
    <n v="897392"/>
    <s v="PROD0009"/>
    <s v="Wheat Flour"/>
    <s v="Wheat Flour - 510"/>
    <n v="1"/>
    <n v="0.15"/>
    <n v="21.23"/>
  </r>
  <r>
    <s v="CUST0113"/>
    <s v="Vihaan"/>
    <s v="Gupta"/>
    <d v="2002-05-13T00:00:00"/>
    <n v="815.53"/>
    <n v="2024"/>
    <s v="Small"/>
    <s v="Tier 2"/>
    <x v="1"/>
    <s v="North"/>
    <s v="India"/>
    <s v="Home Office"/>
    <d v="2024-08-11T00:00:00"/>
    <s v="ORD00483"/>
    <d v="2024-08-08T00:00:00"/>
    <d v="2024-08-11T00:00:00"/>
    <s v="Second Class"/>
    <s v="Uttarakhand"/>
    <n v="610135"/>
    <s v="PROD0006"/>
    <s v="Cookies"/>
    <s v="Cookies - 307"/>
    <n v="3"/>
    <n v="0.05"/>
    <n v="202.43"/>
  </r>
  <r>
    <s v="CUST0114"/>
    <s v="Ayesha"/>
    <s v="Sharma"/>
    <d v="1999-05-06T00:00:00"/>
    <n v="95.78"/>
    <n v="2024"/>
    <s v="Medium"/>
    <s v="Tier 2"/>
    <x v="5"/>
    <s v="Central"/>
    <s v="India"/>
    <s v="Corporate"/>
    <d v="2024-10-10T00:00:00"/>
    <s v="ORD00484"/>
    <d v="2024-10-09T00:00:00"/>
    <d v="2024-10-11T00:00:00"/>
    <s v="Same Day"/>
    <s v="Madhya Pradesh"/>
    <n v="931247"/>
    <s v="PROD0017"/>
    <s v="Coffee"/>
    <s v="Coffee - 243"/>
    <n v="1"/>
    <n v="0.15"/>
    <n v="33.42"/>
  </r>
  <r>
    <s v="CUST0115"/>
    <s v="Aarav"/>
    <s v="Singh"/>
    <d v="1978-05-25T00:00:00"/>
    <n v="225.17"/>
    <n v="2023"/>
    <s v="Small"/>
    <s v="Tier 2"/>
    <x v="5"/>
    <s v="North"/>
    <s v="India"/>
    <s v="Home Office"/>
    <d v="2023-11-12T00:00:00"/>
    <s v="ORD00485"/>
    <d v="2023-11-12T00:00:00"/>
    <d v="2023-11-16T00:00:00"/>
    <s v="Standard Class"/>
    <s v="Uttar Pradesh"/>
    <n v="811016"/>
    <s v="PROD0019"/>
    <s v="Tea"/>
    <s v="Tea - 137"/>
    <n v="6"/>
    <n v="0.2"/>
    <n v="59.96"/>
  </r>
  <r>
    <s v="CUST0115"/>
    <s v="Aarav"/>
    <s v="Singh"/>
    <d v="1978-05-25T00:00:00"/>
    <n v="1318.3"/>
    <n v="2024"/>
    <s v="Large"/>
    <s v="Tier 2"/>
    <x v="0"/>
    <s v="North"/>
    <s v="India"/>
    <s v="Home Office"/>
    <d v="2024-05-27T00:00:00"/>
    <s v="ORD00486"/>
    <d v="2024-05-26T00:00:00"/>
    <d v="2024-05-28T00:00:00"/>
    <s v="Same Day"/>
    <s v="Uttar Pradesh"/>
    <n v="594109"/>
    <s v="PROD0007"/>
    <s v="Chips"/>
    <s v="Chips - 858"/>
    <n v="10"/>
    <n v="0"/>
    <n v="80.5"/>
  </r>
  <r>
    <s v="CUST0115"/>
    <s v="Aarav"/>
    <s v="Singh"/>
    <d v="1978-05-25T00:00:00"/>
    <n v="68.59"/>
    <n v="2024"/>
    <s v="Medium"/>
    <s v="Tier 2"/>
    <x v="0"/>
    <s v="North"/>
    <s v="India"/>
    <s v="Home Office"/>
    <d v="2024-06-30T00:00:00"/>
    <s v="ORD00487"/>
    <d v="2024-06-30T00:00:00"/>
    <d v="2024-07-03T00:00:00"/>
    <s v="First Class"/>
    <s v="Uttar Pradesh"/>
    <n v="975930"/>
    <s v="PROD0007"/>
    <s v="Chips"/>
    <s v="Chips - 348"/>
    <n v="3"/>
    <n v="0.15"/>
    <n v="4.46"/>
  </r>
  <r>
    <s v="CUST0115"/>
    <s v="Aarav"/>
    <s v="Singh"/>
    <d v="1978-05-25T00:00:00"/>
    <n v="134.66"/>
    <n v="2025"/>
    <s v="Small"/>
    <s v="Tier 2"/>
    <x v="0"/>
    <s v="North"/>
    <s v="India"/>
    <s v="Home Office"/>
    <d v="2025-05-04T00:00:00"/>
    <s v="ORD00488"/>
    <d v="2025-05-04T00:00:00"/>
    <d v="2025-05-06T00:00:00"/>
    <s v="Standard Class"/>
    <s v="Uttar Pradesh"/>
    <n v="453729"/>
    <s v="PROD0007"/>
    <s v="Chips"/>
    <s v="Chips - 937"/>
    <n v="2"/>
    <n v="0.1"/>
    <n v="39.020000000000003"/>
  </r>
  <r>
    <s v="CUST0116"/>
    <s v="Praveen"/>
    <s v="Venkatesh"/>
    <d v="1989-07-01T00:00:00"/>
    <n v="2023.15"/>
    <n v="2023"/>
    <s v="Medium"/>
    <s v="Tier 2"/>
    <x v="0"/>
    <s v="Central"/>
    <s v="India"/>
    <s v="Corporate"/>
    <d v="2023-05-04T00:00:00"/>
    <s v="ORD00489"/>
    <d v="2023-05-04T00:00:00"/>
    <d v="2023-05-05T00:00:00"/>
    <s v="Same Day"/>
    <s v="Chhattisgarh"/>
    <n v="226610"/>
    <s v="PROD0004"/>
    <s v="Biscuits"/>
    <s v="Biscuits - 240"/>
    <n v="6"/>
    <n v="0.2"/>
    <n v="230.58"/>
  </r>
  <r>
    <s v="CUST0116"/>
    <s v="Praveen"/>
    <s v="Venkatesh"/>
    <d v="1989-07-01T00:00:00"/>
    <n v="704.62"/>
    <n v="2023"/>
    <s v="Large"/>
    <s v="Tier 2"/>
    <x v="1"/>
    <s v="Central"/>
    <s v="India"/>
    <s v="Corporate"/>
    <d v="2023-11-30T00:00:00"/>
    <s v="ORD00490"/>
    <d v="2023-11-29T00:00:00"/>
    <d v="2023-12-03T00:00:00"/>
    <s v="Same Day"/>
    <s v="Chhattisgarh"/>
    <n v="239849"/>
    <s v="PROD0002"/>
    <s v="Bread"/>
    <s v="Bread - 875"/>
    <n v="7"/>
    <n v="0"/>
    <n v="152.21"/>
  </r>
  <r>
    <s v="CUST0116"/>
    <s v="Praveen"/>
    <s v="Venkatesh"/>
    <d v="1989-07-01T00:00:00"/>
    <n v="78.38"/>
    <n v="2024"/>
    <s v="Small"/>
    <s v="Tier 2"/>
    <x v="4"/>
    <s v="Central"/>
    <s v="India"/>
    <s v="Corporate"/>
    <d v="2024-02-16T00:00:00"/>
    <s v="ORD00491"/>
    <d v="2024-02-16T00:00:00"/>
    <d v="2024-02-17T00:00:00"/>
    <s v="Second Class"/>
    <s v="Chhattisgarh"/>
    <n v="536440"/>
    <s v="PROD0008"/>
    <s v="Onions"/>
    <s v="Onions - 896"/>
    <n v="3"/>
    <n v="0.05"/>
    <n v="5.82"/>
  </r>
  <r>
    <s v="CUST0116"/>
    <s v="Praveen"/>
    <s v="Venkatesh"/>
    <d v="1989-07-01T00:00:00"/>
    <n v="303.35000000000002"/>
    <n v="2024"/>
    <s v="Small"/>
    <s v="Tier 2"/>
    <x v="2"/>
    <s v="Central"/>
    <s v="India"/>
    <s v="Corporate"/>
    <d v="2024-11-28T00:00:00"/>
    <s v="ORD00492"/>
    <d v="2024-11-25T00:00:00"/>
    <d v="2024-11-29T00:00:00"/>
    <s v="First Class"/>
    <s v="Chhattisgarh"/>
    <n v="740195"/>
    <s v="PROD0009"/>
    <s v="Wheat Flour"/>
    <s v="Wheat Flour - 808"/>
    <n v="3"/>
    <n v="0.15"/>
    <n v="39.83"/>
  </r>
  <r>
    <s v="CUST0116"/>
    <s v="Praveen"/>
    <s v="Venkatesh"/>
    <d v="1989-07-01T00:00:00"/>
    <n v="983.5"/>
    <n v="2024"/>
    <s v="Medium"/>
    <s v="Tier 2"/>
    <x v="2"/>
    <s v="Central"/>
    <s v="India"/>
    <s v="Corporate"/>
    <d v="2024-12-03T00:00:00"/>
    <s v="ORD00493"/>
    <d v="2024-12-01T00:00:00"/>
    <d v="2024-12-04T00:00:00"/>
    <s v="Same Day"/>
    <s v="Chhattisgarh"/>
    <n v="684801"/>
    <s v="PROD0012"/>
    <s v="Rice"/>
    <s v="Rice - 710"/>
    <n v="3"/>
    <n v="0.1"/>
    <n v="329.56"/>
  </r>
  <r>
    <s v="CUST0116"/>
    <s v="Praveen"/>
    <s v="Venkatesh"/>
    <d v="1989-07-01T00:00:00"/>
    <n v="3959.77"/>
    <n v="2025"/>
    <s v="Small"/>
    <s v="Tier 2"/>
    <x v="3"/>
    <s v="Central"/>
    <s v="India"/>
    <s v="Corporate"/>
    <d v="2025-01-29T00:00:00"/>
    <s v="ORD00494"/>
    <d v="2025-01-25T00:00:00"/>
    <d v="2025-01-30T00:00:00"/>
    <s v="Standard Class"/>
    <s v="Chhattisgarh"/>
    <n v="907750"/>
    <s v="PROD0005"/>
    <s v="Yogurt"/>
    <s v="Yogurt - 220"/>
    <n v="9"/>
    <n v="0.1"/>
    <n v="627.9"/>
  </r>
  <r>
    <s v="CUST0117"/>
    <s v="Kavya"/>
    <s v="Pillai"/>
    <d v="1984-07-20T00:00:00"/>
    <n v="2070.48"/>
    <n v="2023"/>
    <s v="Large"/>
    <s v="Tier 2"/>
    <x v="4"/>
    <s v="East"/>
    <s v="India"/>
    <s v="Corporate"/>
    <d v="2023-02-24T00:00:00"/>
    <s v="ORD00495"/>
    <d v="2023-02-24T00:00:00"/>
    <d v="2023-02-25T00:00:00"/>
    <s v="Second Class"/>
    <s v="Odisha"/>
    <n v="398911"/>
    <s v="PROD0010"/>
    <s v="Bananas"/>
    <s v="Bananas - 801"/>
    <n v="8"/>
    <n v="0"/>
    <n v="519.78"/>
  </r>
  <r>
    <s v="CUST0117"/>
    <s v="Kavya"/>
    <s v="Pillai"/>
    <d v="1984-07-20T00:00:00"/>
    <n v="1517.14"/>
    <n v="2023"/>
    <s v="Large"/>
    <s v="Tier 2"/>
    <x v="3"/>
    <s v="East"/>
    <s v="India"/>
    <s v="Corporate"/>
    <d v="2023-07-18T00:00:00"/>
    <s v="ORD00496"/>
    <d v="2023-07-18T00:00:00"/>
    <d v="2023-07-19T00:00:00"/>
    <s v="First Class"/>
    <s v="Odisha"/>
    <n v="265722"/>
    <s v="PROD0013"/>
    <s v="Butter"/>
    <s v="Butter - 357"/>
    <n v="6"/>
    <n v="0.2"/>
    <n v="282.10000000000002"/>
  </r>
  <r>
    <s v="CUST0117"/>
    <s v="Kavya"/>
    <s v="Pillai"/>
    <d v="1984-07-20T00:00:00"/>
    <n v="108.02"/>
    <n v="2023"/>
    <s v="Medium"/>
    <s v="Tier 2"/>
    <x v="4"/>
    <s v="East"/>
    <s v="India"/>
    <s v="Corporate"/>
    <d v="2023-08-06T00:00:00"/>
    <s v="ORD00497"/>
    <d v="2023-08-02T00:00:00"/>
    <d v="2023-08-07T00:00:00"/>
    <s v="Standard Class"/>
    <s v="Odisha"/>
    <n v="308405"/>
    <s v="PROD0008"/>
    <s v="Onions"/>
    <s v="Onions - 627"/>
    <n v="2"/>
    <n v="0"/>
    <n v="28.78"/>
  </r>
  <r>
    <s v="CUST0117"/>
    <s v="Kavya"/>
    <s v="Pillai"/>
    <d v="1984-07-20T00:00:00"/>
    <n v="1575.64"/>
    <n v="2023"/>
    <s v="Medium"/>
    <s v="Tier 2"/>
    <x v="2"/>
    <s v="East"/>
    <s v="India"/>
    <s v="Corporate"/>
    <d v="2023-10-13T00:00:00"/>
    <s v="ORD00498"/>
    <d v="2023-10-11T00:00:00"/>
    <d v="2023-10-13T00:00:00"/>
    <s v="First Class"/>
    <s v="Odisha"/>
    <n v="493774"/>
    <s v="PROD0003"/>
    <s v="Pulses"/>
    <s v="Pulses - 433"/>
    <n v="4"/>
    <n v="0"/>
    <n v="186.45"/>
  </r>
  <r>
    <s v="CUST0118"/>
    <s v="Amit"/>
    <s v="Subramaniam"/>
    <d v="1995-06-20T00:00:00"/>
    <n v="2264.8000000000002"/>
    <n v="2023"/>
    <s v="Large"/>
    <s v="Tier 2"/>
    <x v="5"/>
    <s v="North"/>
    <s v="India"/>
    <s v="Consumer"/>
    <d v="2023-02-26T00:00:00"/>
    <s v="ORD00499"/>
    <d v="2023-02-25T00:00:00"/>
    <d v="2023-03-01T00:00:00"/>
    <s v="Second Class"/>
    <s v="Uttar Pradesh"/>
    <n v="382795"/>
    <s v="PROD0017"/>
    <s v="Coffee"/>
    <s v="Coffee - 321"/>
    <n v="10"/>
    <n v="0.05"/>
    <n v="367"/>
  </r>
  <r>
    <s v="CUST0118"/>
    <s v="Amit"/>
    <s v="Subramaniam"/>
    <d v="1995-06-20T00:00:00"/>
    <n v="352.26"/>
    <n v="2023"/>
    <s v="Medium"/>
    <s v="Tier 2"/>
    <x v="3"/>
    <s v="North"/>
    <s v="India"/>
    <s v="Consumer"/>
    <d v="2023-03-18T00:00:00"/>
    <s v="ORD00500"/>
    <d v="2023-03-17T00:00:00"/>
    <d v="2023-03-18T00:00:00"/>
    <s v="Standard Class"/>
    <s v="Uttar Pradesh"/>
    <n v="279517"/>
    <s v="PROD0020"/>
    <s v="Paneer"/>
    <s v="Paneer - 230"/>
    <n v="1"/>
    <n v="0"/>
    <n v="47.27"/>
  </r>
  <r>
    <s v="CUST0118"/>
    <s v="Amit"/>
    <s v="Subramaniam"/>
    <d v="1995-06-20T00:00:00"/>
    <n v="762.08"/>
    <n v="2024"/>
    <s v="Large"/>
    <s v="Tier 2"/>
    <x v="1"/>
    <s v="North"/>
    <s v="India"/>
    <s v="Consumer"/>
    <d v="2024-04-28T00:00:00"/>
    <s v="ORD00501"/>
    <d v="2024-04-27T00:00:00"/>
    <d v="2024-05-02T00:00:00"/>
    <s v="First Class"/>
    <s v="Uttar Pradesh"/>
    <n v="190674"/>
    <s v="PROD0002"/>
    <s v="Bread"/>
    <s v="Bread - 402"/>
    <n v="10"/>
    <n v="0.2"/>
    <n v="183.97"/>
  </r>
  <r>
    <s v="CUST0118"/>
    <s v="Amit"/>
    <s v="Subramaniam"/>
    <d v="1995-06-20T00:00:00"/>
    <n v="972.67"/>
    <n v="2024"/>
    <s v="Large"/>
    <s v="Tier 2"/>
    <x v="5"/>
    <s v="North"/>
    <s v="India"/>
    <s v="Consumer"/>
    <d v="2024-05-12T00:00:00"/>
    <s v="ORD00502"/>
    <d v="2024-05-11T00:00:00"/>
    <d v="2024-05-12T00:00:00"/>
    <s v="First Class"/>
    <s v="Uttar Pradesh"/>
    <n v="359870"/>
    <s v="PROD0015"/>
    <s v="Soft Drinks"/>
    <s v="Soft Drinks - 982"/>
    <n v="4"/>
    <n v="0.2"/>
    <n v="183.67"/>
  </r>
  <r>
    <s v="CUST0118"/>
    <s v="Amit"/>
    <s v="Subramaniam"/>
    <d v="1995-06-20T00:00:00"/>
    <n v="1613.05"/>
    <n v="2024"/>
    <s v="Medium"/>
    <s v="Tier 2"/>
    <x v="1"/>
    <s v="North"/>
    <s v="India"/>
    <s v="Consumer"/>
    <d v="2024-08-22T00:00:00"/>
    <s v="ORD00503"/>
    <d v="2024-08-22T00:00:00"/>
    <d v="2024-08-27T00:00:00"/>
    <s v="Same Day"/>
    <s v="Uttar Pradesh"/>
    <n v="142004"/>
    <s v="PROD0018"/>
    <s v="Buns"/>
    <s v="Buns - 693"/>
    <n v="4"/>
    <n v="0.1"/>
    <n v="538.55999999999995"/>
  </r>
  <r>
    <s v="CUST0118"/>
    <s v="Amit"/>
    <s v="Subramaniam"/>
    <d v="1995-06-20T00:00:00"/>
    <n v="1506.74"/>
    <n v="2025"/>
    <s v="Medium"/>
    <s v="Tier 2"/>
    <x v="5"/>
    <s v="North"/>
    <s v="India"/>
    <s v="Consumer"/>
    <d v="2025-07-01T00:00:00"/>
    <s v="ORD00504"/>
    <d v="2025-06-30T00:00:00"/>
    <d v="2025-07-01T00:00:00"/>
    <s v="First Class"/>
    <s v="Uttar Pradesh"/>
    <n v="187127"/>
    <s v="PROD0019"/>
    <s v="Tea"/>
    <s v="Tea - 535"/>
    <n v="9"/>
    <n v="0.2"/>
    <n v="436.06"/>
  </r>
  <r>
    <s v="CUST0119"/>
    <s v="Ajay"/>
    <s v="Yadav"/>
    <d v="1970-09-23T00:00:00"/>
    <n v="673.75"/>
    <n v="2023"/>
    <s v="Large"/>
    <s v="Tier 2"/>
    <x v="3"/>
    <s v="Central"/>
    <s v="India"/>
    <s v="Corporate"/>
    <d v="2023-01-14T00:00:00"/>
    <s v="ORD00505"/>
    <d v="2023-01-13T00:00:00"/>
    <d v="2023-01-16T00:00:00"/>
    <s v="Standard Class"/>
    <s v="Chhattisgarh"/>
    <n v="999596"/>
    <s v="PROD0005"/>
    <s v="Yogurt"/>
    <s v="Yogurt - 467"/>
    <n v="5"/>
    <n v="0"/>
    <n v="36.909999999999997"/>
  </r>
  <r>
    <s v="CUST0119"/>
    <s v="Ajay"/>
    <s v="Yadav"/>
    <d v="1970-09-23T00:00:00"/>
    <n v="464.25"/>
    <n v="2024"/>
    <s v="Medium"/>
    <s v="Tier 2"/>
    <x v="0"/>
    <s v="Central"/>
    <s v="India"/>
    <s v="Corporate"/>
    <d v="2024-02-22T00:00:00"/>
    <s v="ORD00506"/>
    <d v="2024-02-21T00:00:00"/>
    <d v="2024-02-25T00:00:00"/>
    <s v="Standard Class"/>
    <s v="Chhattisgarh"/>
    <n v="838094"/>
    <s v="PROD0004"/>
    <s v="Biscuits"/>
    <s v="Biscuits - 697"/>
    <n v="1"/>
    <n v="0.05"/>
    <n v="130.71"/>
  </r>
  <r>
    <s v="CUST0119"/>
    <s v="Ajay"/>
    <s v="Yadav"/>
    <d v="1970-09-23T00:00:00"/>
    <n v="348.06"/>
    <n v="2024"/>
    <s v="Medium"/>
    <s v="Tier 2"/>
    <x v="2"/>
    <s v="Central"/>
    <s v="India"/>
    <s v="Corporate"/>
    <d v="2024-12-11T00:00:00"/>
    <s v="ORD00507"/>
    <d v="2024-12-10T00:00:00"/>
    <d v="2024-12-11T00:00:00"/>
    <s v="Second Class"/>
    <s v="Chhattisgarh"/>
    <n v="831963"/>
    <s v="PROD0012"/>
    <s v="Rice"/>
    <s v="Rice - 981"/>
    <n v="2"/>
    <n v="0.15"/>
    <n v="52.16"/>
  </r>
  <r>
    <s v="CUST0119"/>
    <s v="Ajay"/>
    <s v="Yadav"/>
    <d v="1970-09-23T00:00:00"/>
    <n v="1592.36"/>
    <n v="2025"/>
    <s v="Large"/>
    <s v="Tier 2"/>
    <x v="0"/>
    <s v="Central"/>
    <s v="India"/>
    <s v="Corporate"/>
    <d v="2025-01-19T00:00:00"/>
    <s v="ORD00508"/>
    <d v="2025-01-19T00:00:00"/>
    <d v="2025-01-22T00:00:00"/>
    <s v="Second Class"/>
    <s v="Chhattisgarh"/>
    <n v="154067"/>
    <s v="PROD0004"/>
    <s v="Biscuits"/>
    <s v="Biscuits - 689"/>
    <n v="4"/>
    <n v="0"/>
    <n v="376.01"/>
  </r>
  <r>
    <s v="CUST0120"/>
    <s v="Lakshmi"/>
    <s v="Bhat"/>
    <d v="1994-09-28T00:00:00"/>
    <n v="562.29999999999995"/>
    <n v="2024"/>
    <s v="Small"/>
    <s v="Tier 1"/>
    <x v="0"/>
    <s v="South"/>
    <s v="India"/>
    <s v="Home Office"/>
    <d v="2024-01-15T00:00:00"/>
    <s v="ORD00509"/>
    <d v="2024-01-10T00:00:00"/>
    <d v="2024-01-15T00:00:00"/>
    <s v="First Class"/>
    <s v="Tamil Nadu"/>
    <n v="451199"/>
    <s v="PROD0007"/>
    <s v="Chips"/>
    <s v="Chips - 474"/>
    <n v="6"/>
    <n v="0.1"/>
    <n v="147.02000000000001"/>
  </r>
  <r>
    <s v="CUST0120"/>
    <s v="Lakshmi"/>
    <s v="Bhat"/>
    <d v="1994-09-28T00:00:00"/>
    <n v="2393.2199999999998"/>
    <n v="2024"/>
    <s v="Small"/>
    <s v="Tier 1"/>
    <x v="3"/>
    <s v="South"/>
    <s v="India"/>
    <s v="Home Office"/>
    <d v="2024-04-23T00:00:00"/>
    <s v="ORD00510"/>
    <d v="2024-04-21T00:00:00"/>
    <d v="2024-04-23T00:00:00"/>
    <s v="Second Class"/>
    <s v="Tamil Nadu"/>
    <n v="469844"/>
    <s v="PROD0021"/>
    <s v="Milk"/>
    <s v="Milk - 764"/>
    <n v="8"/>
    <n v="0.2"/>
    <n v="536.16999999999996"/>
  </r>
  <r>
    <s v="CUST0121"/>
    <s v="Manoj"/>
    <s v="Reddy"/>
    <d v="1985-09-17T00:00:00"/>
    <n v="1668.48"/>
    <n v="2023"/>
    <s v="Large"/>
    <s v="Tier 1"/>
    <x v="1"/>
    <s v="West"/>
    <s v="India"/>
    <s v="Corporate"/>
    <d v="2023-03-02T00:00:00"/>
    <s v="ORD00511"/>
    <d v="2023-02-25T00:00:00"/>
    <d v="2023-03-02T00:00:00"/>
    <s v="Second Class"/>
    <s v="Maharashtra"/>
    <n v="573933"/>
    <s v="PROD0018"/>
    <s v="Buns"/>
    <s v="Buns - 563"/>
    <n v="8"/>
    <n v="0.2"/>
    <n v="144.85"/>
  </r>
  <r>
    <s v="CUST0121"/>
    <s v="Manoj"/>
    <s v="Reddy"/>
    <d v="1985-09-17T00:00:00"/>
    <n v="209.78"/>
    <n v="2023"/>
    <s v="Medium"/>
    <s v="Tier 1"/>
    <x v="0"/>
    <s v="West"/>
    <s v="India"/>
    <s v="Corporate"/>
    <d v="2023-03-07T00:00:00"/>
    <s v="ORD00512"/>
    <d v="2023-03-06T00:00:00"/>
    <d v="2023-03-10T00:00:00"/>
    <s v="Same Day"/>
    <s v="Maharashtra"/>
    <n v="214677"/>
    <s v="PROD0001"/>
    <s v="Namkeen"/>
    <s v="Namkeen - 919"/>
    <n v="2"/>
    <n v="0.05"/>
    <n v="15.98"/>
  </r>
  <r>
    <s v="CUST0121"/>
    <s v="Manoj"/>
    <s v="Reddy"/>
    <d v="1985-09-17T00:00:00"/>
    <n v="619.78"/>
    <n v="2023"/>
    <s v="Medium"/>
    <s v="Tier 1"/>
    <x v="3"/>
    <s v="West"/>
    <s v="India"/>
    <s v="Corporate"/>
    <d v="2023-10-12T00:00:00"/>
    <s v="ORD00513"/>
    <d v="2023-10-11T00:00:00"/>
    <d v="2023-10-12T00:00:00"/>
    <s v="First Class"/>
    <s v="Maharashtra"/>
    <n v="596925"/>
    <s v="PROD0020"/>
    <s v="Paneer"/>
    <s v="Paneer - 214"/>
    <n v="3"/>
    <n v="0.2"/>
    <n v="68.97"/>
  </r>
  <r>
    <s v="CUST0121"/>
    <s v="Manoj"/>
    <s v="Reddy"/>
    <d v="1985-09-17T00:00:00"/>
    <n v="159.93"/>
    <n v="2024"/>
    <s v="Large"/>
    <s v="Tier 1"/>
    <x v="1"/>
    <s v="West"/>
    <s v="India"/>
    <s v="Corporate"/>
    <d v="2024-03-11T00:00:00"/>
    <s v="ORD00514"/>
    <d v="2024-03-09T00:00:00"/>
    <d v="2024-03-11T00:00:00"/>
    <s v="Second Class"/>
    <s v="Maharashtra"/>
    <n v="531690"/>
    <s v="PROD0018"/>
    <s v="Buns"/>
    <s v="Buns - 554"/>
    <n v="1"/>
    <n v="0"/>
    <n v="9.0500000000000007"/>
  </r>
  <r>
    <s v="CUST0121"/>
    <s v="Manoj"/>
    <s v="Reddy"/>
    <d v="1985-09-17T00:00:00"/>
    <n v="1292.08"/>
    <n v="2024"/>
    <s v="Medium"/>
    <s v="Tier 1"/>
    <x v="0"/>
    <s v="West"/>
    <s v="India"/>
    <s v="Corporate"/>
    <d v="2024-06-02T00:00:00"/>
    <s v="ORD00515"/>
    <d v="2024-05-30T00:00:00"/>
    <d v="2024-06-04T00:00:00"/>
    <s v="Second Class"/>
    <s v="Maharashtra"/>
    <n v="694806"/>
    <s v="PROD0001"/>
    <s v="Namkeen"/>
    <s v="Namkeen - 771"/>
    <n v="6"/>
    <n v="0.15"/>
    <n v="334.73"/>
  </r>
  <r>
    <s v="CUST0121"/>
    <s v="Manoj"/>
    <s v="Reddy"/>
    <d v="1985-09-17T00:00:00"/>
    <n v="644.29999999999995"/>
    <n v="2024"/>
    <s v="Medium"/>
    <s v="Tier 1"/>
    <x v="3"/>
    <s v="West"/>
    <s v="India"/>
    <s v="Corporate"/>
    <d v="2024-11-27T00:00:00"/>
    <s v="ORD00516"/>
    <d v="2024-11-27T00:00:00"/>
    <d v="2024-11-28T00:00:00"/>
    <s v="Second Class"/>
    <s v="Maharashtra"/>
    <n v="578073"/>
    <s v="PROD0020"/>
    <s v="Paneer"/>
    <s v="Paneer - 275"/>
    <n v="5"/>
    <n v="0"/>
    <n v="219.85"/>
  </r>
  <r>
    <s v="CUST0122"/>
    <s v="Karthik"/>
    <s v="Kumar"/>
    <d v="1974-06-30T00:00:00"/>
    <n v="292.2"/>
    <n v="2023"/>
    <s v="Medium"/>
    <s v="Tier 2"/>
    <x v="2"/>
    <s v="East"/>
    <s v="India"/>
    <s v="Corporate"/>
    <d v="2023-06-15T00:00:00"/>
    <s v="ORD00517"/>
    <d v="2023-06-14T00:00:00"/>
    <d v="2023-06-17T00:00:00"/>
    <s v="Second Class"/>
    <s v="West Bengal"/>
    <n v="487629"/>
    <s v="PROD0003"/>
    <s v="Pulses"/>
    <s v="Pulses - 782"/>
    <n v="3"/>
    <n v="0"/>
    <n v="18.22"/>
  </r>
  <r>
    <s v="CUST0122"/>
    <s v="Karthik"/>
    <s v="Kumar"/>
    <d v="1974-06-30T00:00:00"/>
    <n v="339.47"/>
    <n v="2023"/>
    <s v="Small"/>
    <s v="Tier 2"/>
    <x v="3"/>
    <s v="East"/>
    <s v="India"/>
    <s v="Corporate"/>
    <d v="2023-07-03T00:00:00"/>
    <s v="ORD00518"/>
    <d v="2023-06-29T00:00:00"/>
    <d v="2023-07-03T00:00:00"/>
    <s v="Second Class"/>
    <s v="West Bengal"/>
    <n v="227391"/>
    <s v="PROD0005"/>
    <s v="Yogurt"/>
    <s v="Yogurt - 675"/>
    <n v="1"/>
    <n v="0"/>
    <n v="32.04"/>
  </r>
  <r>
    <s v="CUST0122"/>
    <s v="Karthik"/>
    <s v="Kumar"/>
    <d v="1974-06-30T00:00:00"/>
    <n v="1424.82"/>
    <n v="2023"/>
    <s v="Medium"/>
    <s v="Tier 2"/>
    <x v="4"/>
    <s v="East"/>
    <s v="India"/>
    <s v="Corporate"/>
    <d v="2023-07-10T00:00:00"/>
    <s v="ORD00519"/>
    <d v="2023-07-06T00:00:00"/>
    <d v="2023-07-11T00:00:00"/>
    <s v="Second Class"/>
    <s v="West Bengal"/>
    <n v="596931"/>
    <s v="PROD0008"/>
    <s v="Onions"/>
    <s v="Onions - 611"/>
    <n v="3"/>
    <n v="0"/>
    <n v="137.94999999999999"/>
  </r>
  <r>
    <s v="CUST0122"/>
    <s v="Karthik"/>
    <s v="Kumar"/>
    <d v="1974-06-30T00:00:00"/>
    <n v="1029.69"/>
    <n v="2023"/>
    <s v="Large"/>
    <s v="Tier 2"/>
    <x v="1"/>
    <s v="East"/>
    <s v="India"/>
    <s v="Corporate"/>
    <d v="2023-10-22T00:00:00"/>
    <s v="ORD00520"/>
    <d v="2023-10-20T00:00:00"/>
    <d v="2023-10-24T00:00:00"/>
    <s v="Same Day"/>
    <s v="West Bengal"/>
    <n v="867180"/>
    <s v="PROD0006"/>
    <s v="Cookies"/>
    <s v="Cookies - 782"/>
    <n v="3"/>
    <n v="0.15"/>
    <n v="331.63"/>
  </r>
  <r>
    <s v="CUST0122"/>
    <s v="Karthik"/>
    <s v="Kumar"/>
    <d v="1974-06-30T00:00:00"/>
    <n v="684.9"/>
    <n v="2024"/>
    <s v="Medium"/>
    <s v="Tier 2"/>
    <x v="5"/>
    <s v="East"/>
    <s v="India"/>
    <s v="Corporate"/>
    <d v="2024-07-03T00:00:00"/>
    <s v="ORD00521"/>
    <d v="2024-07-02T00:00:00"/>
    <d v="2024-07-04T00:00:00"/>
    <s v="Same Day"/>
    <s v="West Bengal"/>
    <n v="442220"/>
    <s v="PROD0019"/>
    <s v="Tea"/>
    <s v="Tea - 242"/>
    <n v="9"/>
    <n v="0"/>
    <n v="116.77"/>
  </r>
  <r>
    <s v="CUST0122"/>
    <s v="Karthik"/>
    <s v="Kumar"/>
    <d v="1974-06-30T00:00:00"/>
    <n v="911.74"/>
    <n v="2024"/>
    <s v="Large"/>
    <s v="Tier 2"/>
    <x v="4"/>
    <s v="East"/>
    <s v="India"/>
    <s v="Corporate"/>
    <d v="2024-09-25T00:00:00"/>
    <s v="ORD00522"/>
    <d v="2024-09-25T00:00:00"/>
    <d v="2024-09-26T00:00:00"/>
    <s v="Standard Class"/>
    <s v="West Bengal"/>
    <n v="809952"/>
    <s v="PROD0010"/>
    <s v="Bananas"/>
    <s v="Bananas - 697"/>
    <n v="9"/>
    <n v="0.2"/>
    <n v="121.61"/>
  </r>
  <r>
    <s v="CUST0122"/>
    <s v="Karthik"/>
    <s v="Kumar"/>
    <d v="1974-06-30T00:00:00"/>
    <n v="793.38"/>
    <n v="2024"/>
    <s v="Large"/>
    <s v="Tier 2"/>
    <x v="2"/>
    <s v="East"/>
    <s v="India"/>
    <s v="Corporate"/>
    <d v="2024-12-29T00:00:00"/>
    <s v="ORD00523"/>
    <d v="2024-12-29T00:00:00"/>
    <d v="2025-01-03T00:00:00"/>
    <s v="Second Class"/>
    <s v="West Bengal"/>
    <n v="516869"/>
    <s v="PROD0012"/>
    <s v="Rice"/>
    <s v="Rice - 624"/>
    <n v="7"/>
    <n v="0"/>
    <n v="183.23"/>
  </r>
  <r>
    <s v="CUST0123"/>
    <s v="Ganesh"/>
    <s v="Mishra"/>
    <d v="1982-01-03T00:00:00"/>
    <n v="156.63"/>
    <n v="2024"/>
    <s v="Small"/>
    <s v="Tier 2"/>
    <x v="1"/>
    <s v="West"/>
    <s v="India"/>
    <s v="Corporate"/>
    <d v="2024-03-17T00:00:00"/>
    <s v="ORD00524"/>
    <d v="2024-03-13T00:00:00"/>
    <d v="2024-03-17T00:00:00"/>
    <s v="First Class"/>
    <s v="Goa"/>
    <n v="863209"/>
    <s v="PROD0018"/>
    <s v="Buns"/>
    <s v="Buns - 481"/>
    <n v="1"/>
    <n v="0"/>
    <n v="22.31"/>
  </r>
  <r>
    <s v="CUST0123"/>
    <s v="Ganesh"/>
    <s v="Mishra"/>
    <d v="1982-01-03T00:00:00"/>
    <n v="1014.66"/>
    <n v="2025"/>
    <s v="Small"/>
    <s v="Tier 2"/>
    <x v="5"/>
    <s v="West"/>
    <s v="India"/>
    <s v="Corporate"/>
    <d v="2025-05-27T00:00:00"/>
    <s v="ORD00525"/>
    <d v="2025-05-24T00:00:00"/>
    <d v="2025-05-28T00:00:00"/>
    <s v="Same Day"/>
    <s v="Goa"/>
    <n v="250616"/>
    <s v="PROD0015"/>
    <s v="Soft Drinks"/>
    <s v="Soft Drinks - 922"/>
    <n v="8"/>
    <n v="0.2"/>
    <n v="272.33"/>
  </r>
  <r>
    <s v="CUST0124"/>
    <s v="Sai"/>
    <s v="Bose"/>
    <d v="1965-11-14T00:00:00"/>
    <n v="3829.3"/>
    <n v="2024"/>
    <s v="Small"/>
    <s v="Tier 2"/>
    <x v="0"/>
    <s v="East"/>
    <s v="India"/>
    <s v="Corporate"/>
    <d v="2024-05-04T00:00:00"/>
    <s v="ORD00526"/>
    <d v="2024-05-01T00:00:00"/>
    <d v="2024-05-04T00:00:00"/>
    <s v="Standard Class"/>
    <s v="Jharkhand"/>
    <n v="844747"/>
    <s v="PROD0001"/>
    <s v="Namkeen"/>
    <s v="Namkeen - 167"/>
    <n v="10"/>
    <n v="0"/>
    <n v="199.07"/>
  </r>
  <r>
    <s v="CUST0124"/>
    <s v="Sai"/>
    <s v="Bose"/>
    <d v="1965-11-14T00:00:00"/>
    <n v="1258.5"/>
    <n v="2025"/>
    <s v="Large"/>
    <s v="Tier 2"/>
    <x v="0"/>
    <s v="East"/>
    <s v="India"/>
    <s v="Corporate"/>
    <d v="2025-06-08T00:00:00"/>
    <s v="ORD00527"/>
    <d v="2025-06-07T00:00:00"/>
    <d v="2025-06-08T00:00:00"/>
    <s v="Second Class"/>
    <s v="Jharkhand"/>
    <n v="618101"/>
    <s v="PROD0007"/>
    <s v="Chips"/>
    <s v="Chips - 304"/>
    <n v="3"/>
    <n v="0"/>
    <n v="272.04000000000002"/>
  </r>
  <r>
    <s v="CUST0125"/>
    <s v="Kavya"/>
    <s v="Krishnan"/>
    <d v="1968-01-30T00:00:00"/>
    <n v="1915.56"/>
    <n v="2023"/>
    <s v="Medium"/>
    <s v="Tier 1"/>
    <x v="4"/>
    <s v="South"/>
    <s v="India"/>
    <s v="Consumer"/>
    <d v="2023-01-29T00:00:00"/>
    <s v="ORD00528"/>
    <d v="2023-01-28T00:00:00"/>
    <d v="2023-01-29T00:00:00"/>
    <s v="First Class"/>
    <s v="Karnataka"/>
    <n v="615780"/>
    <s v="PROD0010"/>
    <s v="Bananas"/>
    <s v="Bananas - 368"/>
    <n v="5"/>
    <n v="0.2"/>
    <n v="461.59"/>
  </r>
  <r>
    <s v="CUST0125"/>
    <s v="Kavya"/>
    <s v="Krishnan"/>
    <d v="1968-01-30T00:00:00"/>
    <n v="77.290000000000006"/>
    <n v="2023"/>
    <s v="Large"/>
    <s v="Tier 1"/>
    <x v="2"/>
    <s v="South"/>
    <s v="India"/>
    <s v="Consumer"/>
    <d v="2023-08-19T00:00:00"/>
    <s v="ORD00529"/>
    <d v="2023-08-18T00:00:00"/>
    <d v="2023-08-19T00:00:00"/>
    <s v="Standard Class"/>
    <s v="Karnataka"/>
    <n v="693047"/>
    <s v="PROD0003"/>
    <s v="Pulses"/>
    <s v="Pulses - 350"/>
    <n v="1"/>
    <n v="0"/>
    <n v="15.3"/>
  </r>
  <r>
    <s v="CUST0125"/>
    <s v="Kavya"/>
    <s v="Krishnan"/>
    <d v="1968-01-30T00:00:00"/>
    <n v="3120.9"/>
    <n v="2024"/>
    <s v="Large"/>
    <s v="Tier 1"/>
    <x v="5"/>
    <s v="South"/>
    <s v="India"/>
    <s v="Consumer"/>
    <d v="2024-04-24T00:00:00"/>
    <s v="ORD00530"/>
    <d v="2024-04-19T00:00:00"/>
    <d v="2024-04-24T00:00:00"/>
    <s v="Same Day"/>
    <s v="Karnataka"/>
    <n v="986340"/>
    <s v="PROD0011"/>
    <s v="Juice"/>
    <s v="Juice - 743"/>
    <n v="8"/>
    <n v="0.2"/>
    <n v="268.01"/>
  </r>
  <r>
    <s v="CUST0125"/>
    <s v="Kavya"/>
    <s v="Krishnan"/>
    <d v="1968-01-30T00:00:00"/>
    <n v="85.64"/>
    <n v="2025"/>
    <s v="Small"/>
    <s v="Tier 1"/>
    <x v="1"/>
    <s v="South"/>
    <s v="India"/>
    <s v="Consumer"/>
    <d v="2025-03-22T00:00:00"/>
    <s v="ORD00531"/>
    <d v="2025-03-21T00:00:00"/>
    <d v="2025-03-23T00:00:00"/>
    <s v="Same Day"/>
    <s v="Karnataka"/>
    <n v="385915"/>
    <s v="PROD0002"/>
    <s v="Bread"/>
    <s v="Bread - 695"/>
    <n v="1"/>
    <n v="0.05"/>
    <n v="26.85"/>
  </r>
  <r>
    <s v="CUST0126"/>
    <s v="Saanvi"/>
    <s v="Kulkarni"/>
    <d v="1965-11-30T00:00:00"/>
    <n v="426.66"/>
    <n v="2023"/>
    <s v="Large"/>
    <s v="Tier 2"/>
    <x v="1"/>
    <s v="Central"/>
    <s v="India"/>
    <s v="Consumer"/>
    <d v="2023-02-19T00:00:00"/>
    <s v="ORD00532"/>
    <d v="2023-02-19T00:00:00"/>
    <d v="2023-02-20T00:00:00"/>
    <s v="Second Class"/>
    <s v="Chhattisgarh"/>
    <n v="431570"/>
    <s v="PROD0018"/>
    <s v="Buns"/>
    <s v="Buns - 642"/>
    <n v="2"/>
    <n v="0.2"/>
    <n v="101.72"/>
  </r>
  <r>
    <s v="CUST0126"/>
    <s v="Saanvi"/>
    <s v="Kulkarni"/>
    <d v="1965-11-30T00:00:00"/>
    <n v="356.4"/>
    <n v="2023"/>
    <s v="Small"/>
    <s v="Tier 2"/>
    <x v="2"/>
    <s v="Central"/>
    <s v="India"/>
    <s v="Consumer"/>
    <d v="2023-12-31T00:00:00"/>
    <s v="ORD00533"/>
    <d v="2023-12-31T00:00:00"/>
    <d v="2024-01-02T00:00:00"/>
    <s v="Second Class"/>
    <s v="Chhattisgarh"/>
    <n v="491133"/>
    <s v="PROD0009"/>
    <s v="Wheat Flour"/>
    <s v="Wheat Flour - 377"/>
    <n v="6"/>
    <n v="0.1"/>
    <n v="55.42"/>
  </r>
  <r>
    <s v="CUST0126"/>
    <s v="Saanvi"/>
    <s v="Kulkarni"/>
    <d v="1965-11-30T00:00:00"/>
    <n v="207.48"/>
    <n v="2024"/>
    <s v="Large"/>
    <s v="Tier 2"/>
    <x v="5"/>
    <s v="Central"/>
    <s v="India"/>
    <s v="Consumer"/>
    <d v="2024-10-15T00:00:00"/>
    <s v="ORD00534"/>
    <d v="2024-10-13T00:00:00"/>
    <d v="2024-10-15T00:00:00"/>
    <s v="Same Day"/>
    <s v="Chhattisgarh"/>
    <n v="537619"/>
    <s v="PROD0015"/>
    <s v="Soft Drinks"/>
    <s v="Soft Drinks - 448"/>
    <n v="3"/>
    <n v="0"/>
    <n v="41.71"/>
  </r>
  <r>
    <s v="CUST0127"/>
    <s v="Ishaan"/>
    <s v="Bose"/>
    <d v="1995-01-12T00:00:00"/>
    <n v="1758.5"/>
    <n v="2023"/>
    <s v="Medium"/>
    <s v="Tier 2"/>
    <x v="4"/>
    <s v="South"/>
    <s v="India"/>
    <s v="Corporate"/>
    <d v="2023-03-24T00:00:00"/>
    <s v="ORD00535"/>
    <d v="2023-03-20T00:00:00"/>
    <d v="2023-03-25T00:00:00"/>
    <s v="First Class"/>
    <s v="Andhra Pradesh"/>
    <n v="844378"/>
    <s v="PROD0008"/>
    <s v="Onions"/>
    <s v="Onions - 456"/>
    <n v="5"/>
    <n v="0"/>
    <n v="518.95000000000005"/>
  </r>
  <r>
    <s v="CUST0127"/>
    <s v="Ishaan"/>
    <s v="Bose"/>
    <d v="1995-01-12T00:00:00"/>
    <n v="202.77"/>
    <n v="2023"/>
    <s v="Small"/>
    <s v="Tier 2"/>
    <x v="1"/>
    <s v="South"/>
    <s v="India"/>
    <s v="Corporate"/>
    <d v="2023-05-01T00:00:00"/>
    <s v="ORD00536"/>
    <d v="2023-04-30T00:00:00"/>
    <d v="2023-05-02T00:00:00"/>
    <s v="First Class"/>
    <s v="Andhra Pradesh"/>
    <n v="236543"/>
    <s v="PROD0002"/>
    <s v="Bread"/>
    <s v="Bread - 862"/>
    <n v="2"/>
    <n v="0.2"/>
    <n v="52.37"/>
  </r>
  <r>
    <s v="CUST0127"/>
    <s v="Ishaan"/>
    <s v="Bose"/>
    <d v="1995-01-12T00:00:00"/>
    <n v="91.7"/>
    <n v="2023"/>
    <s v="Small"/>
    <s v="Tier 2"/>
    <x v="4"/>
    <s v="South"/>
    <s v="India"/>
    <s v="Corporate"/>
    <d v="2023-05-15T00:00:00"/>
    <s v="ORD00537"/>
    <d v="2023-05-15T00:00:00"/>
    <d v="2023-05-19T00:00:00"/>
    <s v="Same Day"/>
    <s v="Andhra Pradesh"/>
    <n v="134385"/>
    <s v="PROD0008"/>
    <s v="Onions"/>
    <s v="Onions - 807"/>
    <n v="2"/>
    <n v="0.2"/>
    <n v="17.91"/>
  </r>
  <r>
    <s v="CUST0127"/>
    <s v="Ishaan"/>
    <s v="Bose"/>
    <d v="1995-01-12T00:00:00"/>
    <n v="245.16"/>
    <n v="2025"/>
    <s v="Small"/>
    <s v="Tier 2"/>
    <x v="2"/>
    <s v="South"/>
    <s v="India"/>
    <s v="Corporate"/>
    <d v="2025-04-18T00:00:00"/>
    <s v="ORD00538"/>
    <d v="2025-04-18T00:00:00"/>
    <d v="2025-04-21T00:00:00"/>
    <s v="Same Day"/>
    <s v="Andhra Pradesh"/>
    <n v="731024"/>
    <s v="PROD0003"/>
    <s v="Pulses"/>
    <s v="Pulses - 707"/>
    <n v="1"/>
    <n v="0"/>
    <n v="15.44"/>
  </r>
  <r>
    <s v="CUST0128"/>
    <s v="Ayesha"/>
    <s v="Pillai"/>
    <d v="1999-05-27T00:00:00"/>
    <n v="152.78"/>
    <n v="2023"/>
    <s v="Medium"/>
    <s v="Tier 2"/>
    <x v="2"/>
    <s v="North"/>
    <s v="India"/>
    <s v="Home Office"/>
    <d v="2023-07-11T00:00:00"/>
    <s v="ORD00539"/>
    <d v="2023-07-09T00:00:00"/>
    <d v="2023-07-14T00:00:00"/>
    <s v="First Class"/>
    <s v="Haryana"/>
    <n v="996677"/>
    <s v="PROD0009"/>
    <s v="Wheat Flour"/>
    <s v="Wheat Flour - 129"/>
    <n v="2"/>
    <n v="0.15"/>
    <n v="50.81"/>
  </r>
  <r>
    <s v="CUST0128"/>
    <s v="Ayesha"/>
    <s v="Pillai"/>
    <d v="1999-05-27T00:00:00"/>
    <n v="1049.44"/>
    <n v="2023"/>
    <s v="Large"/>
    <s v="Tier 2"/>
    <x v="0"/>
    <s v="North"/>
    <s v="India"/>
    <s v="Home Office"/>
    <d v="2023-07-24T00:00:00"/>
    <s v="ORD00540"/>
    <d v="2023-07-24T00:00:00"/>
    <d v="2023-07-29T00:00:00"/>
    <s v="First Class"/>
    <s v="Haryana"/>
    <n v="850582"/>
    <s v="PROD0004"/>
    <s v="Biscuits"/>
    <s v="Biscuits - 727"/>
    <n v="4"/>
    <n v="0"/>
    <n v="83.67"/>
  </r>
  <r>
    <s v="CUST0129"/>
    <s v="Deepa"/>
    <s v="Venkatesh"/>
    <d v="1997-03-23T00:00:00"/>
    <n v="834.53"/>
    <n v="2023"/>
    <s v="Large"/>
    <s v="Tier 2"/>
    <x v="0"/>
    <s v="South"/>
    <s v="India"/>
    <s v="Corporate"/>
    <d v="2023-06-27T00:00:00"/>
    <s v="ORD00541"/>
    <d v="2023-06-25T00:00:00"/>
    <d v="2023-06-29T00:00:00"/>
    <s v="First Class"/>
    <s v="Andhra Pradesh"/>
    <n v="561023"/>
    <s v="PROD0007"/>
    <s v="Chips"/>
    <s v="Chips - 842"/>
    <n v="2"/>
    <n v="0.1"/>
    <n v="254.86"/>
  </r>
  <r>
    <s v="CUST0129"/>
    <s v="Deepa"/>
    <s v="Venkatesh"/>
    <d v="1997-03-23T00:00:00"/>
    <n v="2798.81"/>
    <n v="2023"/>
    <s v="Small"/>
    <s v="Tier 2"/>
    <x v="2"/>
    <s v="South"/>
    <s v="India"/>
    <s v="Corporate"/>
    <d v="2023-10-17T00:00:00"/>
    <s v="ORD00542"/>
    <d v="2023-10-16T00:00:00"/>
    <d v="2023-10-18T00:00:00"/>
    <s v="Second Class"/>
    <s v="Andhra Pradesh"/>
    <n v="229620"/>
    <s v="PROD0012"/>
    <s v="Rice"/>
    <s v="Rice - 285"/>
    <n v="6"/>
    <n v="0.05"/>
    <n v="319.85000000000002"/>
  </r>
  <r>
    <s v="CUST0130"/>
    <s v="Reyansh"/>
    <s v="Bhat"/>
    <d v="1966-02-25T00:00:00"/>
    <n v="3299.67"/>
    <n v="2023"/>
    <s v="Medium"/>
    <s v="Tier 1"/>
    <x v="1"/>
    <s v="North"/>
    <s v="India"/>
    <s v="Corporate"/>
    <d v="2023-05-21T00:00:00"/>
    <s v="ORD00543"/>
    <d v="2023-05-20T00:00:00"/>
    <d v="2023-05-21T00:00:00"/>
    <s v="Standard Class"/>
    <s v="Delhi"/>
    <n v="729554"/>
    <s v="PROD0006"/>
    <s v="Cookies"/>
    <s v="Cookies - 395"/>
    <n v="9"/>
    <n v="0"/>
    <n v="489.79"/>
  </r>
  <r>
    <s v="CUST0130"/>
    <s v="Reyansh"/>
    <s v="Bhat"/>
    <d v="1966-02-25T00:00:00"/>
    <n v="975.99"/>
    <n v="2024"/>
    <s v="Small"/>
    <s v="Tier 1"/>
    <x v="2"/>
    <s v="North"/>
    <s v="India"/>
    <s v="Corporate"/>
    <d v="2024-05-23T00:00:00"/>
    <s v="ORD00544"/>
    <d v="2024-05-22T00:00:00"/>
    <d v="2024-05-26T00:00:00"/>
    <s v="Standard Class"/>
    <s v="Delhi"/>
    <n v="812120"/>
    <s v="PROD0009"/>
    <s v="Wheat Flour"/>
    <s v="Wheat Flour - 803"/>
    <n v="8"/>
    <n v="0.05"/>
    <n v="133.88"/>
  </r>
  <r>
    <s v="CUST0130"/>
    <s v="Reyansh"/>
    <s v="Bhat"/>
    <d v="1966-02-25T00:00:00"/>
    <n v="2603.84"/>
    <n v="2024"/>
    <s v="Small"/>
    <s v="Tier 1"/>
    <x v="1"/>
    <s v="North"/>
    <s v="India"/>
    <s v="Corporate"/>
    <d v="2024-06-16T00:00:00"/>
    <s v="ORD00545"/>
    <d v="2024-06-16T00:00:00"/>
    <d v="2024-06-17T00:00:00"/>
    <s v="Standard Class"/>
    <s v="Delhi"/>
    <n v="520085"/>
    <s v="PROD0002"/>
    <s v="Bread"/>
    <s v="Bread - 113"/>
    <n v="8"/>
    <n v="0.05"/>
    <n v="472.38"/>
  </r>
  <r>
    <s v="CUST0130"/>
    <s v="Reyansh"/>
    <s v="Bhat"/>
    <d v="1966-02-25T00:00:00"/>
    <n v="153.18"/>
    <n v="2025"/>
    <s v="Small"/>
    <s v="Tier 1"/>
    <x v="2"/>
    <s v="North"/>
    <s v="India"/>
    <s v="Corporate"/>
    <d v="2025-02-22T00:00:00"/>
    <s v="ORD00546"/>
    <d v="2025-02-19T00:00:00"/>
    <d v="2025-02-24T00:00:00"/>
    <s v="First Class"/>
    <s v="Delhi"/>
    <n v="978821"/>
    <s v="PROD0003"/>
    <s v="Pulses"/>
    <s v="Pulses - 204"/>
    <n v="3"/>
    <n v="0"/>
    <n v="23.22"/>
  </r>
  <r>
    <s v="CUST0131"/>
    <s v="Sana"/>
    <s v="Gupta"/>
    <d v="1968-05-30T00:00:00"/>
    <n v="1532.12"/>
    <n v="2023"/>
    <s v="Medium"/>
    <s v="Tier 2"/>
    <x v="2"/>
    <s v="Central"/>
    <s v="India"/>
    <s v="Consumer"/>
    <d v="2023-10-15T00:00:00"/>
    <s v="ORD00547"/>
    <d v="2023-10-13T00:00:00"/>
    <d v="2023-10-17T00:00:00"/>
    <s v="Standard Class"/>
    <s v="Madhya Pradesh"/>
    <n v="608069"/>
    <s v="PROD0003"/>
    <s v="Pulses"/>
    <s v="Pulses - 707"/>
    <n v="5"/>
    <n v="0.2"/>
    <n v="372.53"/>
  </r>
  <r>
    <s v="CUST0131"/>
    <s v="Sana"/>
    <s v="Gupta"/>
    <d v="1968-05-30T00:00:00"/>
    <n v="574.88"/>
    <n v="2024"/>
    <s v="Small"/>
    <s v="Tier 2"/>
    <x v="0"/>
    <s v="Central"/>
    <s v="India"/>
    <s v="Consumer"/>
    <d v="2024-05-28T00:00:00"/>
    <s v="ORD00548"/>
    <d v="2024-05-26T00:00:00"/>
    <d v="2024-05-28T00:00:00"/>
    <s v="Same Day"/>
    <s v="Madhya Pradesh"/>
    <n v="204441"/>
    <s v="PROD0001"/>
    <s v="Namkeen"/>
    <s v="Namkeen - 250"/>
    <n v="8"/>
    <n v="0"/>
    <n v="113.14"/>
  </r>
  <r>
    <s v="CUST0131"/>
    <s v="Sana"/>
    <s v="Gupta"/>
    <d v="1968-05-30T00:00:00"/>
    <n v="518.20000000000005"/>
    <n v="2025"/>
    <s v="Large"/>
    <s v="Tier 2"/>
    <x v="2"/>
    <s v="Central"/>
    <s v="India"/>
    <s v="Consumer"/>
    <d v="2025-02-26T00:00:00"/>
    <s v="ORD00549"/>
    <d v="2025-02-22T00:00:00"/>
    <d v="2025-02-26T00:00:00"/>
    <s v="Second Class"/>
    <s v="Madhya Pradesh"/>
    <n v="260155"/>
    <s v="PROD0012"/>
    <s v="Rice"/>
    <s v="Rice - 950"/>
    <n v="2"/>
    <n v="0"/>
    <n v="177.03"/>
  </r>
  <r>
    <s v="CUST0132"/>
    <s v="Ayesha"/>
    <s v="Joshi"/>
    <d v="1978-07-13T00:00:00"/>
    <n v="795.12"/>
    <n v="2023"/>
    <s v="Large"/>
    <s v="Tier 2"/>
    <x v="4"/>
    <s v="Central"/>
    <s v="India"/>
    <s v="Home Office"/>
    <d v="2023-04-11T00:00:00"/>
    <s v="ORD00550"/>
    <d v="2023-04-09T00:00:00"/>
    <d v="2023-04-14T00:00:00"/>
    <s v="Second Class"/>
    <s v="Chhattisgarh"/>
    <n v="948802"/>
    <s v="PROD0008"/>
    <s v="Onions"/>
    <s v="Onions - 911"/>
    <n v="8"/>
    <n v="0.15"/>
    <n v="158.52000000000001"/>
  </r>
  <r>
    <s v="CUST0132"/>
    <s v="Ayesha"/>
    <s v="Joshi"/>
    <d v="1978-07-13T00:00:00"/>
    <n v="495.54"/>
    <n v="2024"/>
    <s v="Medium"/>
    <s v="Tier 2"/>
    <x v="0"/>
    <s v="Central"/>
    <s v="India"/>
    <s v="Home Office"/>
    <d v="2024-10-03T00:00:00"/>
    <s v="ORD00551"/>
    <d v="2024-09-30T00:00:00"/>
    <d v="2024-10-03T00:00:00"/>
    <s v="Standard Class"/>
    <s v="Chhattisgarh"/>
    <n v="137728"/>
    <s v="PROD0004"/>
    <s v="Biscuits"/>
    <s v="Biscuits - 118"/>
    <n v="1"/>
    <n v="0"/>
    <n v="81.81"/>
  </r>
  <r>
    <s v="CUST0132"/>
    <s v="Ayesha"/>
    <s v="Joshi"/>
    <d v="1978-07-13T00:00:00"/>
    <n v="2223.3000000000002"/>
    <n v="2025"/>
    <s v="Large"/>
    <s v="Tier 2"/>
    <x v="4"/>
    <s v="Central"/>
    <s v="India"/>
    <s v="Home Office"/>
    <d v="2025-02-18T00:00:00"/>
    <s v="ORD00552"/>
    <d v="2025-02-17T00:00:00"/>
    <d v="2025-02-19T00:00:00"/>
    <s v="Standard Class"/>
    <s v="Chhattisgarh"/>
    <n v="611133"/>
    <s v="PROD0010"/>
    <s v="Bananas"/>
    <s v="Bananas - 670"/>
    <n v="5"/>
    <n v="0"/>
    <n v="438.98"/>
  </r>
  <r>
    <s v="CUST0133"/>
    <s v="Aditya"/>
    <s v="Singh"/>
    <d v="1988-11-24T00:00:00"/>
    <n v="1590.02"/>
    <n v="2024"/>
    <s v="Medium"/>
    <s v="Tier 2"/>
    <x v="2"/>
    <s v="North"/>
    <s v="India"/>
    <s v="Consumer"/>
    <d v="2024-05-18T00:00:00"/>
    <s v="ORD00553"/>
    <d v="2024-05-17T00:00:00"/>
    <d v="2024-05-18T00:00:00"/>
    <s v="Standard Class"/>
    <s v="Uttarakhand"/>
    <n v="719755"/>
    <s v="PROD0003"/>
    <s v="Pulses"/>
    <s v="Pulses - 685"/>
    <n v="8"/>
    <n v="0.2"/>
    <n v="154.06"/>
  </r>
  <r>
    <s v="CUST0133"/>
    <s v="Aditya"/>
    <s v="Singh"/>
    <d v="1988-11-24T00:00:00"/>
    <n v="869.15"/>
    <n v="2024"/>
    <s v="Medium"/>
    <s v="Tier 2"/>
    <x v="5"/>
    <s v="North"/>
    <s v="India"/>
    <s v="Consumer"/>
    <d v="2024-07-22T00:00:00"/>
    <s v="ORD00554"/>
    <d v="2024-07-21T00:00:00"/>
    <d v="2024-07-23T00:00:00"/>
    <s v="Same Day"/>
    <s v="Uttarakhand"/>
    <n v="902364"/>
    <s v="PROD0011"/>
    <s v="Juice"/>
    <s v="Juice - 884"/>
    <n v="5"/>
    <n v="0"/>
    <n v="197.42"/>
  </r>
  <r>
    <s v="CUST0133"/>
    <s v="Aditya"/>
    <s v="Singh"/>
    <d v="1988-11-24T00:00:00"/>
    <n v="451.02"/>
    <n v="2024"/>
    <s v="Small"/>
    <s v="Tier 2"/>
    <x v="2"/>
    <s v="North"/>
    <s v="India"/>
    <s v="Consumer"/>
    <d v="2024-08-05T00:00:00"/>
    <s v="ORD00555"/>
    <d v="2024-08-05T00:00:00"/>
    <d v="2024-08-06T00:00:00"/>
    <s v="First Class"/>
    <s v="Uttarakhand"/>
    <n v="779564"/>
    <s v="PROD0009"/>
    <s v="Wheat Flour"/>
    <s v="Wheat Flour - 489"/>
    <n v="2"/>
    <n v="0"/>
    <n v="78.290000000000006"/>
  </r>
  <r>
    <s v="CUST0133"/>
    <s v="Aditya"/>
    <s v="Singh"/>
    <d v="1988-11-24T00:00:00"/>
    <n v="874.18"/>
    <n v="2024"/>
    <s v="Small"/>
    <s v="Tier 2"/>
    <x v="1"/>
    <s v="North"/>
    <s v="India"/>
    <s v="Consumer"/>
    <d v="2024-11-07T00:00:00"/>
    <s v="ORD00556"/>
    <d v="2024-11-06T00:00:00"/>
    <d v="2024-11-07T00:00:00"/>
    <s v="Standard Class"/>
    <s v="Uttarakhand"/>
    <n v="789719"/>
    <s v="PROD0006"/>
    <s v="Cookies"/>
    <s v="Cookies - 186"/>
    <n v="2"/>
    <n v="0"/>
    <n v="132.24"/>
  </r>
  <r>
    <s v="CUST0133"/>
    <s v="Aditya"/>
    <s v="Singh"/>
    <d v="1988-11-24T00:00:00"/>
    <n v="318.64999999999998"/>
    <n v="2024"/>
    <s v="Large"/>
    <s v="Tier 2"/>
    <x v="5"/>
    <s v="North"/>
    <s v="India"/>
    <s v="Consumer"/>
    <d v="2024-11-25T00:00:00"/>
    <s v="ORD00557"/>
    <d v="2024-11-22T00:00:00"/>
    <d v="2024-11-25T00:00:00"/>
    <s v="Standard Class"/>
    <s v="Uttarakhand"/>
    <n v="438083"/>
    <s v="PROD0015"/>
    <s v="Soft Drinks"/>
    <s v="Soft Drinks - 373"/>
    <n v="1"/>
    <n v="0.1"/>
    <n v="18.059999999999999"/>
  </r>
  <r>
    <s v="CUST0134"/>
    <s v="Pooja"/>
    <s v="Krishnan"/>
    <d v="1980-04-22T00:00:00"/>
    <n v="1672.51"/>
    <n v="2023"/>
    <s v="Medium"/>
    <s v="Tier 2"/>
    <x v="2"/>
    <s v="South"/>
    <s v="India"/>
    <s v="Corporate"/>
    <d v="2023-04-15T00:00:00"/>
    <s v="ORD00558"/>
    <d v="2023-04-13T00:00:00"/>
    <d v="2023-04-15T00:00:00"/>
    <s v="Second Class"/>
    <s v="Tamil Nadu"/>
    <n v="557169"/>
    <s v="PROD0012"/>
    <s v="Rice"/>
    <s v="Rice - 444"/>
    <n v="8"/>
    <n v="0.2"/>
    <n v="418.49"/>
  </r>
  <r>
    <s v="CUST0134"/>
    <s v="Pooja"/>
    <s v="Krishnan"/>
    <d v="1980-04-22T00:00:00"/>
    <n v="762.08"/>
    <n v="2024"/>
    <s v="Medium"/>
    <s v="Tier 2"/>
    <x v="3"/>
    <s v="South"/>
    <s v="India"/>
    <s v="Corporate"/>
    <d v="2024-05-15T00:00:00"/>
    <s v="ORD00559"/>
    <d v="2024-05-15T00:00:00"/>
    <d v="2024-05-18T00:00:00"/>
    <s v="Standard Class"/>
    <s v="Tamil Nadu"/>
    <n v="943687"/>
    <s v="PROD0013"/>
    <s v="Butter"/>
    <s v="Butter - 750"/>
    <n v="2"/>
    <n v="0.1"/>
    <n v="87.05"/>
  </r>
  <r>
    <s v="CUST0134"/>
    <s v="Pooja"/>
    <s v="Krishnan"/>
    <d v="1980-04-22T00:00:00"/>
    <n v="654.70000000000005"/>
    <n v="2024"/>
    <s v="Medium"/>
    <s v="Tier 2"/>
    <x v="3"/>
    <s v="South"/>
    <s v="India"/>
    <s v="Corporate"/>
    <d v="2024-12-12T00:00:00"/>
    <s v="ORD00560"/>
    <d v="2024-12-08T00:00:00"/>
    <d v="2024-12-13T00:00:00"/>
    <s v="Standard Class"/>
    <s v="Tamil Nadu"/>
    <n v="319927"/>
    <s v="PROD0021"/>
    <s v="Milk"/>
    <s v="Milk - 834"/>
    <n v="10"/>
    <n v="0"/>
    <n v="86.43"/>
  </r>
  <r>
    <s v="CUST0134"/>
    <s v="Pooja"/>
    <s v="Krishnan"/>
    <d v="1980-04-22T00:00:00"/>
    <n v="1311.15"/>
    <n v="2025"/>
    <s v="Small"/>
    <s v="Tier 2"/>
    <x v="1"/>
    <s v="South"/>
    <s v="India"/>
    <s v="Corporate"/>
    <d v="2025-04-09T00:00:00"/>
    <s v="ORD00561"/>
    <d v="2025-04-07T00:00:00"/>
    <d v="2025-04-12T00:00:00"/>
    <s v="Standard Class"/>
    <s v="Tamil Nadu"/>
    <n v="521843"/>
    <s v="PROD0002"/>
    <s v="Bread"/>
    <s v="Bread - 767"/>
    <n v="5"/>
    <n v="0"/>
    <n v="235.84"/>
  </r>
  <r>
    <s v="CUST0135"/>
    <s v="Reyansh"/>
    <s v="Chatterjee"/>
    <d v="1981-04-01T00:00:00"/>
    <n v="3516.21"/>
    <n v="2024"/>
    <s v="Large"/>
    <s v="Tier 1"/>
    <x v="0"/>
    <s v="East"/>
    <s v="India"/>
    <s v="Corporate"/>
    <d v="2024-04-11T00:00:00"/>
    <s v="ORD00562"/>
    <d v="2024-04-09T00:00:00"/>
    <d v="2024-04-13T00:00:00"/>
    <s v="Standard Class"/>
    <s v="West Bengal"/>
    <n v="693616"/>
    <s v="PROD0007"/>
    <s v="Chips"/>
    <s v="Chips - 119"/>
    <n v="9"/>
    <n v="0.1"/>
    <n v="702.4"/>
  </r>
  <r>
    <s v="CUST0135"/>
    <s v="Reyansh"/>
    <s v="Chatterjee"/>
    <d v="1981-04-01T00:00:00"/>
    <n v="994.45"/>
    <n v="2024"/>
    <s v="Large"/>
    <s v="Tier 1"/>
    <x v="2"/>
    <s v="East"/>
    <s v="India"/>
    <s v="Corporate"/>
    <d v="2024-06-13T00:00:00"/>
    <s v="ORD00563"/>
    <d v="2024-06-11T00:00:00"/>
    <d v="2024-06-13T00:00:00"/>
    <s v="Second Class"/>
    <s v="West Bengal"/>
    <n v="985126"/>
    <s v="PROD0003"/>
    <s v="Pulses"/>
    <s v="Pulses - 161"/>
    <n v="9"/>
    <n v="0.05"/>
    <n v="93.8"/>
  </r>
  <r>
    <s v="CUST0135"/>
    <s v="Reyansh"/>
    <s v="Chatterjee"/>
    <d v="1981-04-01T00:00:00"/>
    <n v="518.86"/>
    <n v="2024"/>
    <s v="Medium"/>
    <s v="Tier 1"/>
    <x v="5"/>
    <s v="East"/>
    <s v="India"/>
    <s v="Corporate"/>
    <d v="2024-11-19T00:00:00"/>
    <s v="ORD00564"/>
    <d v="2024-11-18T00:00:00"/>
    <d v="2024-11-21T00:00:00"/>
    <s v="First Class"/>
    <s v="West Bengal"/>
    <n v="525581"/>
    <s v="PROD0015"/>
    <s v="Soft Drinks"/>
    <s v="Soft Drinks - 426"/>
    <n v="2"/>
    <n v="0.2"/>
    <n v="90.14"/>
  </r>
  <r>
    <s v="CUST0136"/>
    <s v="Diya"/>
    <s v="Venkatesh"/>
    <d v="1988-05-28T00:00:00"/>
    <n v="1092.5999999999999"/>
    <n v="2023"/>
    <s v="Small"/>
    <s v="Tier 2"/>
    <x v="4"/>
    <s v="West"/>
    <s v="India"/>
    <s v="Corporate"/>
    <d v="2023-06-03T00:00:00"/>
    <s v="ORD00565"/>
    <d v="2023-06-03T00:00:00"/>
    <d v="2023-06-07T00:00:00"/>
    <s v="First Class"/>
    <s v="Goa"/>
    <n v="385959"/>
    <s v="PROD0010"/>
    <s v="Bananas"/>
    <s v="Bananas - 916"/>
    <n v="5"/>
    <n v="0.1"/>
    <n v="379.56"/>
  </r>
  <r>
    <s v="CUST0136"/>
    <s v="Diya"/>
    <s v="Venkatesh"/>
    <d v="1988-05-28T00:00:00"/>
    <n v="1680.8"/>
    <n v="2023"/>
    <s v="Small"/>
    <s v="Tier 2"/>
    <x v="3"/>
    <s v="West"/>
    <s v="India"/>
    <s v="Corporate"/>
    <d v="2023-07-17T00:00:00"/>
    <s v="ORD00566"/>
    <d v="2023-07-16T00:00:00"/>
    <d v="2023-07-17T00:00:00"/>
    <s v="Same Day"/>
    <s v="Goa"/>
    <n v="188006"/>
    <s v="PROD0021"/>
    <s v="Milk"/>
    <s v="Milk - 364"/>
    <n v="5"/>
    <n v="0"/>
    <n v="408.92"/>
  </r>
  <r>
    <s v="CUST0137"/>
    <s v="Manoj"/>
    <s v="Kulkarni"/>
    <d v="1997-10-17T00:00:00"/>
    <n v="336.82"/>
    <n v="2023"/>
    <s v="Small"/>
    <s v="Tier 2"/>
    <x v="5"/>
    <s v="Central"/>
    <s v="India"/>
    <s v="Corporate"/>
    <d v="2023-03-07T00:00:00"/>
    <s v="ORD00567"/>
    <d v="2023-03-07T00:00:00"/>
    <d v="2023-03-09T00:00:00"/>
    <s v="Same Day"/>
    <s v="Madhya Pradesh"/>
    <n v="647312"/>
    <s v="PROD0011"/>
    <s v="Juice"/>
    <s v="Juice - 787"/>
    <n v="2"/>
    <n v="0.2"/>
    <n v="90.02"/>
  </r>
  <r>
    <s v="CUST0137"/>
    <s v="Manoj"/>
    <s v="Kulkarni"/>
    <d v="1997-10-17T00:00:00"/>
    <n v="1267.83"/>
    <n v="2023"/>
    <s v="Medium"/>
    <s v="Tier 2"/>
    <x v="2"/>
    <s v="Central"/>
    <s v="India"/>
    <s v="Corporate"/>
    <d v="2023-11-03T00:00:00"/>
    <s v="ORD00568"/>
    <d v="2023-11-02T00:00:00"/>
    <d v="2023-11-03T00:00:00"/>
    <s v="Standard Class"/>
    <s v="Madhya Pradesh"/>
    <n v="944986"/>
    <s v="PROD0003"/>
    <s v="Pulses"/>
    <s v="Pulses - 893"/>
    <n v="9"/>
    <n v="0"/>
    <n v="153.94"/>
  </r>
  <r>
    <s v="CUST0137"/>
    <s v="Manoj"/>
    <s v="Kulkarni"/>
    <d v="1997-10-17T00:00:00"/>
    <n v="872.48"/>
    <n v="2025"/>
    <s v="Medium"/>
    <s v="Tier 2"/>
    <x v="2"/>
    <s v="Central"/>
    <s v="India"/>
    <s v="Corporate"/>
    <d v="2025-06-09T00:00:00"/>
    <s v="ORD00569"/>
    <d v="2025-06-06T00:00:00"/>
    <d v="2025-06-09T00:00:00"/>
    <s v="Second Class"/>
    <s v="Madhya Pradesh"/>
    <n v="718115"/>
    <s v="PROD0003"/>
    <s v="Pulses"/>
    <s v="Pulses - 341"/>
    <n v="7"/>
    <n v="0"/>
    <n v="89.47"/>
  </r>
  <r>
    <s v="CUST0138"/>
    <s v="Myra"/>
    <s v="Kulkarni"/>
    <d v="1968-11-20T00:00:00"/>
    <n v="1607.17"/>
    <n v="2024"/>
    <s v="Medium"/>
    <s v="Tier 2"/>
    <x v="1"/>
    <s v="West"/>
    <s v="India"/>
    <s v="Consumer"/>
    <d v="2024-07-01T00:00:00"/>
    <s v="ORD00570"/>
    <d v="2024-06-30T00:00:00"/>
    <d v="2024-07-03T00:00:00"/>
    <s v="Standard Class"/>
    <s v="Goa"/>
    <n v="850435"/>
    <s v="PROD0006"/>
    <s v="Cookies"/>
    <s v="Cookies - 215"/>
    <n v="6"/>
    <n v="0.05"/>
    <n v="409.54"/>
  </r>
  <r>
    <s v="CUST0139"/>
    <s v="Ganesh"/>
    <s v="Mukherjee"/>
    <d v="1990-07-25T00:00:00"/>
    <n v="281.22000000000003"/>
    <n v="2023"/>
    <s v="Medium"/>
    <s v="Tier 2"/>
    <x v="0"/>
    <s v="Central"/>
    <s v="India"/>
    <s v="Corporate"/>
    <d v="2023-01-25T00:00:00"/>
    <s v="ORD00571"/>
    <d v="2023-01-22T00:00:00"/>
    <d v="2023-01-25T00:00:00"/>
    <s v="Second Class"/>
    <s v="Chhattisgarh"/>
    <n v="951706"/>
    <s v="PROD0007"/>
    <s v="Chips"/>
    <s v="Chips - 961"/>
    <n v="1"/>
    <n v="0.2"/>
    <n v="70.72"/>
  </r>
  <r>
    <s v="CUST0139"/>
    <s v="Ganesh"/>
    <s v="Mukherjee"/>
    <d v="1990-07-25T00:00:00"/>
    <n v="1640.35"/>
    <n v="2023"/>
    <s v="Medium"/>
    <s v="Tier 2"/>
    <x v="2"/>
    <s v="Central"/>
    <s v="India"/>
    <s v="Corporate"/>
    <d v="2023-11-14T00:00:00"/>
    <s v="ORD00572"/>
    <d v="2023-11-12T00:00:00"/>
    <d v="2023-11-16T00:00:00"/>
    <s v="Same Day"/>
    <s v="Chhattisgarh"/>
    <n v="962671"/>
    <s v="PROD0012"/>
    <s v="Rice"/>
    <s v="Rice - 647"/>
    <n v="4"/>
    <n v="0.05"/>
    <n v="85.89"/>
  </r>
  <r>
    <s v="CUST0139"/>
    <s v="Ganesh"/>
    <s v="Mukherjee"/>
    <d v="1990-07-25T00:00:00"/>
    <n v="1172.06"/>
    <n v="2024"/>
    <s v="Medium"/>
    <s v="Tier 2"/>
    <x v="3"/>
    <s v="Central"/>
    <s v="India"/>
    <s v="Corporate"/>
    <d v="2024-10-22T00:00:00"/>
    <s v="ORD00573"/>
    <d v="2024-10-22T00:00:00"/>
    <d v="2024-10-26T00:00:00"/>
    <s v="Same Day"/>
    <s v="Chhattisgarh"/>
    <n v="963185"/>
    <s v="PROD0020"/>
    <s v="Paneer"/>
    <s v="Paneer - 315"/>
    <n v="3"/>
    <n v="0.15"/>
    <n v="170.13"/>
  </r>
  <r>
    <s v="CUST0140"/>
    <s v="Vivaan"/>
    <s v="Bose"/>
    <d v="1979-08-01T00:00:00"/>
    <n v="706.71"/>
    <n v="2024"/>
    <s v="Medium"/>
    <s v="Tier 1"/>
    <x v="1"/>
    <s v="West"/>
    <s v="India"/>
    <s v="Consumer"/>
    <d v="2024-02-28T00:00:00"/>
    <s v="ORD00574"/>
    <d v="2024-02-27T00:00:00"/>
    <d v="2024-02-28T00:00:00"/>
    <s v="Second Class"/>
    <s v="Maharashtra"/>
    <n v="575279"/>
    <s v="PROD0006"/>
    <s v="Cookies"/>
    <s v="Cookies - 532"/>
    <n v="2"/>
    <n v="0.15"/>
    <n v="90.66"/>
  </r>
  <r>
    <s v="CUST0140"/>
    <s v="Vivaan"/>
    <s v="Bose"/>
    <d v="1979-08-01T00:00:00"/>
    <n v="327.86"/>
    <n v="2024"/>
    <s v="Medium"/>
    <s v="Tier 1"/>
    <x v="2"/>
    <s v="West"/>
    <s v="India"/>
    <s v="Consumer"/>
    <d v="2024-04-27T00:00:00"/>
    <s v="ORD00575"/>
    <d v="2024-04-27T00:00:00"/>
    <d v="2024-04-29T00:00:00"/>
    <s v="First Class"/>
    <s v="Maharashtra"/>
    <n v="758816"/>
    <s v="PROD0012"/>
    <s v="Rice"/>
    <s v="Rice - 880"/>
    <n v="1"/>
    <n v="0"/>
    <n v="78.37"/>
  </r>
  <r>
    <s v="CUST0140"/>
    <s v="Vivaan"/>
    <s v="Bose"/>
    <d v="1979-08-01T00:00:00"/>
    <n v="146.4"/>
    <n v="2024"/>
    <s v="Large"/>
    <s v="Tier 1"/>
    <x v="1"/>
    <s v="West"/>
    <s v="India"/>
    <s v="Consumer"/>
    <d v="2024-05-20T00:00:00"/>
    <s v="ORD00576"/>
    <d v="2024-05-18T00:00:00"/>
    <d v="2024-05-20T00:00:00"/>
    <s v="Standard Class"/>
    <s v="Maharashtra"/>
    <n v="931145"/>
    <s v="PROD0018"/>
    <s v="Buns"/>
    <s v="Buns - 689"/>
    <n v="2"/>
    <n v="0"/>
    <n v="30"/>
  </r>
  <r>
    <s v="CUST0140"/>
    <s v="Vivaan"/>
    <s v="Bose"/>
    <d v="1979-08-01T00:00:00"/>
    <n v="370.08"/>
    <n v="2025"/>
    <s v="Small"/>
    <s v="Tier 1"/>
    <x v="1"/>
    <s v="West"/>
    <s v="India"/>
    <s v="Consumer"/>
    <d v="2025-01-26T00:00:00"/>
    <s v="ORD00577"/>
    <d v="2025-01-24T00:00:00"/>
    <d v="2025-01-27T00:00:00"/>
    <s v="Same Day"/>
    <s v="Maharashtra"/>
    <n v="534631"/>
    <s v="PROD0018"/>
    <s v="Buns"/>
    <s v="Buns - 589"/>
    <n v="3"/>
    <n v="0.15"/>
    <n v="84.34"/>
  </r>
  <r>
    <s v="CUST0140"/>
    <s v="Vivaan"/>
    <s v="Bose"/>
    <d v="1979-08-01T00:00:00"/>
    <n v="2982.92"/>
    <n v="2025"/>
    <s v="Small"/>
    <s v="Tier 1"/>
    <x v="1"/>
    <s v="West"/>
    <s v="India"/>
    <s v="Consumer"/>
    <d v="2025-05-11T00:00:00"/>
    <s v="ORD00578"/>
    <d v="2025-05-11T00:00:00"/>
    <d v="2025-05-12T00:00:00"/>
    <s v="Standard Class"/>
    <s v="Maharashtra"/>
    <n v="307897"/>
    <s v="PROD0002"/>
    <s v="Bread"/>
    <s v="Bread - 502"/>
    <n v="7"/>
    <n v="0.1"/>
    <n v="350.03"/>
  </r>
  <r>
    <s v="CUST0141"/>
    <s v="Suresh"/>
    <s v="Deshmukh"/>
    <d v="1976-08-03T00:00:00"/>
    <n v="458.2"/>
    <n v="2023"/>
    <s v="Small"/>
    <s v="Tier 2"/>
    <x v="5"/>
    <s v="North"/>
    <s v="India"/>
    <s v="Home Office"/>
    <d v="2023-02-20T00:00:00"/>
    <s v="ORD00579"/>
    <d v="2023-02-20T00:00:00"/>
    <d v="2023-02-25T00:00:00"/>
    <s v="Standard Class"/>
    <s v="Punjab"/>
    <n v="910926"/>
    <s v="PROD0015"/>
    <s v="Soft Drinks"/>
    <s v="Soft Drinks - 714"/>
    <n v="5"/>
    <n v="0"/>
    <n v="46.3"/>
  </r>
  <r>
    <s v="CUST0141"/>
    <s v="Suresh"/>
    <s v="Deshmukh"/>
    <d v="1976-08-03T00:00:00"/>
    <n v="1450.04"/>
    <n v="2023"/>
    <s v="Large"/>
    <s v="Tier 2"/>
    <x v="5"/>
    <s v="North"/>
    <s v="India"/>
    <s v="Home Office"/>
    <d v="2023-06-24T00:00:00"/>
    <s v="ORD00580"/>
    <d v="2023-06-22T00:00:00"/>
    <d v="2023-06-25T00:00:00"/>
    <s v="Standard Class"/>
    <s v="Punjab"/>
    <n v="500633"/>
    <s v="PROD0015"/>
    <s v="Soft Drinks"/>
    <s v="Soft Drinks - 221"/>
    <n v="4"/>
    <n v="0"/>
    <n v="484.05"/>
  </r>
  <r>
    <s v="CUST0141"/>
    <s v="Suresh"/>
    <s v="Deshmukh"/>
    <d v="1976-08-03T00:00:00"/>
    <n v="985.73"/>
    <n v="2025"/>
    <s v="Small"/>
    <s v="Tier 2"/>
    <x v="3"/>
    <s v="North"/>
    <s v="India"/>
    <s v="Home Office"/>
    <d v="2025-05-23T00:00:00"/>
    <s v="ORD00581"/>
    <d v="2025-05-22T00:00:00"/>
    <d v="2025-05-24T00:00:00"/>
    <s v="Standard Class"/>
    <s v="Punjab"/>
    <n v="930958"/>
    <s v="PROD0013"/>
    <s v="Butter"/>
    <s v="Butter - 976"/>
    <n v="4"/>
    <n v="0.2"/>
    <n v="132.97"/>
  </r>
  <r>
    <s v="CUST0142"/>
    <s v="Ayesha"/>
    <s v="Mishra"/>
    <d v="1977-05-24T00:00:00"/>
    <n v="1528.93"/>
    <n v="2023"/>
    <s v="Small"/>
    <s v="Tier 2"/>
    <x v="3"/>
    <s v="East"/>
    <s v="India"/>
    <s v="Home Office"/>
    <d v="2023-09-27T00:00:00"/>
    <s v="ORD00582"/>
    <d v="2023-09-26T00:00:00"/>
    <d v="2023-09-27T00:00:00"/>
    <s v="Second Class"/>
    <s v="Jharkhand"/>
    <n v="826687"/>
    <s v="PROD0013"/>
    <s v="Butter"/>
    <s v="Butter - 354"/>
    <n v="6"/>
    <n v="0.15"/>
    <n v="286.60000000000002"/>
  </r>
  <r>
    <s v="CUST0142"/>
    <s v="Ayesha"/>
    <s v="Mishra"/>
    <d v="1977-05-24T00:00:00"/>
    <n v="2142.36"/>
    <n v="2023"/>
    <s v="Large"/>
    <s v="Tier 2"/>
    <x v="5"/>
    <s v="East"/>
    <s v="India"/>
    <s v="Home Office"/>
    <d v="2023-10-25T00:00:00"/>
    <s v="ORD00583"/>
    <d v="2023-10-25T00:00:00"/>
    <d v="2023-10-26T00:00:00"/>
    <s v="Same Day"/>
    <s v="Jharkhand"/>
    <n v="154644"/>
    <s v="PROD0017"/>
    <s v="Coffee"/>
    <s v="Coffee - 830"/>
    <n v="7"/>
    <n v="0.15"/>
    <n v="490.94"/>
  </r>
  <r>
    <s v="CUST0143"/>
    <s v="Saanvi"/>
    <s v="Iyer"/>
    <d v="1975-10-30T00:00:00"/>
    <n v="2884.72"/>
    <n v="2023"/>
    <s v="Medium"/>
    <s v="Tier 2"/>
    <x v="0"/>
    <s v="North"/>
    <s v="India"/>
    <s v="Home Office"/>
    <d v="2023-09-01T00:00:00"/>
    <s v="ORD00584"/>
    <d v="2023-08-29T00:00:00"/>
    <d v="2023-09-01T00:00:00"/>
    <s v="Standard Class"/>
    <s v="Uttarakhand"/>
    <n v="803869"/>
    <s v="PROD0004"/>
    <s v="Biscuits"/>
    <s v="Biscuits - 921"/>
    <n v="10"/>
    <n v="0.2"/>
    <n v="183.62"/>
  </r>
  <r>
    <s v="CUST0143"/>
    <s v="Saanvi"/>
    <s v="Iyer"/>
    <d v="1975-10-30T00:00:00"/>
    <n v="298.63"/>
    <n v="2023"/>
    <s v="Medium"/>
    <s v="Tier 2"/>
    <x v="1"/>
    <s v="North"/>
    <s v="India"/>
    <s v="Home Office"/>
    <d v="2023-12-31T00:00:00"/>
    <s v="ORD00585"/>
    <d v="2023-12-29T00:00:00"/>
    <d v="2024-01-02T00:00:00"/>
    <s v="First Class"/>
    <s v="Uttarakhand"/>
    <n v="194002"/>
    <s v="PROD0002"/>
    <s v="Bread"/>
    <s v="Bread - 672"/>
    <n v="1"/>
    <n v="0"/>
    <n v="30.15"/>
  </r>
  <r>
    <s v="CUST0143"/>
    <s v="Saanvi"/>
    <s v="Iyer"/>
    <d v="1975-10-30T00:00:00"/>
    <n v="616.41999999999996"/>
    <n v="2024"/>
    <s v="Medium"/>
    <s v="Tier 2"/>
    <x v="1"/>
    <s v="North"/>
    <s v="India"/>
    <s v="Home Office"/>
    <d v="2024-04-28T00:00:00"/>
    <s v="ORD00586"/>
    <d v="2024-04-27T00:00:00"/>
    <d v="2024-04-29T00:00:00"/>
    <s v="Second Class"/>
    <s v="Uttarakhand"/>
    <n v="550977"/>
    <s v="PROD0006"/>
    <s v="Cookies"/>
    <s v="Cookies - 643"/>
    <n v="7"/>
    <n v="0"/>
    <n v="88.75"/>
  </r>
  <r>
    <s v="CUST0144"/>
    <s v="Ganesh"/>
    <s v="Menon"/>
    <d v="1995-12-24T00:00:00"/>
    <n v="3139.36"/>
    <n v="2023"/>
    <s v="Large"/>
    <s v="Tier 2"/>
    <x v="1"/>
    <s v="East"/>
    <s v="India"/>
    <s v="Corporate"/>
    <d v="2023-09-28T00:00:00"/>
    <s v="ORD00587"/>
    <d v="2023-09-27T00:00:00"/>
    <d v="2023-10-01T00:00:00"/>
    <s v="Standard Class"/>
    <s v="Odisha"/>
    <n v="155807"/>
    <s v="PROD0006"/>
    <s v="Cookies"/>
    <s v="Cookies - 420"/>
    <n v="7"/>
    <n v="0"/>
    <n v="850.96"/>
  </r>
  <r>
    <s v="CUST0144"/>
    <s v="Ganesh"/>
    <s v="Menon"/>
    <d v="1995-12-24T00:00:00"/>
    <n v="410.06"/>
    <n v="2024"/>
    <s v="Small"/>
    <s v="Tier 2"/>
    <x v="3"/>
    <s v="East"/>
    <s v="India"/>
    <s v="Corporate"/>
    <d v="2024-09-22T00:00:00"/>
    <s v="ORD00588"/>
    <d v="2024-09-19T00:00:00"/>
    <d v="2024-09-23T00:00:00"/>
    <s v="Standard Class"/>
    <s v="Odisha"/>
    <n v="142773"/>
    <s v="PROD0005"/>
    <s v="Yogurt"/>
    <s v="Yogurt - 155"/>
    <n v="4"/>
    <n v="0.05"/>
    <n v="52.52"/>
  </r>
  <r>
    <s v="CUST0144"/>
    <s v="Ganesh"/>
    <s v="Menon"/>
    <d v="1995-12-24T00:00:00"/>
    <n v="2162.29"/>
    <n v="2025"/>
    <s v="Medium"/>
    <s v="Tier 2"/>
    <x v="5"/>
    <s v="East"/>
    <s v="India"/>
    <s v="Corporate"/>
    <d v="2025-06-16T00:00:00"/>
    <s v="ORD00589"/>
    <d v="2025-06-16T00:00:00"/>
    <d v="2025-06-18T00:00:00"/>
    <s v="Same Day"/>
    <s v="Odisha"/>
    <n v="313630"/>
    <s v="PROD0011"/>
    <s v="Juice"/>
    <s v="Juice - 826"/>
    <n v="9"/>
    <n v="0.05"/>
    <n v="181.09"/>
  </r>
  <r>
    <s v="CUST0145"/>
    <s v="Vivaan"/>
    <s v="Iyer"/>
    <d v="1978-03-14T00:00:00"/>
    <n v="1219.5"/>
    <n v="2023"/>
    <s v="Medium"/>
    <s v="Tier 2"/>
    <x v="1"/>
    <s v="West"/>
    <s v="India"/>
    <s v="Home Office"/>
    <d v="2023-06-23T00:00:00"/>
    <s v="ORD00590"/>
    <d v="2023-06-22T00:00:00"/>
    <d v="2023-06-27T00:00:00"/>
    <s v="Same Day"/>
    <s v="Rajasthan"/>
    <n v="358114"/>
    <s v="PROD0006"/>
    <s v="Cookies"/>
    <s v="Cookies - 779"/>
    <n v="10"/>
    <n v="0"/>
    <n v="253.42"/>
  </r>
  <r>
    <s v="CUST0145"/>
    <s v="Vivaan"/>
    <s v="Iyer"/>
    <d v="1978-03-14T00:00:00"/>
    <n v="132.99"/>
    <n v="2023"/>
    <s v="Medium"/>
    <s v="Tier 2"/>
    <x v="5"/>
    <s v="West"/>
    <s v="India"/>
    <s v="Home Office"/>
    <d v="2023-07-04T00:00:00"/>
    <s v="ORD00591"/>
    <d v="2023-07-04T00:00:00"/>
    <d v="2023-07-07T00:00:00"/>
    <s v="First Class"/>
    <s v="Rajasthan"/>
    <n v="130277"/>
    <s v="PROD0019"/>
    <s v="Tea"/>
    <s v="Tea - 436"/>
    <n v="1"/>
    <n v="0.15"/>
    <n v="11.52"/>
  </r>
  <r>
    <s v="CUST0145"/>
    <s v="Vivaan"/>
    <s v="Iyer"/>
    <d v="1978-03-14T00:00:00"/>
    <n v="1903.6"/>
    <n v="2024"/>
    <s v="Small"/>
    <s v="Tier 2"/>
    <x v="4"/>
    <s v="West"/>
    <s v="India"/>
    <s v="Home Office"/>
    <d v="2024-06-05T00:00:00"/>
    <s v="ORD00592"/>
    <d v="2024-06-04T00:00:00"/>
    <d v="2024-06-05T00:00:00"/>
    <s v="Standard Class"/>
    <s v="Rajasthan"/>
    <n v="440698"/>
    <s v="PROD0008"/>
    <s v="Onions"/>
    <s v="Onions - 950"/>
    <n v="8"/>
    <n v="0"/>
    <n v="434.52"/>
  </r>
  <r>
    <s v="CUST0145"/>
    <s v="Vivaan"/>
    <s v="Iyer"/>
    <d v="1978-03-14T00:00:00"/>
    <n v="656.56"/>
    <n v="2025"/>
    <s v="Small"/>
    <s v="Tier 2"/>
    <x v="2"/>
    <s v="West"/>
    <s v="India"/>
    <s v="Home Office"/>
    <d v="2025-02-08T00:00:00"/>
    <s v="ORD00593"/>
    <d v="2025-02-06T00:00:00"/>
    <d v="2025-02-09T00:00:00"/>
    <s v="Same Day"/>
    <s v="Rajasthan"/>
    <n v="673734"/>
    <s v="PROD0003"/>
    <s v="Pulses"/>
    <s v="Pulses - 916"/>
    <n v="10"/>
    <n v="0.2"/>
    <n v="42.42"/>
  </r>
  <r>
    <s v="CUST0145"/>
    <s v="Vivaan"/>
    <s v="Iyer"/>
    <d v="1978-03-14T00:00:00"/>
    <n v="997.36"/>
    <n v="2025"/>
    <s v="Small"/>
    <s v="Tier 2"/>
    <x v="0"/>
    <s v="West"/>
    <s v="India"/>
    <s v="Home Office"/>
    <d v="2025-04-22T00:00:00"/>
    <s v="ORD00594"/>
    <d v="2025-04-22T00:00:00"/>
    <d v="2025-04-26T00:00:00"/>
    <s v="First Class"/>
    <s v="Rajasthan"/>
    <n v="270855"/>
    <s v="PROD0001"/>
    <s v="Namkeen"/>
    <s v="Namkeen - 194"/>
    <n v="7"/>
    <n v="0"/>
    <n v="338.62"/>
  </r>
  <r>
    <s v="CUST0145"/>
    <s v="Vivaan"/>
    <s v="Iyer"/>
    <d v="1978-03-14T00:00:00"/>
    <n v="221.99"/>
    <n v="2025"/>
    <s v="Medium"/>
    <s v="Tier 2"/>
    <x v="5"/>
    <s v="West"/>
    <s v="India"/>
    <s v="Home Office"/>
    <d v="2025-05-05T00:00:00"/>
    <s v="ORD00595"/>
    <d v="2025-05-04T00:00:00"/>
    <d v="2025-05-07T00:00:00"/>
    <s v="Same Day"/>
    <s v="Rajasthan"/>
    <n v="972470"/>
    <s v="PROD0015"/>
    <s v="Soft Drinks"/>
    <s v="Soft Drinks - 391"/>
    <n v="3"/>
    <n v="0.05"/>
    <n v="64.45"/>
  </r>
  <r>
    <s v="CUST0146"/>
    <s v="Myra"/>
    <s v="Patel"/>
    <d v="1994-10-14T00:00:00"/>
    <n v="3081.6"/>
    <n v="2023"/>
    <s v="Medium"/>
    <s v="Tier 2"/>
    <x v="5"/>
    <s v="Central"/>
    <s v="India"/>
    <s v="Corporate"/>
    <d v="2023-07-25T00:00:00"/>
    <s v="ORD00596"/>
    <d v="2023-07-24T00:00:00"/>
    <d v="2023-07-27T00:00:00"/>
    <s v="Standard Class"/>
    <s v="Madhya Pradesh"/>
    <n v="197462"/>
    <s v="PROD0015"/>
    <s v="Soft Drinks"/>
    <s v="Soft Drinks - 374"/>
    <n v="10"/>
    <n v="0"/>
    <n v="853.44"/>
  </r>
  <r>
    <s v="CUST0146"/>
    <s v="Myra"/>
    <s v="Patel"/>
    <d v="1994-10-14T00:00:00"/>
    <n v="1124.8900000000001"/>
    <n v="2024"/>
    <s v="Large"/>
    <s v="Tier 2"/>
    <x v="4"/>
    <s v="Central"/>
    <s v="India"/>
    <s v="Corporate"/>
    <d v="2024-04-05T00:00:00"/>
    <s v="ORD00597"/>
    <d v="2024-04-01T00:00:00"/>
    <d v="2024-04-05T00:00:00"/>
    <s v="Same Day"/>
    <s v="Madhya Pradesh"/>
    <n v="404824"/>
    <s v="PROD0014"/>
    <s v="Tomatoes"/>
    <s v="Tomatoes - 574"/>
    <n v="4"/>
    <n v="0.15"/>
    <n v="108.58"/>
  </r>
  <r>
    <s v="CUST0146"/>
    <s v="Myra"/>
    <s v="Patel"/>
    <d v="1994-10-14T00:00:00"/>
    <n v="1313.52"/>
    <n v="2024"/>
    <s v="Large"/>
    <s v="Tier 2"/>
    <x v="5"/>
    <s v="Central"/>
    <s v="India"/>
    <s v="Corporate"/>
    <d v="2024-05-17T00:00:00"/>
    <s v="ORD00598"/>
    <d v="2024-05-16T00:00:00"/>
    <d v="2024-05-19T00:00:00"/>
    <s v="Standard Class"/>
    <s v="Madhya Pradesh"/>
    <n v="409834"/>
    <s v="PROD0015"/>
    <s v="Soft Drinks"/>
    <s v="Soft Drinks - 181"/>
    <n v="8"/>
    <n v="0"/>
    <n v="335.33"/>
  </r>
  <r>
    <s v="CUST0147"/>
    <s v="Divya"/>
    <s v="Naidu"/>
    <d v="1980-06-03T00:00:00"/>
    <n v="413.17"/>
    <n v="2023"/>
    <s v="Medium"/>
    <s v="Tier 2"/>
    <x v="4"/>
    <s v="North"/>
    <s v="India"/>
    <s v="Corporate"/>
    <d v="2023-02-18T00:00:00"/>
    <s v="ORD00599"/>
    <d v="2023-02-16T00:00:00"/>
    <d v="2023-02-19T00:00:00"/>
    <s v="Same Day"/>
    <s v="Uttarakhand"/>
    <n v="905984"/>
    <s v="PROD0008"/>
    <s v="Onions"/>
    <s v="Onions - 522"/>
    <n v="2"/>
    <n v="0.15"/>
    <n v="91.12"/>
  </r>
  <r>
    <s v="CUST0147"/>
    <s v="Divya"/>
    <s v="Naidu"/>
    <d v="1980-06-03T00:00:00"/>
    <n v="849.52"/>
    <n v="2023"/>
    <s v="Medium"/>
    <s v="Tier 2"/>
    <x v="0"/>
    <s v="North"/>
    <s v="India"/>
    <s v="Corporate"/>
    <d v="2023-03-20T00:00:00"/>
    <s v="ORD00600"/>
    <d v="2023-03-20T00:00:00"/>
    <d v="2023-03-21T00:00:00"/>
    <s v="Second Class"/>
    <s v="Uttarakhand"/>
    <n v="429196"/>
    <s v="PROD0007"/>
    <s v="Chips"/>
    <s v="Chips - 216"/>
    <n v="8"/>
    <n v="0"/>
    <n v="257.3"/>
  </r>
  <r>
    <s v="CUST0147"/>
    <s v="Divya"/>
    <s v="Naidu"/>
    <d v="1980-06-03T00:00:00"/>
    <n v="2555.44"/>
    <n v="2024"/>
    <s v="Small"/>
    <s v="Tier 2"/>
    <x v="0"/>
    <s v="North"/>
    <s v="India"/>
    <s v="Corporate"/>
    <d v="2024-06-09T00:00:00"/>
    <s v="ORD00601"/>
    <d v="2024-06-09T00:00:00"/>
    <d v="2024-06-11T00:00:00"/>
    <s v="Same Day"/>
    <s v="Uttarakhand"/>
    <n v="883317"/>
    <s v="PROD0004"/>
    <s v="Biscuits"/>
    <s v="Biscuits - 565"/>
    <n v="8"/>
    <n v="0"/>
    <n v="389.45"/>
  </r>
  <r>
    <s v="CUST0147"/>
    <s v="Divya"/>
    <s v="Naidu"/>
    <d v="1980-06-03T00:00:00"/>
    <n v="456.44"/>
    <n v="2024"/>
    <s v="Small"/>
    <s v="Tier 2"/>
    <x v="0"/>
    <s v="North"/>
    <s v="India"/>
    <s v="Corporate"/>
    <d v="2024-07-18T00:00:00"/>
    <s v="ORD00602"/>
    <d v="2024-07-18T00:00:00"/>
    <d v="2024-07-19T00:00:00"/>
    <s v="Standard Class"/>
    <s v="Uttarakhand"/>
    <n v="582515"/>
    <s v="PROD0001"/>
    <s v="Namkeen"/>
    <s v="Namkeen - 992"/>
    <n v="2"/>
    <n v="0"/>
    <n v="23.62"/>
  </r>
  <r>
    <s v="CUST0148"/>
    <s v="Ayesha"/>
    <s v="Mukherjee"/>
    <d v="1977-02-25T00:00:00"/>
    <n v="1641.77"/>
    <n v="2024"/>
    <s v="Small"/>
    <s v="Tier 1"/>
    <x v="5"/>
    <s v="North"/>
    <s v="India"/>
    <s v="Consumer"/>
    <d v="2024-09-10T00:00:00"/>
    <s v="ORD00603"/>
    <d v="2024-09-08T00:00:00"/>
    <d v="2024-09-12T00:00:00"/>
    <s v="First Class"/>
    <s v="Delhi"/>
    <n v="241677"/>
    <s v="PROD0011"/>
    <s v="Juice"/>
    <s v="Juice - 733"/>
    <n v="10"/>
    <n v="0.15"/>
    <n v="556.47"/>
  </r>
  <r>
    <s v="CUST0148"/>
    <s v="Ayesha"/>
    <s v="Mukherjee"/>
    <d v="1977-02-25T00:00:00"/>
    <n v="354.1"/>
    <n v="2024"/>
    <s v="Large"/>
    <s v="Tier 1"/>
    <x v="4"/>
    <s v="North"/>
    <s v="India"/>
    <s v="Consumer"/>
    <d v="2024-11-05T00:00:00"/>
    <s v="ORD00604"/>
    <d v="2024-11-04T00:00:00"/>
    <d v="2024-11-06T00:00:00"/>
    <s v="First Class"/>
    <s v="Delhi"/>
    <n v="781301"/>
    <s v="PROD0010"/>
    <s v="Bananas"/>
    <s v="Bananas - 214"/>
    <n v="1"/>
    <n v="0"/>
    <n v="108.96"/>
  </r>
  <r>
    <s v="CUST0148"/>
    <s v="Ayesha"/>
    <s v="Mukherjee"/>
    <d v="1977-02-25T00:00:00"/>
    <n v="1004.76"/>
    <n v="2025"/>
    <s v="Medium"/>
    <s v="Tier 1"/>
    <x v="3"/>
    <s v="North"/>
    <s v="India"/>
    <s v="Consumer"/>
    <d v="2025-01-14T00:00:00"/>
    <s v="ORD00605"/>
    <d v="2025-01-13T00:00:00"/>
    <d v="2025-01-15T00:00:00"/>
    <s v="Same Day"/>
    <s v="Delhi"/>
    <n v="222115"/>
    <s v="PROD0013"/>
    <s v="Butter"/>
    <s v="Butter - 962"/>
    <n v="9"/>
    <n v="0"/>
    <n v="282.25"/>
  </r>
  <r>
    <s v="CUST0148"/>
    <s v="Ayesha"/>
    <s v="Mukherjee"/>
    <d v="1977-02-25T00:00:00"/>
    <n v="3668.22"/>
    <n v="2025"/>
    <s v="Small"/>
    <s v="Tier 1"/>
    <x v="3"/>
    <s v="North"/>
    <s v="India"/>
    <s v="Consumer"/>
    <d v="2025-02-05T00:00:00"/>
    <s v="ORD00606"/>
    <d v="2025-02-01T00:00:00"/>
    <d v="2025-02-05T00:00:00"/>
    <s v="First Class"/>
    <s v="Delhi"/>
    <n v="409153"/>
    <s v="PROD0005"/>
    <s v="Yogurt"/>
    <s v="Yogurt - 856"/>
    <n v="8"/>
    <n v="0.05"/>
    <n v="205.01"/>
  </r>
  <r>
    <s v="CUST0148"/>
    <s v="Ayesha"/>
    <s v="Mukherjee"/>
    <d v="1977-02-25T00:00:00"/>
    <n v="121.28"/>
    <n v="2025"/>
    <s v="Medium"/>
    <s v="Tier 1"/>
    <x v="0"/>
    <s v="North"/>
    <s v="India"/>
    <s v="Consumer"/>
    <d v="2025-06-11T00:00:00"/>
    <s v="ORD00607"/>
    <d v="2025-06-08T00:00:00"/>
    <d v="2025-06-12T00:00:00"/>
    <s v="Second Class"/>
    <s v="Delhi"/>
    <n v="138815"/>
    <s v="PROD0001"/>
    <s v="Namkeen"/>
    <s v="Namkeen - 152"/>
    <n v="6"/>
    <n v="0.15"/>
    <n v="36.9"/>
  </r>
  <r>
    <s v="CUST0149"/>
    <s v="Krishna"/>
    <s v="Venkatesh"/>
    <d v="1973-08-22T00:00:00"/>
    <n v="1050.48"/>
    <n v="2024"/>
    <s v="Medium"/>
    <s v="Tier 2"/>
    <x v="0"/>
    <s v="North"/>
    <s v="India"/>
    <s v="Home Office"/>
    <d v="2024-05-16T00:00:00"/>
    <s v="ORD00608"/>
    <d v="2024-05-12T00:00:00"/>
    <d v="2024-05-16T00:00:00"/>
    <s v="Same Day"/>
    <s v="Punjab"/>
    <n v="380859"/>
    <s v="PROD0004"/>
    <s v="Biscuits"/>
    <s v="Biscuits - 936"/>
    <n v="8"/>
    <n v="0"/>
    <n v="219.02"/>
  </r>
  <r>
    <s v="CUST0149"/>
    <s v="Krishna"/>
    <s v="Venkatesh"/>
    <d v="1973-08-22T00:00:00"/>
    <n v="437.75"/>
    <n v="2024"/>
    <s v="Small"/>
    <s v="Tier 2"/>
    <x v="2"/>
    <s v="North"/>
    <s v="India"/>
    <s v="Home Office"/>
    <d v="2024-06-09T00:00:00"/>
    <s v="ORD00609"/>
    <d v="2024-06-09T00:00:00"/>
    <d v="2024-06-13T00:00:00"/>
    <s v="Second Class"/>
    <s v="Punjab"/>
    <n v="861485"/>
    <s v="PROD0009"/>
    <s v="Wheat Flour"/>
    <s v="Wheat Flour - 584"/>
    <n v="2"/>
    <n v="0.15"/>
    <n v="67.430000000000007"/>
  </r>
  <r>
    <s v="CUST0149"/>
    <s v="Krishna"/>
    <s v="Venkatesh"/>
    <d v="1973-08-22T00:00:00"/>
    <n v="1051.28"/>
    <n v="2024"/>
    <s v="Small"/>
    <s v="Tier 2"/>
    <x v="3"/>
    <s v="North"/>
    <s v="India"/>
    <s v="Home Office"/>
    <d v="2024-08-31T00:00:00"/>
    <s v="ORD00610"/>
    <d v="2024-08-28T00:00:00"/>
    <d v="2024-08-31T00:00:00"/>
    <s v="Second Class"/>
    <s v="Punjab"/>
    <n v="858115"/>
    <s v="PROD0013"/>
    <s v="Butter"/>
    <s v="Butter - 452"/>
    <n v="8"/>
    <n v="0"/>
    <n v="237.9"/>
  </r>
  <r>
    <s v="CUST0149"/>
    <s v="Krishna"/>
    <s v="Venkatesh"/>
    <d v="1973-08-22T00:00:00"/>
    <n v="1929.94"/>
    <n v="2025"/>
    <s v="Small"/>
    <s v="Tier 2"/>
    <x v="2"/>
    <s v="North"/>
    <s v="India"/>
    <s v="Home Office"/>
    <d v="2025-01-14T00:00:00"/>
    <s v="ORD00611"/>
    <d v="2025-01-12T00:00:00"/>
    <d v="2025-01-14T00:00:00"/>
    <s v="Second Class"/>
    <s v="Punjab"/>
    <n v="824248"/>
    <s v="PROD0009"/>
    <s v="Wheat Flour"/>
    <s v="Wheat Flour - 526"/>
    <n v="6"/>
    <n v="0.2"/>
    <n v="658.65"/>
  </r>
  <r>
    <s v="CUST0150"/>
    <s v="Anjali"/>
    <s v="Joshi"/>
    <d v="1995-12-17T00:00:00"/>
    <n v="3143.26"/>
    <n v="2023"/>
    <s v="Small"/>
    <s v="Tier 1"/>
    <x v="3"/>
    <s v="West"/>
    <s v="India"/>
    <s v="Consumer"/>
    <d v="2023-05-15T00:00:00"/>
    <s v="ORD00612"/>
    <d v="2023-05-13T00:00:00"/>
    <d v="2023-05-15T00:00:00"/>
    <s v="Same Day"/>
    <s v="Maharashtra"/>
    <n v="476215"/>
    <s v="PROD0013"/>
    <s v="Butter"/>
    <s v="Butter - 203"/>
    <n v="7"/>
    <n v="0.05"/>
    <n v="443.5"/>
  </r>
  <r>
    <s v="CUST0150"/>
    <s v="Anjali"/>
    <s v="Joshi"/>
    <d v="1995-12-17T00:00:00"/>
    <n v="249.26"/>
    <n v="2023"/>
    <s v="Medium"/>
    <s v="Tier 1"/>
    <x v="1"/>
    <s v="West"/>
    <s v="India"/>
    <s v="Consumer"/>
    <d v="2023-06-27T00:00:00"/>
    <s v="ORD00613"/>
    <d v="2023-06-27T00:00:00"/>
    <d v="2023-06-28T00:00:00"/>
    <s v="Standard Class"/>
    <s v="Maharashtra"/>
    <n v="219505"/>
    <s v="PROD0018"/>
    <s v="Buns"/>
    <s v="Buns - 793"/>
    <n v="3"/>
    <n v="0.2"/>
    <n v="79.349999999999994"/>
  </r>
  <r>
    <s v="CUST0150"/>
    <s v="Anjali"/>
    <s v="Joshi"/>
    <d v="1995-12-17T00:00:00"/>
    <n v="1148.1300000000001"/>
    <n v="2023"/>
    <s v="Large"/>
    <s v="Tier 1"/>
    <x v="0"/>
    <s v="West"/>
    <s v="India"/>
    <s v="Consumer"/>
    <d v="2023-07-24T00:00:00"/>
    <s v="ORD00614"/>
    <d v="2023-07-24T00:00:00"/>
    <d v="2023-07-27T00:00:00"/>
    <s v="Second Class"/>
    <s v="Maharashtra"/>
    <n v="258522"/>
    <s v="PROD0007"/>
    <s v="Chips"/>
    <s v="Chips - 223"/>
    <n v="9"/>
    <n v="0"/>
    <n v="399.66"/>
  </r>
  <r>
    <s v="CUST0150"/>
    <s v="Anjali"/>
    <s v="Joshi"/>
    <d v="1995-12-17T00:00:00"/>
    <n v="682.23"/>
    <n v="2024"/>
    <s v="Large"/>
    <s v="Tier 1"/>
    <x v="2"/>
    <s v="West"/>
    <s v="India"/>
    <s v="Consumer"/>
    <d v="2024-05-09T00:00:00"/>
    <s v="ORD00615"/>
    <d v="2024-05-09T00:00:00"/>
    <d v="2024-05-10T00:00:00"/>
    <s v="Same Day"/>
    <s v="Maharashtra"/>
    <n v="963617"/>
    <s v="PROD0003"/>
    <s v="Pulses"/>
    <s v="Pulses - 718"/>
    <n v="2"/>
    <n v="0.05"/>
    <n v="197.64"/>
  </r>
  <r>
    <s v="CUST0150"/>
    <s v="Anjali"/>
    <s v="Joshi"/>
    <d v="1995-12-17T00:00:00"/>
    <n v="200.36"/>
    <n v="2024"/>
    <s v="Large"/>
    <s v="Tier 1"/>
    <x v="0"/>
    <s v="West"/>
    <s v="India"/>
    <s v="Consumer"/>
    <d v="2024-11-15T00:00:00"/>
    <s v="ORD00616"/>
    <d v="2024-11-14T00:00:00"/>
    <d v="2024-11-17T00:00:00"/>
    <s v="Second Class"/>
    <s v="Maharashtra"/>
    <n v="842563"/>
    <s v="PROD0007"/>
    <s v="Chips"/>
    <s v="Chips - 619"/>
    <n v="2"/>
    <n v="0"/>
    <n v="62.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</r>
  <r>
    <x v="1"/>
  </r>
  <r>
    <x v="2"/>
  </r>
  <r>
    <x v="2"/>
  </r>
  <r>
    <x v="0"/>
  </r>
  <r>
    <x v="0"/>
  </r>
  <r>
    <x v="3"/>
  </r>
  <r>
    <x v="0"/>
  </r>
  <r>
    <x v="0"/>
  </r>
  <r>
    <x v="1"/>
  </r>
  <r>
    <x v="3"/>
  </r>
  <r>
    <x v="0"/>
  </r>
  <r>
    <x v="2"/>
  </r>
  <r>
    <x v="2"/>
  </r>
  <r>
    <x v="2"/>
  </r>
  <r>
    <x v="0"/>
  </r>
  <r>
    <x v="1"/>
  </r>
  <r>
    <x v="2"/>
  </r>
  <r>
    <x v="3"/>
  </r>
  <r>
    <x v="1"/>
  </r>
  <r>
    <x v="4"/>
  </r>
  <r>
    <x v="1"/>
  </r>
  <r>
    <x v="2"/>
  </r>
  <r>
    <x v="3"/>
  </r>
  <r>
    <x v="2"/>
  </r>
  <r>
    <x v="4"/>
  </r>
  <r>
    <x v="2"/>
  </r>
  <r>
    <x v="3"/>
  </r>
  <r>
    <x v="2"/>
  </r>
  <r>
    <x v="1"/>
  </r>
  <r>
    <x v="1"/>
  </r>
  <r>
    <x v="0"/>
  </r>
  <r>
    <x v="2"/>
  </r>
  <r>
    <x v="2"/>
  </r>
  <r>
    <x v="2"/>
  </r>
  <r>
    <x v="4"/>
  </r>
  <r>
    <x v="1"/>
  </r>
  <r>
    <x v="3"/>
  </r>
  <r>
    <x v="2"/>
  </r>
  <r>
    <x v="1"/>
  </r>
  <r>
    <x v="2"/>
  </r>
  <r>
    <x v="1"/>
  </r>
  <r>
    <x v="2"/>
  </r>
  <r>
    <x v="0"/>
  </r>
  <r>
    <x v="3"/>
  </r>
  <r>
    <x v="1"/>
  </r>
  <r>
    <x v="3"/>
  </r>
  <r>
    <x v="2"/>
  </r>
  <r>
    <x v="0"/>
  </r>
  <r>
    <x v="3"/>
  </r>
  <r>
    <x v="0"/>
  </r>
  <r>
    <x v="3"/>
  </r>
  <r>
    <x v="0"/>
  </r>
  <r>
    <x v="0"/>
  </r>
  <r>
    <x v="1"/>
  </r>
  <r>
    <x v="0"/>
  </r>
  <r>
    <x v="3"/>
  </r>
  <r>
    <x v="2"/>
  </r>
  <r>
    <x v="4"/>
  </r>
  <r>
    <x v="1"/>
  </r>
  <r>
    <x v="2"/>
  </r>
  <r>
    <x v="3"/>
  </r>
  <r>
    <x v="1"/>
  </r>
  <r>
    <x v="3"/>
  </r>
  <r>
    <x v="2"/>
  </r>
  <r>
    <x v="2"/>
  </r>
  <r>
    <x v="3"/>
  </r>
  <r>
    <x v="2"/>
  </r>
  <r>
    <x v="1"/>
  </r>
  <r>
    <x v="1"/>
  </r>
  <r>
    <x v="3"/>
  </r>
  <r>
    <x v="3"/>
  </r>
  <r>
    <x v="3"/>
  </r>
  <r>
    <x v="2"/>
  </r>
  <r>
    <x v="0"/>
  </r>
  <r>
    <x v="3"/>
  </r>
  <r>
    <x v="2"/>
  </r>
  <r>
    <x v="0"/>
  </r>
  <r>
    <x v="2"/>
  </r>
  <r>
    <x v="3"/>
  </r>
  <r>
    <x v="2"/>
  </r>
  <r>
    <x v="3"/>
  </r>
  <r>
    <x v="3"/>
  </r>
  <r>
    <x v="2"/>
  </r>
  <r>
    <x v="2"/>
  </r>
  <r>
    <x v="1"/>
  </r>
  <r>
    <x v="3"/>
  </r>
  <r>
    <x v="2"/>
  </r>
  <r>
    <x v="2"/>
  </r>
  <r>
    <x v="2"/>
  </r>
  <r>
    <x v="1"/>
  </r>
  <r>
    <x v="2"/>
  </r>
  <r>
    <x v="2"/>
  </r>
  <r>
    <x v="3"/>
  </r>
  <r>
    <x v="2"/>
  </r>
  <r>
    <x v="3"/>
  </r>
  <r>
    <x v="0"/>
  </r>
  <r>
    <x v="4"/>
  </r>
  <r>
    <x v="0"/>
  </r>
  <r>
    <x v="4"/>
  </r>
  <r>
    <x v="2"/>
  </r>
  <r>
    <x v="4"/>
  </r>
  <r>
    <x v="2"/>
  </r>
  <r>
    <x v="2"/>
  </r>
  <r>
    <x v="1"/>
  </r>
  <r>
    <x v="2"/>
  </r>
  <r>
    <x v="2"/>
  </r>
  <r>
    <x v="1"/>
  </r>
  <r>
    <x v="2"/>
  </r>
  <r>
    <x v="2"/>
  </r>
  <r>
    <x v="3"/>
  </r>
  <r>
    <x v="0"/>
  </r>
  <r>
    <x v="3"/>
  </r>
  <r>
    <x v="3"/>
  </r>
  <r>
    <x v="0"/>
  </r>
  <r>
    <x v="2"/>
  </r>
  <r>
    <x v="0"/>
  </r>
  <r>
    <x v="1"/>
  </r>
  <r>
    <x v="0"/>
  </r>
  <r>
    <x v="3"/>
  </r>
  <r>
    <x v="0"/>
  </r>
  <r>
    <x v="2"/>
  </r>
  <r>
    <x v="0"/>
  </r>
  <r>
    <x v="0"/>
  </r>
  <r>
    <x v="2"/>
  </r>
  <r>
    <x v="3"/>
  </r>
  <r>
    <x v="0"/>
  </r>
  <r>
    <x v="4"/>
  </r>
  <r>
    <x v="3"/>
  </r>
  <r>
    <x v="2"/>
  </r>
  <r>
    <x v="0"/>
  </r>
  <r>
    <x v="0"/>
  </r>
  <r>
    <x v="0"/>
  </r>
  <r>
    <x v="0"/>
  </r>
  <r>
    <x v="0"/>
  </r>
  <r>
    <x v="3"/>
  </r>
  <r>
    <x v="0"/>
  </r>
  <r>
    <x v="4"/>
  </r>
  <r>
    <x v="3"/>
  </r>
  <r>
    <x v="2"/>
  </r>
  <r>
    <x v="0"/>
  </r>
  <r>
    <x v="3"/>
  </r>
  <r>
    <x v="3"/>
  </r>
  <r>
    <x v="2"/>
  </r>
  <r>
    <x v="2"/>
  </r>
  <r>
    <x v="3"/>
  </r>
  <r>
    <x v="0"/>
  </r>
  <r>
    <x v="2"/>
  </r>
  <r>
    <x v="0"/>
  </r>
  <r>
    <x v="0"/>
  </r>
  <r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n v="585"/>
    <n v="5"/>
    <n v="5651.66"/>
    <n v="3"/>
    <n v="3"/>
    <n v="3"/>
    <n v="9"/>
    <x v="0"/>
  </r>
  <r>
    <x v="1"/>
    <n v="582"/>
    <n v="8"/>
    <n v="8351.2099999999991"/>
    <n v="3"/>
    <n v="5"/>
    <n v="5"/>
    <n v="13"/>
    <x v="1"/>
  </r>
  <r>
    <x v="2"/>
    <n v="833"/>
    <n v="6"/>
    <n v="11255.27"/>
    <n v="1"/>
    <n v="4"/>
    <n v="5"/>
    <n v="10"/>
    <x v="2"/>
  </r>
  <r>
    <x v="3"/>
    <n v="601"/>
    <n v="5"/>
    <n v="6544.8799999999992"/>
    <n v="3"/>
    <n v="3"/>
    <n v="4"/>
    <n v="10"/>
    <x v="2"/>
  </r>
  <r>
    <x v="4"/>
    <n v="739"/>
    <n v="5"/>
    <n v="3377.92"/>
    <n v="2"/>
    <n v="3"/>
    <n v="2"/>
    <n v="7"/>
    <x v="0"/>
  </r>
  <r>
    <x v="5"/>
    <n v="614"/>
    <n v="5"/>
    <n v="5757.49"/>
    <n v="3"/>
    <n v="3"/>
    <n v="3"/>
    <n v="9"/>
    <x v="0"/>
  </r>
  <r>
    <x v="6"/>
    <n v="813"/>
    <n v="2"/>
    <n v="3559.63"/>
    <n v="1"/>
    <n v="1"/>
    <n v="2"/>
    <n v="4"/>
    <x v="3"/>
  </r>
  <r>
    <x v="7"/>
    <n v="495"/>
    <n v="3"/>
    <n v="4272.28"/>
    <n v="5"/>
    <n v="2"/>
    <n v="2"/>
    <n v="9"/>
    <x v="0"/>
  </r>
  <r>
    <x v="8"/>
    <n v="761"/>
    <n v="5"/>
    <n v="5963.86"/>
    <n v="2"/>
    <n v="3"/>
    <n v="3"/>
    <n v="8"/>
    <x v="0"/>
  </r>
  <r>
    <x v="9"/>
    <n v="516"/>
    <n v="6"/>
    <n v="11387.96"/>
    <n v="4"/>
    <n v="4"/>
    <n v="5"/>
    <n v="13"/>
    <x v="1"/>
  </r>
  <r>
    <x v="10"/>
    <n v="715"/>
    <n v="2"/>
    <n v="1920.29"/>
    <n v="2"/>
    <n v="1"/>
    <n v="1"/>
    <n v="4"/>
    <x v="3"/>
  </r>
  <r>
    <x v="11"/>
    <n v="923"/>
    <n v="5"/>
    <n v="7823.8200000000006"/>
    <n v="1"/>
    <n v="3"/>
    <n v="5"/>
    <n v="9"/>
    <x v="0"/>
  </r>
  <r>
    <x v="12"/>
    <n v="472"/>
    <n v="4"/>
    <n v="4971.7300000000005"/>
    <n v="5"/>
    <n v="3"/>
    <n v="3"/>
    <n v="11"/>
    <x v="2"/>
  </r>
  <r>
    <x v="13"/>
    <n v="512"/>
    <n v="4"/>
    <n v="5685.45"/>
    <n v="4"/>
    <n v="3"/>
    <n v="3"/>
    <n v="10"/>
    <x v="2"/>
  </r>
  <r>
    <x v="14"/>
    <n v="491"/>
    <n v="5"/>
    <n v="4357.67"/>
    <n v="5"/>
    <n v="3"/>
    <n v="2"/>
    <n v="10"/>
    <x v="2"/>
  </r>
  <r>
    <x v="15"/>
    <n v="627"/>
    <n v="3"/>
    <n v="3697.85"/>
    <n v="3"/>
    <n v="2"/>
    <n v="2"/>
    <n v="7"/>
    <x v="0"/>
  </r>
  <r>
    <x v="16"/>
    <n v="513"/>
    <n v="7"/>
    <n v="6907.66"/>
    <n v="4"/>
    <n v="5"/>
    <n v="4"/>
    <n v="13"/>
    <x v="1"/>
  </r>
  <r>
    <x v="17"/>
    <n v="573"/>
    <n v="5"/>
    <n v="6191.28"/>
    <n v="4"/>
    <n v="3"/>
    <n v="4"/>
    <n v="11"/>
    <x v="2"/>
  </r>
  <r>
    <x v="18"/>
    <n v="687"/>
    <n v="1"/>
    <n v="3644.8"/>
    <n v="2"/>
    <n v="1"/>
    <n v="2"/>
    <n v="5"/>
    <x v="3"/>
  </r>
  <r>
    <x v="19"/>
    <n v="553"/>
    <n v="8"/>
    <n v="9432.81"/>
    <n v="4"/>
    <n v="5"/>
    <n v="5"/>
    <n v="14"/>
    <x v="1"/>
  </r>
  <r>
    <x v="20"/>
    <n v="886"/>
    <n v="1"/>
    <n v="1059.4100000000001"/>
    <n v="1"/>
    <n v="1"/>
    <n v="1"/>
    <n v="3"/>
    <x v="4"/>
  </r>
  <r>
    <x v="21"/>
    <n v="512"/>
    <n v="7"/>
    <n v="7912.8600000000006"/>
    <n v="4"/>
    <n v="5"/>
    <n v="5"/>
    <n v="14"/>
    <x v="1"/>
  </r>
  <r>
    <x v="22"/>
    <n v="463"/>
    <n v="5"/>
    <n v="7485.25"/>
    <n v="5"/>
    <n v="3"/>
    <n v="4"/>
    <n v="12"/>
    <x v="2"/>
  </r>
  <r>
    <x v="23"/>
    <n v="832"/>
    <n v="3"/>
    <n v="4336.45"/>
    <n v="1"/>
    <n v="2"/>
    <n v="2"/>
    <n v="5"/>
    <x v="3"/>
  </r>
  <r>
    <x v="24"/>
    <n v="646"/>
    <n v="6"/>
    <n v="6858.8700000000008"/>
    <n v="3"/>
    <n v="4"/>
    <n v="4"/>
    <n v="11"/>
    <x v="2"/>
  </r>
  <r>
    <x v="25"/>
    <n v="940"/>
    <n v="2"/>
    <n v="1434.12"/>
    <n v="1"/>
    <n v="1"/>
    <n v="1"/>
    <n v="3"/>
    <x v="4"/>
  </r>
  <r>
    <x v="26"/>
    <n v="506"/>
    <n v="3"/>
    <n v="7603.57"/>
    <n v="5"/>
    <n v="2"/>
    <n v="4"/>
    <n v="11"/>
    <x v="2"/>
  </r>
  <r>
    <x v="27"/>
    <n v="953"/>
    <n v="3"/>
    <n v="4506.84"/>
    <n v="1"/>
    <n v="2"/>
    <n v="3"/>
    <n v="6"/>
    <x v="3"/>
  </r>
  <r>
    <x v="28"/>
    <n v="598"/>
    <n v="7"/>
    <n v="6224.4699999999993"/>
    <n v="3"/>
    <n v="5"/>
    <n v="4"/>
    <n v="12"/>
    <x v="2"/>
  </r>
  <r>
    <x v="29"/>
    <n v="509"/>
    <n v="8"/>
    <n v="14930.059999999998"/>
    <n v="4"/>
    <n v="5"/>
    <n v="5"/>
    <n v="14"/>
    <x v="1"/>
  </r>
  <r>
    <x v="30"/>
    <n v="469"/>
    <n v="5"/>
    <n v="13630.140000000001"/>
    <n v="5"/>
    <n v="3"/>
    <n v="5"/>
    <n v="13"/>
    <x v="1"/>
  </r>
  <r>
    <x v="31"/>
    <n v="582"/>
    <n v="4"/>
    <n v="2025.9299999999998"/>
    <n v="3"/>
    <n v="3"/>
    <n v="1"/>
    <n v="7"/>
    <x v="0"/>
  </r>
  <r>
    <x v="32"/>
    <n v="827"/>
    <n v="7"/>
    <n v="8206.35"/>
    <n v="1"/>
    <n v="5"/>
    <n v="5"/>
    <n v="11"/>
    <x v="2"/>
  </r>
  <r>
    <x v="33"/>
    <n v="667"/>
    <n v="7"/>
    <n v="10559.57"/>
    <n v="2"/>
    <n v="5"/>
    <n v="5"/>
    <n v="12"/>
    <x v="2"/>
  </r>
  <r>
    <x v="34"/>
    <n v="697"/>
    <n v="6"/>
    <n v="7405.8400000000011"/>
    <n v="2"/>
    <n v="4"/>
    <n v="4"/>
    <n v="10"/>
    <x v="2"/>
  </r>
  <r>
    <x v="35"/>
    <n v="1136"/>
    <n v="1"/>
    <n v="2419.0700000000002"/>
    <n v="1"/>
    <n v="1"/>
    <n v="1"/>
    <n v="3"/>
    <x v="4"/>
  </r>
  <r>
    <x v="36"/>
    <n v="512"/>
    <n v="8"/>
    <n v="6728.829999999999"/>
    <n v="4"/>
    <n v="5"/>
    <n v="4"/>
    <n v="13"/>
    <x v="1"/>
  </r>
  <r>
    <x v="37"/>
    <n v="713"/>
    <n v="3"/>
    <n v="2475.85"/>
    <n v="2"/>
    <n v="2"/>
    <n v="1"/>
    <n v="5"/>
    <x v="3"/>
  </r>
  <r>
    <x v="38"/>
    <n v="564"/>
    <n v="4"/>
    <n v="4747.59"/>
    <n v="4"/>
    <n v="3"/>
    <n v="3"/>
    <n v="10"/>
    <x v="2"/>
  </r>
  <r>
    <x v="39"/>
    <n v="485"/>
    <n v="8"/>
    <n v="10037.14"/>
    <n v="5"/>
    <n v="5"/>
    <n v="5"/>
    <n v="15"/>
    <x v="1"/>
  </r>
  <r>
    <x v="40"/>
    <n v="643"/>
    <n v="5"/>
    <n v="7267.7699999999995"/>
    <n v="3"/>
    <n v="3"/>
    <n v="4"/>
    <n v="10"/>
    <x v="2"/>
  </r>
  <r>
    <x v="41"/>
    <n v="467"/>
    <n v="7"/>
    <n v="7733.86"/>
    <n v="5"/>
    <n v="5"/>
    <n v="4"/>
    <n v="14"/>
    <x v="1"/>
  </r>
  <r>
    <x v="42"/>
    <n v="521"/>
    <n v="4"/>
    <n v="7232.0500000000011"/>
    <n v="4"/>
    <n v="3"/>
    <n v="4"/>
    <n v="11"/>
    <x v="2"/>
  </r>
  <r>
    <x v="43"/>
    <n v="626"/>
    <n v="3"/>
    <n v="4997.4500000000007"/>
    <n v="3"/>
    <n v="2"/>
    <n v="3"/>
    <n v="8"/>
    <x v="0"/>
  </r>
  <r>
    <x v="44"/>
    <n v="712"/>
    <n v="2"/>
    <n v="688.32999999999993"/>
    <n v="2"/>
    <n v="1"/>
    <n v="1"/>
    <n v="4"/>
    <x v="3"/>
  </r>
  <r>
    <x v="45"/>
    <n v="524"/>
    <n v="8"/>
    <n v="6686.3099999999995"/>
    <n v="4"/>
    <n v="5"/>
    <n v="4"/>
    <n v="13"/>
    <x v="1"/>
  </r>
  <r>
    <x v="46"/>
    <n v="664"/>
    <n v="1"/>
    <n v="1823.96"/>
    <n v="3"/>
    <n v="1"/>
    <n v="1"/>
    <n v="5"/>
    <x v="3"/>
  </r>
  <r>
    <x v="47"/>
    <n v="460"/>
    <n v="3"/>
    <n v="4633.1200000000008"/>
    <n v="5"/>
    <n v="2"/>
    <n v="3"/>
    <n v="10"/>
    <x v="2"/>
  </r>
  <r>
    <x v="48"/>
    <n v="1110"/>
    <n v="4"/>
    <n v="7202.21"/>
    <n v="1"/>
    <n v="3"/>
    <n v="4"/>
    <n v="8"/>
    <x v="0"/>
  </r>
  <r>
    <x v="49"/>
    <n v="629"/>
    <n v="2"/>
    <n v="1267.81"/>
    <n v="3"/>
    <n v="1"/>
    <n v="1"/>
    <n v="5"/>
    <x v="3"/>
  </r>
  <r>
    <x v="50"/>
    <n v="639"/>
    <n v="3"/>
    <n v="4492.2700000000004"/>
    <n v="3"/>
    <n v="2"/>
    <n v="2"/>
    <n v="7"/>
    <x v="0"/>
  </r>
  <r>
    <x v="51"/>
    <n v="654"/>
    <n v="2"/>
    <n v="1400.13"/>
    <n v="3"/>
    <n v="1"/>
    <n v="1"/>
    <n v="5"/>
    <x v="3"/>
  </r>
  <r>
    <x v="52"/>
    <n v="1037"/>
    <n v="6"/>
    <n v="7740.75"/>
    <n v="1"/>
    <n v="4"/>
    <n v="4"/>
    <n v="9"/>
    <x v="0"/>
  </r>
  <r>
    <x v="53"/>
    <n v="506"/>
    <n v="3"/>
    <n v="2996.25"/>
    <n v="5"/>
    <n v="2"/>
    <n v="2"/>
    <n v="9"/>
    <x v="0"/>
  </r>
  <r>
    <x v="54"/>
    <n v="536"/>
    <n v="7"/>
    <n v="14378.39"/>
    <n v="4"/>
    <n v="5"/>
    <n v="5"/>
    <n v="14"/>
    <x v="1"/>
  </r>
  <r>
    <x v="55"/>
    <n v="523"/>
    <n v="4"/>
    <n v="3526.47"/>
    <n v="4"/>
    <n v="3"/>
    <n v="2"/>
    <n v="9"/>
    <x v="0"/>
  </r>
  <r>
    <x v="56"/>
    <n v="696"/>
    <n v="2"/>
    <n v="1308.8599999999999"/>
    <n v="2"/>
    <n v="1"/>
    <n v="1"/>
    <n v="4"/>
    <x v="3"/>
  </r>
  <r>
    <x v="57"/>
    <n v="519"/>
    <n v="5"/>
    <n v="9201.16"/>
    <n v="4"/>
    <n v="3"/>
    <n v="5"/>
    <n v="12"/>
    <x v="2"/>
  </r>
  <r>
    <x v="58"/>
    <n v="1000"/>
    <n v="1"/>
    <n v="1071.4100000000001"/>
    <n v="1"/>
    <n v="1"/>
    <n v="1"/>
    <n v="3"/>
    <x v="4"/>
  </r>
  <r>
    <x v="59"/>
    <n v="475"/>
    <n v="6"/>
    <n v="8885.6"/>
    <n v="5"/>
    <n v="4"/>
    <n v="5"/>
    <n v="14"/>
    <x v="1"/>
  </r>
  <r>
    <x v="60"/>
    <n v="532"/>
    <n v="5"/>
    <n v="10156.509999999998"/>
    <n v="4"/>
    <n v="3"/>
    <n v="5"/>
    <n v="12"/>
    <x v="2"/>
  </r>
  <r>
    <x v="61"/>
    <n v="802"/>
    <n v="2"/>
    <n v="844.74"/>
    <n v="2"/>
    <n v="1"/>
    <n v="1"/>
    <n v="4"/>
    <x v="3"/>
  </r>
  <r>
    <x v="62"/>
    <n v="468"/>
    <n v="6"/>
    <n v="11151.68"/>
    <n v="5"/>
    <n v="4"/>
    <n v="5"/>
    <n v="14"/>
    <x v="1"/>
  </r>
  <r>
    <x v="63"/>
    <n v="671"/>
    <n v="3"/>
    <n v="3596.12"/>
    <n v="2"/>
    <n v="2"/>
    <n v="2"/>
    <n v="6"/>
    <x v="3"/>
  </r>
  <r>
    <x v="64"/>
    <n v="518"/>
    <n v="4"/>
    <n v="6579.1799999999994"/>
    <n v="4"/>
    <n v="3"/>
    <n v="4"/>
    <n v="11"/>
    <x v="2"/>
  </r>
  <r>
    <x v="65"/>
    <n v="588"/>
    <n v="5"/>
    <n v="8070.3700000000008"/>
    <n v="3"/>
    <n v="3"/>
    <n v="5"/>
    <n v="11"/>
    <x v="2"/>
  </r>
  <r>
    <x v="66"/>
    <n v="788"/>
    <n v="2"/>
    <n v="3032.65"/>
    <n v="2"/>
    <n v="1"/>
    <n v="2"/>
    <n v="5"/>
    <x v="3"/>
  </r>
  <r>
    <x v="67"/>
    <n v="530"/>
    <n v="5"/>
    <n v="7236.35"/>
    <n v="4"/>
    <n v="3"/>
    <n v="4"/>
    <n v="11"/>
    <x v="2"/>
  </r>
  <r>
    <x v="68"/>
    <n v="500"/>
    <n v="4"/>
    <n v="8787.27"/>
    <n v="5"/>
    <n v="3"/>
    <n v="5"/>
    <n v="13"/>
    <x v="1"/>
  </r>
  <r>
    <x v="69"/>
    <n v="522"/>
    <n v="7"/>
    <n v="9705.14"/>
    <n v="4"/>
    <n v="5"/>
    <n v="5"/>
    <n v="14"/>
    <x v="1"/>
  </r>
  <r>
    <x v="70"/>
    <n v="777"/>
    <n v="1"/>
    <n v="4270.95"/>
    <n v="2"/>
    <n v="1"/>
    <n v="2"/>
    <n v="5"/>
    <x v="3"/>
  </r>
  <r>
    <x v="71"/>
    <n v="509"/>
    <n v="2"/>
    <n v="1130.1600000000001"/>
    <n v="4"/>
    <n v="1"/>
    <n v="1"/>
    <n v="6"/>
    <x v="3"/>
  </r>
  <r>
    <x v="72"/>
    <n v="1038"/>
    <n v="3"/>
    <n v="6147.99"/>
    <n v="1"/>
    <n v="2"/>
    <n v="3"/>
    <n v="6"/>
    <x v="3"/>
  </r>
  <r>
    <x v="73"/>
    <n v="484"/>
    <n v="4"/>
    <n v="7210.41"/>
    <n v="5"/>
    <n v="3"/>
    <n v="4"/>
    <n v="12"/>
    <x v="2"/>
  </r>
  <r>
    <x v="74"/>
    <n v="985"/>
    <n v="4"/>
    <n v="5461.92"/>
    <n v="1"/>
    <n v="3"/>
    <n v="3"/>
    <n v="7"/>
    <x v="0"/>
  </r>
  <r>
    <x v="75"/>
    <n v="672"/>
    <n v="2"/>
    <n v="1847.44"/>
    <n v="2"/>
    <n v="1"/>
    <n v="1"/>
    <n v="4"/>
    <x v="3"/>
  </r>
  <r>
    <x v="76"/>
    <n v="522"/>
    <n v="5"/>
    <n v="6175.26"/>
    <n v="4"/>
    <n v="3"/>
    <n v="3"/>
    <n v="10"/>
    <x v="2"/>
  </r>
  <r>
    <x v="77"/>
    <n v="579"/>
    <n v="2"/>
    <n v="5588.59"/>
    <n v="3"/>
    <n v="1"/>
    <n v="3"/>
    <n v="7"/>
    <x v="0"/>
  </r>
  <r>
    <x v="78"/>
    <n v="667"/>
    <n v="6"/>
    <n v="11583.599999999999"/>
    <n v="2"/>
    <n v="4"/>
    <n v="5"/>
    <n v="11"/>
    <x v="2"/>
  </r>
  <r>
    <x v="79"/>
    <n v="1202"/>
    <n v="2"/>
    <n v="5392.97"/>
    <n v="1"/>
    <n v="1"/>
    <n v="3"/>
    <n v="5"/>
    <x v="3"/>
  </r>
  <r>
    <x v="80"/>
    <n v="775"/>
    <n v="7"/>
    <n v="6459.8899999999994"/>
    <n v="2"/>
    <n v="5"/>
    <n v="4"/>
    <n v="11"/>
    <x v="2"/>
  </r>
  <r>
    <x v="81"/>
    <n v="773"/>
    <n v="2"/>
    <n v="1129.19"/>
    <n v="2"/>
    <n v="1"/>
    <n v="1"/>
    <n v="4"/>
    <x v="3"/>
  </r>
  <r>
    <x v="82"/>
    <n v="736"/>
    <n v="3"/>
    <n v="1392.82"/>
    <n v="2"/>
    <n v="2"/>
    <n v="1"/>
    <n v="5"/>
    <x v="3"/>
  </r>
  <r>
    <x v="83"/>
    <n v="484"/>
    <n v="4"/>
    <n v="6183.74"/>
    <n v="5"/>
    <n v="3"/>
    <n v="3"/>
    <n v="11"/>
    <x v="2"/>
  </r>
  <r>
    <x v="84"/>
    <n v="695"/>
    <n v="7"/>
    <n v="13439.130000000001"/>
    <n v="2"/>
    <n v="5"/>
    <n v="5"/>
    <n v="12"/>
    <x v="2"/>
  </r>
  <r>
    <x v="85"/>
    <n v="495"/>
    <n v="6"/>
    <n v="6247.9400000000005"/>
    <n v="5"/>
    <n v="4"/>
    <n v="4"/>
    <n v="13"/>
    <x v="1"/>
  </r>
  <r>
    <x v="86"/>
    <n v="595"/>
    <n v="1"/>
    <n v="360.83"/>
    <n v="3"/>
    <n v="1"/>
    <n v="1"/>
    <n v="5"/>
    <x v="3"/>
  </r>
  <r>
    <x v="87"/>
    <n v="574"/>
    <n v="5"/>
    <n v="6742.73"/>
    <n v="4"/>
    <n v="3"/>
    <n v="4"/>
    <n v="11"/>
    <x v="2"/>
  </r>
  <r>
    <x v="88"/>
    <n v="622"/>
    <n v="5"/>
    <n v="6949.22"/>
    <n v="3"/>
    <n v="3"/>
    <n v="4"/>
    <n v="10"/>
    <x v="2"/>
  </r>
  <r>
    <x v="89"/>
    <n v="866"/>
    <n v="6"/>
    <n v="8553.76"/>
    <n v="1"/>
    <n v="4"/>
    <n v="5"/>
    <n v="10"/>
    <x v="2"/>
  </r>
  <r>
    <x v="90"/>
    <n v="498"/>
    <n v="7"/>
    <n v="7886.39"/>
    <n v="5"/>
    <n v="5"/>
    <n v="5"/>
    <n v="15"/>
    <x v="1"/>
  </r>
  <r>
    <x v="91"/>
    <n v="614"/>
    <n v="5"/>
    <n v="9124.8599999999988"/>
    <n v="3"/>
    <n v="3"/>
    <n v="5"/>
    <n v="11"/>
    <x v="2"/>
  </r>
  <r>
    <x v="92"/>
    <n v="474"/>
    <n v="5"/>
    <n v="6311.32"/>
    <n v="5"/>
    <n v="3"/>
    <n v="4"/>
    <n v="12"/>
    <x v="2"/>
  </r>
  <r>
    <x v="93"/>
    <n v="821"/>
    <n v="2"/>
    <n v="2578.87"/>
    <n v="1"/>
    <n v="1"/>
    <n v="2"/>
    <n v="4"/>
    <x v="3"/>
  </r>
  <r>
    <x v="94"/>
    <n v="616"/>
    <n v="6"/>
    <n v="8732.619999999999"/>
    <n v="3"/>
    <n v="4"/>
    <n v="5"/>
    <n v="12"/>
    <x v="2"/>
  </r>
  <r>
    <x v="95"/>
    <n v="1132"/>
    <n v="2"/>
    <n v="3057.3"/>
    <n v="1"/>
    <n v="1"/>
    <n v="2"/>
    <n v="4"/>
    <x v="3"/>
  </r>
  <r>
    <x v="96"/>
    <n v="603"/>
    <n v="4"/>
    <n v="4867.6400000000003"/>
    <n v="3"/>
    <n v="3"/>
    <n v="3"/>
    <n v="9"/>
    <x v="0"/>
  </r>
  <r>
    <x v="97"/>
    <n v="1032"/>
    <n v="1"/>
    <n v="1094.46"/>
    <n v="1"/>
    <n v="1"/>
    <n v="1"/>
    <n v="3"/>
    <x v="4"/>
  </r>
  <r>
    <x v="98"/>
    <n v="737"/>
    <n v="5"/>
    <n v="5520.7499999999991"/>
    <n v="2"/>
    <n v="3"/>
    <n v="3"/>
    <n v="8"/>
    <x v="0"/>
  </r>
  <r>
    <x v="99"/>
    <n v="937"/>
    <n v="1"/>
    <n v="1331.61"/>
    <n v="1"/>
    <n v="1"/>
    <n v="1"/>
    <n v="3"/>
    <x v="4"/>
  </r>
  <r>
    <x v="100"/>
    <n v="577"/>
    <n v="4"/>
    <n v="6295.42"/>
    <n v="4"/>
    <n v="3"/>
    <n v="4"/>
    <n v="11"/>
    <x v="2"/>
  </r>
  <r>
    <x v="101"/>
    <n v="1339"/>
    <n v="1"/>
    <n v="1534.4"/>
    <n v="1"/>
    <n v="1"/>
    <n v="1"/>
    <n v="3"/>
    <x v="4"/>
  </r>
  <r>
    <x v="102"/>
    <n v="554"/>
    <n v="4"/>
    <n v="8250.19"/>
    <n v="4"/>
    <n v="3"/>
    <n v="5"/>
    <n v="12"/>
    <x v="2"/>
  </r>
  <r>
    <x v="103"/>
    <n v="478"/>
    <n v="4"/>
    <n v="6445.0599999999995"/>
    <n v="5"/>
    <n v="3"/>
    <n v="4"/>
    <n v="12"/>
    <x v="2"/>
  </r>
  <r>
    <x v="104"/>
    <n v="471"/>
    <n v="5"/>
    <n v="7787.03"/>
    <n v="5"/>
    <n v="3"/>
    <n v="5"/>
    <n v="13"/>
    <x v="1"/>
  </r>
  <r>
    <x v="105"/>
    <n v="535"/>
    <n v="6"/>
    <n v="7235.67"/>
    <n v="4"/>
    <n v="4"/>
    <n v="4"/>
    <n v="12"/>
    <x v="2"/>
  </r>
  <r>
    <x v="106"/>
    <n v="522"/>
    <n v="4"/>
    <n v="5652.73"/>
    <n v="4"/>
    <n v="3"/>
    <n v="3"/>
    <n v="10"/>
    <x v="2"/>
  </r>
  <r>
    <x v="107"/>
    <n v="477"/>
    <n v="6"/>
    <n v="12328.689999999999"/>
    <n v="5"/>
    <n v="4"/>
    <n v="5"/>
    <n v="14"/>
    <x v="1"/>
  </r>
  <r>
    <x v="108"/>
    <n v="604"/>
    <n v="6"/>
    <n v="11306.31"/>
    <n v="3"/>
    <n v="4"/>
    <n v="5"/>
    <n v="12"/>
    <x v="2"/>
  </r>
  <r>
    <x v="109"/>
    <n v="501"/>
    <n v="4"/>
    <n v="6940.92"/>
    <n v="5"/>
    <n v="3"/>
    <n v="4"/>
    <n v="12"/>
    <x v="2"/>
  </r>
  <r>
    <x v="110"/>
    <n v="657"/>
    <n v="3"/>
    <n v="1250.0899999999999"/>
    <n v="3"/>
    <n v="2"/>
    <n v="1"/>
    <n v="6"/>
    <x v="3"/>
  </r>
  <r>
    <x v="111"/>
    <n v="687"/>
    <n v="3"/>
    <n v="5603.130000000001"/>
    <n v="2"/>
    <n v="2"/>
    <n v="3"/>
    <n v="7"/>
    <x v="0"/>
  </r>
  <r>
    <x v="112"/>
    <n v="778"/>
    <n v="5"/>
    <n v="1569.52"/>
    <n v="2"/>
    <n v="3"/>
    <n v="1"/>
    <n v="6"/>
    <x v="3"/>
  </r>
  <r>
    <x v="113"/>
    <n v="716"/>
    <n v="1"/>
    <n v="95.78"/>
    <n v="2"/>
    <n v="1"/>
    <n v="1"/>
    <n v="4"/>
    <x v="3"/>
  </r>
  <r>
    <x v="114"/>
    <n v="509"/>
    <n v="4"/>
    <n v="1746.72"/>
    <n v="4"/>
    <n v="3"/>
    <n v="1"/>
    <n v="8"/>
    <x v="0"/>
  </r>
  <r>
    <x v="115"/>
    <n v="608"/>
    <n v="6"/>
    <n v="8052.77"/>
    <n v="3"/>
    <n v="4"/>
    <n v="5"/>
    <n v="12"/>
    <x v="2"/>
  </r>
  <r>
    <x v="116"/>
    <n v="1080"/>
    <n v="4"/>
    <n v="5271.28"/>
    <n v="1"/>
    <n v="3"/>
    <n v="3"/>
    <n v="7"/>
    <x v="0"/>
  </r>
  <r>
    <x v="117"/>
    <n v="452"/>
    <n v="6"/>
    <n v="7471.6"/>
    <n v="5"/>
    <n v="4"/>
    <n v="4"/>
    <n v="13"/>
    <x v="1"/>
  </r>
  <r>
    <x v="118"/>
    <n v="614"/>
    <n v="4"/>
    <n v="3078.42"/>
    <n v="3"/>
    <n v="3"/>
    <n v="2"/>
    <n v="8"/>
    <x v="0"/>
  </r>
  <r>
    <x v="119"/>
    <n v="887"/>
    <n v="2"/>
    <n v="2955.5199999999995"/>
    <n v="1"/>
    <n v="1"/>
    <n v="2"/>
    <n v="4"/>
    <x v="3"/>
  </r>
  <r>
    <x v="120"/>
    <n v="667"/>
    <n v="6"/>
    <n v="4594.3499999999995"/>
    <n v="2"/>
    <n v="4"/>
    <n v="3"/>
    <n v="9"/>
    <x v="0"/>
  </r>
  <r>
    <x v="121"/>
    <n v="635"/>
    <n v="7"/>
    <n v="5476.2"/>
    <n v="3"/>
    <n v="5"/>
    <n v="3"/>
    <n v="11"/>
    <x v="2"/>
  </r>
  <r>
    <x v="122"/>
    <n v="489"/>
    <n v="2"/>
    <n v="1171.29"/>
    <n v="5"/>
    <n v="1"/>
    <n v="1"/>
    <n v="7"/>
    <x v="0"/>
  </r>
  <r>
    <x v="123"/>
    <n v="475"/>
    <n v="2"/>
    <n v="5087.8"/>
    <n v="5"/>
    <n v="1"/>
    <n v="3"/>
    <n v="9"/>
    <x v="0"/>
  </r>
  <r>
    <x v="124"/>
    <n v="553"/>
    <n v="4"/>
    <n v="5199.3900000000003"/>
    <n v="4"/>
    <n v="3"/>
    <n v="3"/>
    <n v="10"/>
    <x v="2"/>
  </r>
  <r>
    <x v="125"/>
    <n v="712"/>
    <n v="3"/>
    <n v="990.54"/>
    <n v="2"/>
    <n v="2"/>
    <n v="1"/>
    <n v="5"/>
    <x v="3"/>
  </r>
  <r>
    <x v="126"/>
    <n v="525"/>
    <n v="4"/>
    <n v="2298.1299999999997"/>
    <n v="4"/>
    <n v="3"/>
    <n v="1"/>
    <n v="8"/>
    <x v="0"/>
  </r>
  <r>
    <x v="127"/>
    <n v="1159"/>
    <n v="2"/>
    <n v="1202.22"/>
    <n v="1"/>
    <n v="1"/>
    <n v="1"/>
    <n v="3"/>
    <x v="4"/>
  </r>
  <r>
    <x v="128"/>
    <n v="1075"/>
    <n v="2"/>
    <n v="3633.34"/>
    <n v="1"/>
    <n v="1"/>
    <n v="2"/>
    <n v="4"/>
    <x v="3"/>
  </r>
  <r>
    <x v="129"/>
    <n v="583"/>
    <n v="4"/>
    <n v="7032.68"/>
    <n v="3"/>
    <n v="3"/>
    <n v="4"/>
    <n v="10"/>
    <x v="2"/>
  </r>
  <r>
    <x v="130"/>
    <n v="580"/>
    <n v="3"/>
    <n v="2625.2"/>
    <n v="3"/>
    <n v="2"/>
    <n v="2"/>
    <n v="7"/>
    <x v="0"/>
  </r>
  <r>
    <x v="131"/>
    <n v="585"/>
    <n v="3"/>
    <n v="3513.96"/>
    <n v="3"/>
    <n v="2"/>
    <n v="2"/>
    <n v="7"/>
    <x v="0"/>
  </r>
  <r>
    <x v="132"/>
    <n v="672"/>
    <n v="5"/>
    <n v="4103.0199999999995"/>
    <n v="2"/>
    <n v="3"/>
    <n v="2"/>
    <n v="7"/>
    <x v="0"/>
  </r>
  <r>
    <x v="133"/>
    <n v="536"/>
    <n v="4"/>
    <n v="4400.4400000000005"/>
    <n v="4"/>
    <n v="3"/>
    <n v="2"/>
    <n v="9"/>
    <x v="0"/>
  </r>
  <r>
    <x v="134"/>
    <n v="676"/>
    <n v="3"/>
    <n v="5029.5199999999995"/>
    <n v="2"/>
    <n v="2"/>
    <n v="3"/>
    <n v="7"/>
    <x v="0"/>
  </r>
  <r>
    <x v="135"/>
    <n v="1167"/>
    <n v="2"/>
    <n v="2773.3999999999996"/>
    <n v="1"/>
    <n v="1"/>
    <n v="2"/>
    <n v="4"/>
    <x v="3"/>
  </r>
  <r>
    <x v="136"/>
    <n v="476"/>
    <n v="3"/>
    <n v="2477.13"/>
    <n v="5"/>
    <n v="2"/>
    <n v="2"/>
    <n v="9"/>
    <x v="0"/>
  </r>
  <r>
    <x v="137"/>
    <n v="817"/>
    <n v="1"/>
    <n v="1607.17"/>
    <n v="1"/>
    <n v="1"/>
    <n v="1"/>
    <n v="3"/>
    <x v="4"/>
  </r>
  <r>
    <x v="138"/>
    <n v="703"/>
    <n v="3"/>
    <n v="3093.63"/>
    <n v="2"/>
    <n v="2"/>
    <n v="2"/>
    <n v="6"/>
    <x v="3"/>
  </r>
  <r>
    <x v="139"/>
    <n v="502"/>
    <n v="5"/>
    <n v="4533.97"/>
    <n v="5"/>
    <n v="3"/>
    <n v="3"/>
    <n v="11"/>
    <x v="2"/>
  </r>
  <r>
    <x v="140"/>
    <n v="491"/>
    <n v="3"/>
    <n v="2893.9700000000003"/>
    <n v="5"/>
    <n v="2"/>
    <n v="2"/>
    <n v="9"/>
    <x v="0"/>
  </r>
  <r>
    <x v="141"/>
    <n v="1066"/>
    <n v="2"/>
    <n v="3671.29"/>
    <n v="1"/>
    <n v="1"/>
    <n v="2"/>
    <n v="4"/>
    <x v="3"/>
  </r>
  <r>
    <x v="142"/>
    <n v="881"/>
    <n v="3"/>
    <n v="3799.77"/>
    <n v="1"/>
    <n v="2"/>
    <n v="2"/>
    <n v="5"/>
    <x v="3"/>
  </r>
  <r>
    <x v="143"/>
    <n v="466"/>
    <n v="3"/>
    <n v="5711.71"/>
    <n v="5"/>
    <n v="2"/>
    <n v="3"/>
    <n v="10"/>
    <x v="2"/>
  </r>
  <r>
    <x v="144"/>
    <n v="509"/>
    <n v="6"/>
    <n v="5132"/>
    <n v="4"/>
    <n v="4"/>
    <n v="3"/>
    <n v="11"/>
    <x v="2"/>
  </r>
  <r>
    <x v="145"/>
    <n v="862"/>
    <n v="3"/>
    <n v="5520.01"/>
    <n v="1"/>
    <n v="2"/>
    <n v="3"/>
    <n v="6"/>
    <x v="3"/>
  </r>
  <r>
    <x v="146"/>
    <n v="799"/>
    <n v="4"/>
    <n v="4274.57"/>
    <n v="2"/>
    <n v="3"/>
    <n v="2"/>
    <n v="7"/>
    <x v="0"/>
  </r>
  <r>
    <x v="147"/>
    <n v="474"/>
    <n v="5"/>
    <n v="6790.13"/>
    <n v="5"/>
    <n v="3"/>
    <n v="4"/>
    <n v="12"/>
    <x v="2"/>
  </r>
  <r>
    <x v="148"/>
    <n v="621"/>
    <n v="4"/>
    <n v="4469.4500000000007"/>
    <n v="3"/>
    <n v="3"/>
    <n v="2"/>
    <n v="8"/>
    <x v="0"/>
  </r>
  <r>
    <x v="149"/>
    <n v="680"/>
    <n v="5"/>
    <n v="5423.2400000000007"/>
    <n v="2"/>
    <n v="3"/>
    <n v="3"/>
    <n v="8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s v="CUST0001"/>
    <s v="Mohammed"/>
    <s v="Nair"/>
    <d v="1966-02-14T00:00:00"/>
    <n v="648.79999999999995"/>
    <n v="2023"/>
    <s v="Medium"/>
    <s v="Tier 2"/>
    <s v="Snacks"/>
    <s v="West"/>
    <s v="India"/>
    <s v="Consumer"/>
    <x v="0"/>
    <s v="ORD00001"/>
    <d v="2023-10-11T00:00:00"/>
    <d v="2023-10-12T00:00:00"/>
    <s v="Same Day"/>
    <s v="Goa"/>
    <n v="157174"/>
    <s v="PROD0001"/>
    <s v="Namkeen"/>
    <s v="Namkeen - 202"/>
    <n v="4"/>
    <n v="0"/>
    <n v="67.37"/>
  </r>
  <r>
    <s v="CUST0001"/>
    <s v="Mohammed"/>
    <s v="Nair"/>
    <d v="1966-02-14T00:00:00"/>
    <n v="782.83"/>
    <n v="2024"/>
    <s v="Medium"/>
    <s v="Tier 2"/>
    <s v="Snacks"/>
    <s v="West"/>
    <s v="India"/>
    <s v="Consumer"/>
    <x v="1"/>
    <s v="ORD00002"/>
    <d v="2024-06-21T00:00:00"/>
    <d v="2024-06-22T00:00:00"/>
    <s v="Standard Class"/>
    <s v="Goa"/>
    <n v="561865"/>
    <s v="PROD0001"/>
    <s v="Namkeen"/>
    <s v="Namkeen - 814"/>
    <n v="3"/>
    <n v="0.2"/>
    <n v="154.41999999999999"/>
  </r>
  <r>
    <s v="CUST0001"/>
    <s v="Mohammed"/>
    <s v="Nair"/>
    <d v="1966-02-14T00:00:00"/>
    <n v="2240.62"/>
    <n v="2024"/>
    <s v="Medium"/>
    <s v="Tier 2"/>
    <s v="Bakery"/>
    <s v="West"/>
    <s v="India"/>
    <s v="Consumer"/>
    <x v="2"/>
    <s v="ORD00003"/>
    <d v="2024-08-26T00:00:00"/>
    <d v="2024-08-27T00:00:00"/>
    <s v="Same Day"/>
    <s v="Goa"/>
    <n v="705050"/>
    <s v="PROD0002"/>
    <s v="Bread"/>
    <s v="Bread - 152"/>
    <n v="5"/>
    <n v="0.05"/>
    <n v="188.72"/>
  </r>
  <r>
    <s v="CUST0001"/>
    <s v="Mohammed"/>
    <s v="Nair"/>
    <d v="1966-02-14T00:00:00"/>
    <n v="247.35"/>
    <n v="2025"/>
    <s v="Small"/>
    <s v="Tier 2"/>
    <s v="Staples"/>
    <s v="West"/>
    <s v="India"/>
    <s v="Consumer"/>
    <x v="3"/>
    <s v="ORD00004"/>
    <d v="2025-01-11T00:00:00"/>
    <d v="2025-01-12T00:00:00"/>
    <s v="Standard Class"/>
    <s v="Goa"/>
    <n v="735770"/>
    <s v="PROD0003"/>
    <s v="Pulses"/>
    <s v="Pulses - 154"/>
    <n v="3"/>
    <n v="0.1"/>
    <n v="82.8"/>
  </r>
  <r>
    <s v="CUST0001"/>
    <s v="Mohammed"/>
    <s v="Nair"/>
    <d v="1966-02-14T00:00:00"/>
    <n v="1732.06"/>
    <n v="2025"/>
    <s v="Medium"/>
    <s v="Tier 2"/>
    <s v="Snacks"/>
    <s v="West"/>
    <s v="India"/>
    <s v="Consumer"/>
    <x v="4"/>
    <s v="ORD00005"/>
    <d v="2025-02-17T00:00:00"/>
    <d v="2025-02-22T00:00:00"/>
    <s v="Same Day"/>
    <s v="Goa"/>
    <n v="739244"/>
    <s v="PROD0004"/>
    <s v="Biscuits"/>
    <s v="Biscuits - 331"/>
    <n v="9"/>
    <n v="0.05"/>
    <n v="241.11"/>
  </r>
  <r>
    <s v="CUST0002"/>
    <s v="Ishaan"/>
    <s v="Venkatesh"/>
    <d v="1969-08-07T00:00:00"/>
    <n v="504.27"/>
    <n v="2023"/>
    <s v="Medium"/>
    <s v="Tier 2"/>
    <s v="Dairy"/>
    <s v="East"/>
    <s v="India"/>
    <s v="Home Office"/>
    <x v="5"/>
    <s v="ORD00006"/>
    <d v="2023-03-25T00:00:00"/>
    <d v="2023-03-30T00:00:00"/>
    <s v="Same Day"/>
    <s v="Jharkhand"/>
    <n v="342720"/>
    <s v="PROD0005"/>
    <s v="Yogurt"/>
    <s v="Yogurt - 277"/>
    <n v="9"/>
    <n v="0"/>
    <n v="87.01"/>
  </r>
  <r>
    <s v="CUST0002"/>
    <s v="Ishaan"/>
    <s v="Venkatesh"/>
    <d v="1969-08-07T00:00:00"/>
    <n v="433.36"/>
    <n v="2023"/>
    <s v="Small"/>
    <s v="Tier 2"/>
    <s v="Bakery"/>
    <s v="East"/>
    <s v="India"/>
    <s v="Home Office"/>
    <x v="6"/>
    <s v="ORD00007"/>
    <d v="2023-04-12T00:00:00"/>
    <d v="2023-04-17T00:00:00"/>
    <s v="Standard Class"/>
    <s v="Jharkhand"/>
    <n v="220351"/>
    <s v="PROD0006"/>
    <s v="Cookies"/>
    <s v="Cookies - 389"/>
    <n v="8"/>
    <n v="0"/>
    <n v="141.78"/>
  </r>
  <r>
    <s v="CUST0002"/>
    <s v="Ishaan"/>
    <s v="Venkatesh"/>
    <d v="1969-08-07T00:00:00"/>
    <n v="1094.5"/>
    <n v="2023"/>
    <s v="Medium"/>
    <s v="Tier 2"/>
    <s v="Snacks"/>
    <s v="East"/>
    <s v="India"/>
    <s v="Home Office"/>
    <x v="7"/>
    <s v="ORD00008"/>
    <d v="2023-08-01T00:00:00"/>
    <d v="2023-08-02T00:00:00"/>
    <s v="Second Class"/>
    <s v="Jharkhand"/>
    <n v="560485"/>
    <s v="PROD0007"/>
    <s v="Chips"/>
    <s v="Chips - 763"/>
    <n v="3"/>
    <n v="0.2"/>
    <n v="101.43"/>
  </r>
  <r>
    <s v="CUST0002"/>
    <s v="Ishaan"/>
    <s v="Venkatesh"/>
    <d v="1969-08-07T00:00:00"/>
    <n v="1779.35"/>
    <n v="2023"/>
    <s v="Small"/>
    <s v="Tier 2"/>
    <s v="Fruits &amp; Vegetables"/>
    <s v="East"/>
    <s v="India"/>
    <s v="Home Office"/>
    <x v="8"/>
    <s v="ORD00009"/>
    <d v="2023-08-05T00:00:00"/>
    <d v="2023-08-09T00:00:00"/>
    <s v="Same Day"/>
    <s v="Jharkhand"/>
    <n v="553014"/>
    <s v="PROD0008"/>
    <s v="Onions"/>
    <s v="Onions - 805"/>
    <n v="5"/>
    <n v="0"/>
    <n v="356.12"/>
  </r>
  <r>
    <s v="CUST0002"/>
    <s v="Ishaan"/>
    <s v="Venkatesh"/>
    <d v="1969-08-07T00:00:00"/>
    <n v="162.1"/>
    <n v="2023"/>
    <s v="Small"/>
    <s v="Tier 2"/>
    <s v="Staples"/>
    <s v="East"/>
    <s v="India"/>
    <s v="Home Office"/>
    <x v="9"/>
    <s v="ORD00010"/>
    <d v="2023-09-28T00:00:00"/>
    <d v="2023-10-03T00:00:00"/>
    <s v="Second Class"/>
    <s v="Jharkhand"/>
    <n v="704238"/>
    <s v="PROD0009"/>
    <s v="Wheat Flour"/>
    <s v="Wheat Flour - 718"/>
    <n v="5"/>
    <n v="0"/>
    <n v="54.88"/>
  </r>
  <r>
    <s v="CUST0002"/>
    <s v="Ishaan"/>
    <s v="Venkatesh"/>
    <d v="1969-08-07T00:00:00"/>
    <n v="2994.48"/>
    <n v="2024"/>
    <s v="Large"/>
    <s v="Tier 2"/>
    <s v="Fruits &amp; Vegetables"/>
    <s v="East"/>
    <s v="India"/>
    <s v="Home Office"/>
    <x v="10"/>
    <s v="ORD00011"/>
    <d v="2024-10-02T00:00:00"/>
    <d v="2024-10-07T00:00:00"/>
    <s v="Standard Class"/>
    <s v="Jharkhand"/>
    <n v="195674"/>
    <s v="PROD0010"/>
    <s v="Bananas"/>
    <s v="Bananas - 581"/>
    <n v="9"/>
    <n v="0"/>
    <n v="312.76"/>
  </r>
  <r>
    <s v="CUST0002"/>
    <s v="Ishaan"/>
    <s v="Venkatesh"/>
    <d v="1969-08-07T00:00:00"/>
    <n v="1044.6600000000001"/>
    <n v="2024"/>
    <s v="Large"/>
    <s v="Tier 2"/>
    <s v="Beverages"/>
    <s v="East"/>
    <s v="India"/>
    <s v="Home Office"/>
    <x v="11"/>
    <s v="ORD00012"/>
    <d v="2024-11-07T00:00:00"/>
    <d v="2024-11-10T00:00:00"/>
    <s v="Standard Class"/>
    <s v="Jharkhand"/>
    <n v="402218"/>
    <s v="PROD0011"/>
    <s v="Juice"/>
    <s v="Juice - 518"/>
    <n v="6"/>
    <n v="0"/>
    <n v="321.04000000000002"/>
  </r>
  <r>
    <s v="CUST0002"/>
    <s v="Ishaan"/>
    <s v="Venkatesh"/>
    <d v="1969-08-07T00:00:00"/>
    <n v="338.49"/>
    <n v="2025"/>
    <s v="Medium"/>
    <s v="Tier 2"/>
    <s v="Staples"/>
    <s v="East"/>
    <s v="India"/>
    <s v="Home Office"/>
    <x v="4"/>
    <s v="ORD00013"/>
    <d v="2025-02-20T00:00:00"/>
    <d v="2025-02-23T00:00:00"/>
    <s v="Same Day"/>
    <s v="Jharkhand"/>
    <n v="789606"/>
    <s v="PROD0009"/>
    <s v="Wheat Flour"/>
    <s v="Wheat Flour - 933"/>
    <n v="9"/>
    <n v="0"/>
    <n v="48.86"/>
  </r>
  <r>
    <s v="CUST0003"/>
    <s v="Manoj"/>
    <s v="Verma"/>
    <d v="1966-05-04T00:00:00"/>
    <n v="3078.4"/>
    <n v="2023"/>
    <s v="Medium"/>
    <s v="Tier 2"/>
    <s v="Snacks"/>
    <s v="South"/>
    <s v="India"/>
    <s v="Consumer"/>
    <x v="12"/>
    <s v="ORD00014"/>
    <d v="2023-02-25T00:00:00"/>
    <d v="2023-02-27T00:00:00"/>
    <s v="Standard Class"/>
    <s v="Kerala"/>
    <n v="227324"/>
    <s v="PROD0001"/>
    <s v="Namkeen"/>
    <s v="Namkeen - 740"/>
    <n v="8"/>
    <n v="0"/>
    <n v="400.55"/>
  </r>
  <r>
    <s v="CUST0003"/>
    <s v="Manoj"/>
    <s v="Verma"/>
    <d v="1966-05-04T00:00:00"/>
    <n v="507.48"/>
    <n v="2023"/>
    <s v="Small"/>
    <s v="Tier 2"/>
    <s v="Fruits &amp; Vegetables"/>
    <s v="South"/>
    <s v="India"/>
    <s v="Consumer"/>
    <x v="13"/>
    <s v="ORD00015"/>
    <d v="2023-07-12T00:00:00"/>
    <d v="2023-07-13T00:00:00"/>
    <s v="Standard Class"/>
    <s v="Kerala"/>
    <n v="223172"/>
    <s v="PROD0010"/>
    <s v="Bananas"/>
    <s v="Bananas - 826"/>
    <n v="3"/>
    <n v="0"/>
    <n v="109.45"/>
  </r>
  <r>
    <s v="CUST0003"/>
    <s v="Manoj"/>
    <s v="Verma"/>
    <d v="1966-05-04T00:00:00"/>
    <n v="1321.3"/>
    <n v="2024"/>
    <s v="Small"/>
    <s v="Tier 2"/>
    <s v="Staples"/>
    <s v="South"/>
    <s v="India"/>
    <s v="Consumer"/>
    <x v="14"/>
    <s v="ORD00016"/>
    <d v="2024-01-06T00:00:00"/>
    <d v="2024-01-10T00:00:00"/>
    <s v="Standard Class"/>
    <s v="Kerala"/>
    <n v="678043"/>
    <s v="PROD0012"/>
    <s v="Rice"/>
    <s v="Rice - 610"/>
    <n v="5"/>
    <n v="0"/>
    <n v="230.76"/>
  </r>
  <r>
    <s v="CUST0003"/>
    <s v="Manoj"/>
    <s v="Verma"/>
    <d v="1966-05-04T00:00:00"/>
    <n v="2639.6"/>
    <n v="2024"/>
    <s v="Medium"/>
    <s v="Tier 2"/>
    <s v="Dairy"/>
    <s v="South"/>
    <s v="India"/>
    <s v="Consumer"/>
    <x v="15"/>
    <s v="ORD00017"/>
    <d v="2024-02-28T00:00:00"/>
    <d v="2024-03-02T00:00:00"/>
    <s v="Second Class"/>
    <s v="Kerala"/>
    <n v="960408"/>
    <s v="PROD0013"/>
    <s v="Butter"/>
    <s v="Butter - 295"/>
    <n v="10"/>
    <n v="0"/>
    <n v="816.19"/>
  </r>
  <r>
    <s v="CUST0003"/>
    <s v="Manoj"/>
    <s v="Verma"/>
    <d v="1966-05-04T00:00:00"/>
    <n v="1898.95"/>
    <n v="2024"/>
    <s v="Medium"/>
    <s v="Tier 2"/>
    <s v="Fruits &amp; Vegetables"/>
    <s v="South"/>
    <s v="India"/>
    <s v="Consumer"/>
    <x v="16"/>
    <s v="ORD00018"/>
    <d v="2024-04-18T00:00:00"/>
    <d v="2024-04-22T00:00:00"/>
    <s v="Standard Class"/>
    <s v="Kerala"/>
    <n v="461888"/>
    <s v="PROD0014"/>
    <s v="Tomatoes"/>
    <s v="Tomatoes - 843"/>
    <n v="5"/>
    <n v="0.1"/>
    <n v="664.01"/>
  </r>
  <r>
    <s v="CUST0003"/>
    <s v="Manoj"/>
    <s v="Verma"/>
    <d v="1966-05-04T00:00:00"/>
    <n v="1809.54"/>
    <n v="2024"/>
    <s v="Medium"/>
    <s v="Tier 2"/>
    <s v="Bakery"/>
    <s v="South"/>
    <s v="India"/>
    <s v="Consumer"/>
    <x v="17"/>
    <s v="ORD00019"/>
    <d v="2024-06-14T00:00:00"/>
    <d v="2024-06-16T00:00:00"/>
    <s v="First Class"/>
    <s v="Kerala"/>
    <n v="997594"/>
    <s v="PROD0006"/>
    <s v="Cookies"/>
    <s v="Cookies - 881"/>
    <n v="9"/>
    <n v="0"/>
    <n v="562.54999999999995"/>
  </r>
  <r>
    <s v="CUST0004"/>
    <s v="Pooja"/>
    <s v="Shetty"/>
    <d v="1966-03-11T00:00:00"/>
    <n v="773.28"/>
    <n v="2023"/>
    <s v="Small"/>
    <s v="Tier 2"/>
    <s v="Beverages"/>
    <s v="East"/>
    <s v="India"/>
    <s v="Home Office"/>
    <x v="18"/>
    <s v="ORD00020"/>
    <d v="2023-02-14T00:00:00"/>
    <d v="2023-02-19T00:00:00"/>
    <s v="Standard Class"/>
    <s v="Jharkhand"/>
    <n v="204555"/>
    <s v="PROD0015"/>
    <s v="Soft Drinks"/>
    <s v="Soft Drinks - 779"/>
    <n v="3"/>
    <n v="0"/>
    <n v="67.95"/>
  </r>
  <r>
    <s v="CUST0004"/>
    <s v="Pooja"/>
    <s v="Shetty"/>
    <d v="1966-03-11T00:00:00"/>
    <n v="552.80999999999995"/>
    <n v="2023"/>
    <s v="Medium"/>
    <s v="Tier 2"/>
    <s v="Snacks"/>
    <s v="East"/>
    <s v="India"/>
    <s v="Home Office"/>
    <x v="19"/>
    <s v="ORD00021"/>
    <d v="2023-11-22T00:00:00"/>
    <d v="2023-11-23T00:00:00"/>
    <s v="Second Class"/>
    <s v="Jharkhand"/>
    <n v="753534"/>
    <s v="PROD0001"/>
    <s v="Namkeen"/>
    <s v="Namkeen - 115"/>
    <n v="3"/>
    <n v="0.15"/>
    <n v="188.5"/>
  </r>
  <r>
    <s v="CUST0004"/>
    <s v="Pooja"/>
    <s v="Shetty"/>
    <d v="1966-03-11T00:00:00"/>
    <n v="686.16"/>
    <n v="2024"/>
    <s v="Medium"/>
    <s v="Tier 2"/>
    <s v="Staples"/>
    <s v="East"/>
    <s v="India"/>
    <s v="Home Office"/>
    <x v="20"/>
    <s v="ORD00022"/>
    <d v="2024-04-29T00:00:00"/>
    <d v="2024-05-04T00:00:00"/>
    <s v="Standard Class"/>
    <s v="Jharkhand"/>
    <n v="667296"/>
    <s v="PROD0009"/>
    <s v="Wheat Flour"/>
    <s v="Wheat Flour - 765"/>
    <n v="2"/>
    <n v="0.2"/>
    <n v="173.12"/>
  </r>
  <r>
    <s v="CUST0004"/>
    <s v="Pooja"/>
    <s v="Shetty"/>
    <d v="1966-03-11T00:00:00"/>
    <n v="2119.73"/>
    <n v="2024"/>
    <s v="Medium"/>
    <s v="Tier 2"/>
    <s v="Fruits &amp; Vegetables"/>
    <s v="East"/>
    <s v="India"/>
    <s v="Home Office"/>
    <x v="21"/>
    <s v="ORD00023"/>
    <d v="2024-12-23T00:00:00"/>
    <d v="2024-12-24T00:00:00"/>
    <s v="First Class"/>
    <s v="Jharkhand"/>
    <n v="827712"/>
    <s v="PROD0016"/>
    <s v="Apples"/>
    <s v="Apples - 340"/>
    <n v="5"/>
    <n v="0.15"/>
    <n v="163.46"/>
  </r>
  <r>
    <s v="CUST0004"/>
    <s v="Pooja"/>
    <s v="Shetty"/>
    <d v="1966-03-11T00:00:00"/>
    <n v="2412.9"/>
    <n v="2025"/>
    <s v="Small"/>
    <s v="Tier 2"/>
    <s v="Bakery"/>
    <s v="East"/>
    <s v="India"/>
    <s v="Home Office"/>
    <x v="22"/>
    <s v="ORD00024"/>
    <d v="2025-02-01T00:00:00"/>
    <d v="2025-02-05T00:00:00"/>
    <s v="Standard Class"/>
    <s v="Jharkhand"/>
    <n v="693418"/>
    <s v="PROD0002"/>
    <s v="Bread"/>
    <s v="Bread - 147"/>
    <n v="6"/>
    <n v="0"/>
    <n v="380.13"/>
  </r>
  <r>
    <s v="CUST0005"/>
    <s v="Farhan"/>
    <s v="Raghavan"/>
    <d v="1989-06-12T00:00:00"/>
    <n v="842.65"/>
    <n v="2023"/>
    <s v="Large"/>
    <s v="Tier 2"/>
    <s v="Beverages"/>
    <s v="North"/>
    <s v="India"/>
    <s v="Corporate"/>
    <x v="23"/>
    <s v="ORD00025"/>
    <d v="2023-03-22T00:00:00"/>
    <d v="2023-03-26T00:00:00"/>
    <s v="Same Day"/>
    <s v="Uttarakhand"/>
    <n v="943718"/>
    <s v="PROD0017"/>
    <s v="Coffee"/>
    <s v="Coffee - 609"/>
    <n v="10"/>
    <n v="0.05"/>
    <n v="203.39"/>
  </r>
  <r>
    <s v="CUST0005"/>
    <s v="Farhan"/>
    <s v="Raghavan"/>
    <d v="1989-06-12T00:00:00"/>
    <n v="819.35"/>
    <n v="2023"/>
    <s v="Large"/>
    <s v="Tier 2"/>
    <s v="Beverages"/>
    <s v="North"/>
    <s v="India"/>
    <s v="Corporate"/>
    <x v="24"/>
    <s v="ORD00026"/>
    <d v="2023-06-24T00:00:00"/>
    <d v="2023-06-29T00:00:00"/>
    <s v="Standard Class"/>
    <s v="Uttarakhand"/>
    <n v="823846"/>
    <s v="PROD0011"/>
    <s v="Juice"/>
    <s v="Juice - 793"/>
    <n v="9"/>
    <n v="0.05"/>
    <n v="273.31"/>
  </r>
  <r>
    <s v="CUST0005"/>
    <s v="Farhan"/>
    <s v="Raghavan"/>
    <d v="1989-06-12T00:00:00"/>
    <n v="549.20000000000005"/>
    <n v="2023"/>
    <s v="Medium"/>
    <s v="Tier 2"/>
    <s v="Bakery"/>
    <s v="North"/>
    <s v="India"/>
    <s v="Corporate"/>
    <x v="25"/>
    <s v="ORD00027"/>
    <d v="2023-06-29T00:00:00"/>
    <d v="2023-06-30T00:00:00"/>
    <s v="Second Class"/>
    <s v="Uttarakhand"/>
    <n v="702733"/>
    <s v="PROD0018"/>
    <s v="Buns"/>
    <s v="Buns - 965"/>
    <n v="5"/>
    <n v="0.05"/>
    <n v="168.06"/>
  </r>
  <r>
    <s v="CUST0005"/>
    <s v="Farhan"/>
    <s v="Raghavan"/>
    <d v="1989-06-12T00:00:00"/>
    <n v="416"/>
    <n v="2023"/>
    <s v="Large"/>
    <s v="Tier 2"/>
    <s v="Bakery"/>
    <s v="North"/>
    <s v="India"/>
    <s v="Corporate"/>
    <x v="26"/>
    <s v="ORD00028"/>
    <d v="2023-07-04T00:00:00"/>
    <d v="2023-07-05T00:00:00"/>
    <s v="Standard Class"/>
    <s v="Uttarakhand"/>
    <n v="973294"/>
    <s v="PROD0006"/>
    <s v="Cookies"/>
    <s v="Cookies - 402"/>
    <n v="1"/>
    <n v="0.15"/>
    <n v="70.2"/>
  </r>
  <r>
    <s v="CUST0005"/>
    <s v="Farhan"/>
    <s v="Raghavan"/>
    <d v="1989-06-12T00:00:00"/>
    <n v="750.72"/>
    <n v="2024"/>
    <s v="Small"/>
    <s v="Tier 2"/>
    <s v="Bakery"/>
    <s v="North"/>
    <s v="India"/>
    <s v="Corporate"/>
    <x v="27"/>
    <s v="ORD00029"/>
    <d v="2024-09-16T00:00:00"/>
    <d v="2024-09-18T00:00:00"/>
    <s v="Same Day"/>
    <s v="Uttarakhand"/>
    <n v="423939"/>
    <s v="PROD0002"/>
    <s v="Bread"/>
    <s v="Bread - 721"/>
    <n v="6"/>
    <n v="0"/>
    <n v="177.37"/>
  </r>
  <r>
    <s v="CUST0006"/>
    <s v="Lakshmi"/>
    <s v="Pillai"/>
    <d v="2001-04-23T00:00:00"/>
    <n v="730.17"/>
    <n v="2023"/>
    <s v="Small"/>
    <s v="Tier 1"/>
    <s v="Fruits &amp; Vegetables"/>
    <s v="South"/>
    <s v="India"/>
    <s v="Home Office"/>
    <x v="28"/>
    <s v="ORD00030"/>
    <d v="2023-02-04T00:00:00"/>
    <d v="2023-02-07T00:00:00"/>
    <s v="Second Class"/>
    <s v="Tamil Nadu"/>
    <n v="964749"/>
    <s v="PROD0014"/>
    <s v="Tomatoes"/>
    <s v="Tomatoes - 434"/>
    <n v="7"/>
    <n v="0"/>
    <n v="208.79"/>
  </r>
  <r>
    <s v="CUST0006"/>
    <s v="Lakshmi"/>
    <s v="Pillai"/>
    <d v="2001-04-23T00:00:00"/>
    <n v="2314.37"/>
    <n v="2023"/>
    <s v="Large"/>
    <s v="Tier 1"/>
    <s v="Beverages"/>
    <s v="South"/>
    <s v="India"/>
    <s v="Home Office"/>
    <x v="29"/>
    <s v="ORD00031"/>
    <d v="2023-05-15T00:00:00"/>
    <d v="2023-05-17T00:00:00"/>
    <s v="Standard Class"/>
    <s v="Tamil Nadu"/>
    <n v="986827"/>
    <s v="PROD0011"/>
    <s v="Juice"/>
    <s v="Juice - 864"/>
    <n v="6"/>
    <n v="0.05"/>
    <n v="784.27"/>
  </r>
  <r>
    <s v="CUST0006"/>
    <s v="Lakshmi"/>
    <s v="Pillai"/>
    <d v="2001-04-23T00:00:00"/>
    <n v="168.08"/>
    <n v="2024"/>
    <s v="Large"/>
    <s v="Tier 1"/>
    <s v="Snacks"/>
    <s v="South"/>
    <s v="India"/>
    <s v="Home Office"/>
    <x v="30"/>
    <s v="ORD00032"/>
    <d v="2024-01-09T00:00:00"/>
    <d v="2024-01-12T00:00:00"/>
    <s v="Standard Class"/>
    <s v="Tamil Nadu"/>
    <n v="962367"/>
    <s v="PROD0001"/>
    <s v="Namkeen"/>
    <s v="Namkeen - 192"/>
    <n v="7"/>
    <n v="0.1"/>
    <n v="14.64"/>
  </r>
  <r>
    <s v="CUST0006"/>
    <s v="Lakshmi"/>
    <s v="Pillai"/>
    <d v="2001-04-23T00:00:00"/>
    <n v="886.72"/>
    <n v="2024"/>
    <s v="Large"/>
    <s v="Tier 1"/>
    <s v="Staples"/>
    <s v="South"/>
    <s v="India"/>
    <s v="Home Office"/>
    <x v="31"/>
    <s v="ORD00033"/>
    <d v="2024-08-16T00:00:00"/>
    <d v="2024-08-21T00:00:00"/>
    <s v="First Class"/>
    <s v="Tamil Nadu"/>
    <n v="779112"/>
    <s v="PROD0009"/>
    <s v="Wheat Flour"/>
    <s v="Wheat Flour - 210"/>
    <n v="4"/>
    <n v="0.1"/>
    <n v="279.56"/>
  </r>
  <r>
    <s v="CUST0006"/>
    <s v="Lakshmi"/>
    <s v="Pillai"/>
    <d v="2001-04-23T00:00:00"/>
    <n v="1658.15"/>
    <n v="2025"/>
    <s v="Medium"/>
    <s v="Tier 1"/>
    <s v="Fruits &amp; Vegetables"/>
    <s v="South"/>
    <s v="India"/>
    <s v="Home Office"/>
    <x v="32"/>
    <s v="ORD00034"/>
    <d v="2025-01-19T00:00:00"/>
    <d v="2025-01-20T00:00:00"/>
    <s v="Same Day"/>
    <s v="Tamil Nadu"/>
    <n v="201913"/>
    <s v="PROD0008"/>
    <s v="Onions"/>
    <s v="Onions - 817"/>
    <n v="5"/>
    <n v="0"/>
    <n v="152.44"/>
  </r>
  <r>
    <s v="CUST0007"/>
    <s v="Manoj"/>
    <s v="Kumar"/>
    <d v="1977-06-19T00:00:00"/>
    <n v="1692.03"/>
    <n v="2023"/>
    <s v="Medium"/>
    <s v="Tier 1"/>
    <s v="Beverages"/>
    <s v="South"/>
    <s v="India"/>
    <s v="Corporate"/>
    <x v="33"/>
    <s v="ORD00035"/>
    <d v="2023-05-19T00:00:00"/>
    <d v="2023-05-23T00:00:00"/>
    <s v="Standard Class"/>
    <s v="Telangana"/>
    <n v="393328"/>
    <s v="PROD0015"/>
    <s v="Soft Drinks"/>
    <s v="Soft Drinks - 479"/>
    <n v="9"/>
    <n v="0.15"/>
    <n v="453.43"/>
  </r>
  <r>
    <s v="CUST0007"/>
    <s v="Manoj"/>
    <s v="Kumar"/>
    <d v="1977-06-19T00:00:00"/>
    <n v="1867.6"/>
    <n v="2024"/>
    <s v="Large"/>
    <s v="Tier 1"/>
    <s v="Fruits &amp; Vegetables"/>
    <s v="South"/>
    <s v="India"/>
    <s v="Corporate"/>
    <x v="34"/>
    <s v="ORD00036"/>
    <d v="2024-07-04T00:00:00"/>
    <d v="2024-07-05T00:00:00"/>
    <s v="Second Class"/>
    <s v="Telangana"/>
    <n v="163491"/>
    <s v="PROD0014"/>
    <s v="Tomatoes"/>
    <s v="Tomatoes - 322"/>
    <n v="8"/>
    <n v="0"/>
    <n v="572.66999999999996"/>
  </r>
  <r>
    <s v="CUST0008"/>
    <s v="Reyansh"/>
    <s v="Iyer"/>
    <d v="1982-01-16T00:00:00"/>
    <n v="1180.8699999999999"/>
    <n v="2023"/>
    <s v="Small"/>
    <s v="Tier 2"/>
    <s v="Beverages"/>
    <s v="South"/>
    <s v="India"/>
    <s v="Corporate"/>
    <x v="35"/>
    <s v="ORD00037"/>
    <d v="2023-05-06T00:00:00"/>
    <d v="2023-05-07T00:00:00"/>
    <s v="First Class"/>
    <s v="Andhra Pradesh"/>
    <n v="925206"/>
    <s v="PROD0019"/>
    <s v="Tea"/>
    <s v="Tea - 778"/>
    <n v="4"/>
    <n v="0.1"/>
    <n v="403.06"/>
  </r>
  <r>
    <s v="CUST0008"/>
    <s v="Reyansh"/>
    <s v="Iyer"/>
    <d v="1982-01-16T00:00:00"/>
    <n v="1074.96"/>
    <n v="2023"/>
    <s v="Small"/>
    <s v="Tier 2"/>
    <s v="Snacks"/>
    <s v="South"/>
    <s v="India"/>
    <s v="Corporate"/>
    <x v="36"/>
    <s v="ORD00038"/>
    <d v="2023-07-14T00:00:00"/>
    <d v="2023-07-16T00:00:00"/>
    <s v="Same Day"/>
    <s v="Andhra Pradesh"/>
    <n v="390743"/>
    <s v="PROD0007"/>
    <s v="Chips"/>
    <s v="Chips - 170"/>
    <n v="9"/>
    <n v="0"/>
    <n v="315.95"/>
  </r>
  <r>
    <s v="CUST0008"/>
    <s v="Reyansh"/>
    <s v="Iyer"/>
    <d v="1982-01-16T00:00:00"/>
    <n v="2016.45"/>
    <n v="2025"/>
    <s v="Small"/>
    <s v="Tier 2"/>
    <s v="Dairy"/>
    <s v="South"/>
    <s v="India"/>
    <s v="Corporate"/>
    <x v="37"/>
    <s v="ORD00039"/>
    <d v="2025-05-18T00:00:00"/>
    <d v="2025-05-19T00:00:00"/>
    <s v="Second Class"/>
    <s v="Andhra Pradesh"/>
    <n v="928358"/>
    <s v="PROD0005"/>
    <s v="Yogurt"/>
    <s v="Yogurt - 653"/>
    <n v="5"/>
    <n v="0"/>
    <n v="500.72"/>
  </r>
  <r>
    <s v="CUST0009"/>
    <s v="Deepa"/>
    <s v="Pillai"/>
    <d v="2001-03-16T00:00:00"/>
    <n v="1621.49"/>
    <n v="2023"/>
    <s v="Large"/>
    <s v="Tier 2"/>
    <s v="Fruits &amp; Vegetables"/>
    <s v="South"/>
    <s v="India"/>
    <s v="Home Office"/>
    <x v="38"/>
    <s v="ORD00040"/>
    <d v="2023-01-17T00:00:00"/>
    <d v="2023-01-21T00:00:00"/>
    <s v="Same Day"/>
    <s v="Karnataka"/>
    <n v="573962"/>
    <s v="PROD0010"/>
    <s v="Bananas"/>
    <s v="Bananas - 859"/>
    <n v="7"/>
    <n v="0.15"/>
    <n v="111.99"/>
  </r>
  <r>
    <s v="CUST0009"/>
    <s v="Deepa"/>
    <s v="Pillai"/>
    <d v="2001-03-16T00:00:00"/>
    <n v="295.26"/>
    <n v="2023"/>
    <s v="Large"/>
    <s v="Tier 2"/>
    <s v="Snacks"/>
    <s v="South"/>
    <s v="India"/>
    <s v="Home Office"/>
    <x v="39"/>
    <s v="ORD00041"/>
    <d v="2023-06-28T00:00:00"/>
    <d v="2023-07-01T00:00:00"/>
    <s v="Same Day"/>
    <s v="Karnataka"/>
    <n v="163780"/>
    <s v="PROD0007"/>
    <s v="Chips"/>
    <s v="Chips - 729"/>
    <n v="1"/>
    <n v="0.2"/>
    <n v="73.13"/>
  </r>
  <r>
    <s v="CUST0009"/>
    <s v="Deepa"/>
    <s v="Pillai"/>
    <d v="2001-03-16T00:00:00"/>
    <n v="485.13"/>
    <n v="2023"/>
    <s v="Large"/>
    <s v="Tier 2"/>
    <s v="Beverages"/>
    <s v="South"/>
    <s v="India"/>
    <s v="Home Office"/>
    <x v="40"/>
    <s v="ORD00042"/>
    <d v="2023-09-29T00:00:00"/>
    <d v="2023-09-30T00:00:00"/>
    <s v="First Class"/>
    <s v="Karnataka"/>
    <n v="168872"/>
    <s v="PROD0015"/>
    <s v="Soft Drinks"/>
    <s v="Soft Drinks - 536"/>
    <n v="2"/>
    <n v="0.05"/>
    <n v="34.950000000000003"/>
  </r>
  <r>
    <s v="CUST0009"/>
    <s v="Deepa"/>
    <s v="Pillai"/>
    <d v="2001-03-16T00:00:00"/>
    <n v="2832.1"/>
    <n v="2023"/>
    <s v="Medium"/>
    <s v="Tier 2"/>
    <s v="Dairy"/>
    <s v="South"/>
    <s v="India"/>
    <s v="Home Office"/>
    <x v="41"/>
    <s v="ORD00043"/>
    <d v="2023-11-28T00:00:00"/>
    <d v="2023-12-03T00:00:00"/>
    <s v="Standard Class"/>
    <s v="Karnataka"/>
    <n v="630108"/>
    <s v="PROD0020"/>
    <s v="Paneer"/>
    <s v="Paneer - 739"/>
    <n v="10"/>
    <n v="0"/>
    <n v="465.23"/>
  </r>
  <r>
    <s v="CUST0009"/>
    <s v="Deepa"/>
    <s v="Pillai"/>
    <d v="2001-03-16T00:00:00"/>
    <n v="729.88"/>
    <n v="2024"/>
    <s v="Small"/>
    <s v="Tier 2"/>
    <s v="Snacks"/>
    <s v="South"/>
    <s v="India"/>
    <s v="Home Office"/>
    <x v="42"/>
    <s v="ORD00044"/>
    <d v="2024-08-25T00:00:00"/>
    <d v="2024-08-30T00:00:00"/>
    <s v="Standard Class"/>
    <s v="Karnataka"/>
    <n v="573489"/>
    <s v="PROD0001"/>
    <s v="Namkeen"/>
    <s v="Namkeen - 201"/>
    <n v="2"/>
    <n v="0.15"/>
    <n v="228.68"/>
  </r>
  <r>
    <s v="CUST0010"/>
    <s v="Krishna"/>
    <s v="Yadav"/>
    <d v="1981-12-24T00:00:00"/>
    <n v="1190.07"/>
    <n v="2023"/>
    <s v="Medium"/>
    <s v="Tier 2"/>
    <s v="Staples"/>
    <s v="South"/>
    <s v="India"/>
    <s v="Home Office"/>
    <x v="43"/>
    <s v="ORD00045"/>
    <d v="2023-12-14T00:00:00"/>
    <d v="2023-12-16T00:00:00"/>
    <s v="Same Day"/>
    <s v="Kerala"/>
    <n v="195656"/>
    <s v="PROD0012"/>
    <s v="Rice"/>
    <s v="Rice - 420"/>
    <n v="7"/>
    <n v="0"/>
    <n v="193.14"/>
  </r>
  <r>
    <s v="CUST0010"/>
    <s v="Krishna"/>
    <s v="Yadav"/>
    <d v="1981-12-24T00:00:00"/>
    <n v="754.8"/>
    <n v="2024"/>
    <s v="Large"/>
    <s v="Tier 2"/>
    <s v="Fruits &amp; Vegetables"/>
    <s v="South"/>
    <s v="India"/>
    <s v="Home Office"/>
    <x v="44"/>
    <s v="ORD00046"/>
    <d v="2024-02-13T00:00:00"/>
    <d v="2024-02-18T00:00:00"/>
    <s v="Second Class"/>
    <s v="Kerala"/>
    <n v="802559"/>
    <s v="PROD0016"/>
    <s v="Apples"/>
    <s v="Apples - 542"/>
    <n v="2"/>
    <n v="0"/>
    <n v="221.56"/>
  </r>
  <r>
    <s v="CUST0010"/>
    <s v="Krishna"/>
    <s v="Yadav"/>
    <d v="1981-12-24T00:00:00"/>
    <n v="2598.25"/>
    <n v="2024"/>
    <s v="Medium"/>
    <s v="Tier 2"/>
    <s v="Fruits &amp; Vegetables"/>
    <s v="South"/>
    <s v="India"/>
    <s v="Home Office"/>
    <x v="45"/>
    <s v="ORD00047"/>
    <d v="2024-02-28T00:00:00"/>
    <d v="2024-03-02T00:00:00"/>
    <s v="Same Day"/>
    <s v="Kerala"/>
    <n v="705991"/>
    <s v="PROD0008"/>
    <s v="Onions"/>
    <s v="Onions - 462"/>
    <n v="7"/>
    <n v="0.15"/>
    <n v="170.01"/>
  </r>
  <r>
    <s v="CUST0010"/>
    <s v="Krishna"/>
    <s v="Yadav"/>
    <d v="1981-12-24T00:00:00"/>
    <n v="1021.12"/>
    <n v="2024"/>
    <s v="Small"/>
    <s v="Tier 2"/>
    <s v="Snacks"/>
    <s v="South"/>
    <s v="India"/>
    <s v="Home Office"/>
    <x v="46"/>
    <s v="ORD00048"/>
    <d v="2024-03-01T00:00:00"/>
    <d v="2024-03-06T00:00:00"/>
    <s v="Second Class"/>
    <s v="Kerala"/>
    <n v="701987"/>
    <s v="PROD0007"/>
    <s v="Chips"/>
    <s v="Chips - 258"/>
    <n v="8"/>
    <n v="0"/>
    <n v="158.31"/>
  </r>
  <r>
    <s v="CUST0010"/>
    <s v="Krishna"/>
    <s v="Yadav"/>
    <d v="1981-12-24T00:00:00"/>
    <n v="3512.02"/>
    <n v="2024"/>
    <s v="Large"/>
    <s v="Tier 2"/>
    <s v="Dairy"/>
    <s v="South"/>
    <s v="India"/>
    <s v="Home Office"/>
    <x v="47"/>
    <s v="ORD00049"/>
    <d v="2024-04-09T00:00:00"/>
    <d v="2024-04-14T00:00:00"/>
    <s v="Second Class"/>
    <s v="Kerala"/>
    <n v="130359"/>
    <s v="PROD0013"/>
    <s v="Butter"/>
    <s v="Butter - 965"/>
    <n v="9"/>
    <n v="0.2"/>
    <n v="830.65"/>
  </r>
  <r>
    <s v="CUST0010"/>
    <s v="Krishna"/>
    <s v="Yadav"/>
    <d v="1981-12-24T00:00:00"/>
    <n v="2311.6999999999998"/>
    <n v="2025"/>
    <s v="Large"/>
    <s v="Tier 2"/>
    <s v="Dairy"/>
    <s v="South"/>
    <s v="India"/>
    <s v="Home Office"/>
    <x v="48"/>
    <s v="ORD00050"/>
    <d v="2025-04-27T00:00:00"/>
    <d v="2025-04-29T00:00:00"/>
    <s v="Standard Class"/>
    <s v="Kerala"/>
    <n v="172965"/>
    <s v="PROD0020"/>
    <s v="Paneer"/>
    <s v="Paneer - 819"/>
    <n v="5"/>
    <n v="0"/>
    <n v="119.82"/>
  </r>
  <r>
    <s v="CUST0011"/>
    <s v="Kavitha"/>
    <s v="Mishra"/>
    <d v="1981-03-23T00:00:00"/>
    <n v="1664.25"/>
    <n v="2023"/>
    <s v="Small"/>
    <s v="Tier 2"/>
    <s v="Fruits &amp; Vegetables"/>
    <s v="Central"/>
    <s v="India"/>
    <s v="Home Office"/>
    <x v="49"/>
    <s v="ORD00051"/>
    <d v="2023-02-01T00:00:00"/>
    <d v="2023-02-04T00:00:00"/>
    <s v="First Class"/>
    <s v="Madhya Pradesh"/>
    <n v="265056"/>
    <s v="PROD0010"/>
    <s v="Bananas"/>
    <s v="Bananas - 485"/>
    <n v="7"/>
    <n v="0"/>
    <n v="267.97000000000003"/>
  </r>
  <r>
    <s v="CUST0011"/>
    <s v="Kavitha"/>
    <s v="Mishra"/>
    <d v="1981-03-23T00:00:00"/>
    <n v="256.04000000000002"/>
    <n v="2024"/>
    <s v="Medium"/>
    <s v="Tier 2"/>
    <s v="Snacks"/>
    <s v="Central"/>
    <s v="India"/>
    <s v="Home Office"/>
    <x v="50"/>
    <s v="ORD00052"/>
    <d v="2024-10-10T00:00:00"/>
    <d v="2024-10-15T00:00:00"/>
    <s v="Second Class"/>
    <s v="Madhya Pradesh"/>
    <n v="326040"/>
    <s v="PROD0007"/>
    <s v="Chips"/>
    <s v="Chips - 790"/>
    <n v="2"/>
    <n v="0.15"/>
    <n v="45.37"/>
  </r>
  <r>
    <s v="CUST0012"/>
    <s v="Arjun"/>
    <s v="Verma"/>
    <d v="1994-08-31T00:00:00"/>
    <n v="2183.44"/>
    <n v="2023"/>
    <s v="Small"/>
    <s v="Tier 2"/>
    <s v="Staples"/>
    <s v="West"/>
    <s v="India"/>
    <s v="Consumer"/>
    <x v="51"/>
    <s v="ORD00053"/>
    <d v="2023-04-24T00:00:00"/>
    <d v="2023-04-28T00:00:00"/>
    <s v="Same Day"/>
    <s v="Rajasthan"/>
    <n v="314353"/>
    <s v="PROD0003"/>
    <s v="Pulses"/>
    <s v="Pulses - 707"/>
    <n v="8"/>
    <n v="0"/>
    <n v="138.91999999999999"/>
  </r>
  <r>
    <s v="CUST0012"/>
    <s v="Arjun"/>
    <s v="Verma"/>
    <d v="1994-08-31T00:00:00"/>
    <n v="1160.4000000000001"/>
    <n v="2023"/>
    <s v="Large"/>
    <s v="Tier 2"/>
    <s v="Bakery"/>
    <s v="West"/>
    <s v="India"/>
    <s v="Consumer"/>
    <x v="51"/>
    <s v="ORD00054"/>
    <d v="2023-04-27T00:00:00"/>
    <d v="2023-04-28T00:00:00"/>
    <s v="Standard Class"/>
    <s v="Rajasthan"/>
    <n v="284229"/>
    <s v="PROD0002"/>
    <s v="Bread"/>
    <s v="Bread - 885"/>
    <n v="3"/>
    <n v="0"/>
    <n v="172.25"/>
  </r>
  <r>
    <s v="CUST0012"/>
    <s v="Arjun"/>
    <s v="Verma"/>
    <d v="1994-08-31T00:00:00"/>
    <n v="832.42"/>
    <n v="2023"/>
    <s v="Medium"/>
    <s v="Tier 2"/>
    <s v="Dairy"/>
    <s v="West"/>
    <s v="India"/>
    <s v="Consumer"/>
    <x v="52"/>
    <s v="ORD00055"/>
    <d v="2023-10-18T00:00:00"/>
    <d v="2023-10-21T00:00:00"/>
    <s v="Same Day"/>
    <s v="Rajasthan"/>
    <n v="557409"/>
    <s v="PROD0013"/>
    <s v="Butter"/>
    <s v="Butter - 645"/>
    <n v="4"/>
    <n v="0.2"/>
    <n v="208.45"/>
  </r>
  <r>
    <s v="CUST0012"/>
    <s v="Arjun"/>
    <s v="Verma"/>
    <d v="1994-08-31T00:00:00"/>
    <n v="1600.34"/>
    <n v="2023"/>
    <s v="Small"/>
    <s v="Tier 2"/>
    <s v="Fruits &amp; Vegetables"/>
    <s v="West"/>
    <s v="India"/>
    <s v="Consumer"/>
    <x v="53"/>
    <s v="ORD00056"/>
    <d v="2023-12-20T00:00:00"/>
    <d v="2023-12-24T00:00:00"/>
    <s v="Standard Class"/>
    <s v="Rajasthan"/>
    <n v="121869"/>
    <s v="PROD0008"/>
    <s v="Onions"/>
    <s v="Onions - 179"/>
    <n v="6"/>
    <n v="0.1"/>
    <n v="274.18"/>
  </r>
  <r>
    <s v="CUST0012"/>
    <s v="Arjun"/>
    <s v="Verma"/>
    <d v="1994-08-31T00:00:00"/>
    <n v="2047.22"/>
    <n v="2024"/>
    <s v="Small"/>
    <s v="Tier 2"/>
    <s v="Bakery"/>
    <s v="West"/>
    <s v="India"/>
    <s v="Consumer"/>
    <x v="54"/>
    <s v="ORD00057"/>
    <d v="2024-03-16T00:00:00"/>
    <d v="2024-03-17T00:00:00"/>
    <s v="First Class"/>
    <s v="Rajasthan"/>
    <n v="556839"/>
    <s v="PROD0002"/>
    <s v="Bread"/>
    <s v="Bread - 920"/>
    <n v="10"/>
    <n v="0.15"/>
    <n v="667.25"/>
  </r>
  <r>
    <s v="CUST0013"/>
    <s v="Kavya"/>
    <s v="Pandey"/>
    <d v="1969-07-13T00:00:00"/>
    <n v="719.48"/>
    <n v="2023"/>
    <s v="Medium"/>
    <s v="Tier 2"/>
    <s v="Bakery"/>
    <s v="North"/>
    <s v="India"/>
    <s v="Corporate"/>
    <x v="55"/>
    <s v="ORD00058"/>
    <d v="2023-03-22T00:00:00"/>
    <d v="2023-03-23T00:00:00"/>
    <s v="Second Class"/>
    <s v="Uttar Pradesh"/>
    <n v="862712"/>
    <s v="PROD0006"/>
    <s v="Cookies"/>
    <s v="Cookies - 447"/>
    <n v="4"/>
    <n v="0"/>
    <n v="52.46"/>
  </r>
  <r>
    <s v="CUST0013"/>
    <s v="Kavya"/>
    <s v="Pandey"/>
    <d v="1969-07-13T00:00:00"/>
    <n v="180.58"/>
    <n v="2024"/>
    <s v="Small"/>
    <s v="Tier 2"/>
    <s v="Staples"/>
    <s v="North"/>
    <s v="India"/>
    <s v="Corporate"/>
    <x v="56"/>
    <s v="ORD00059"/>
    <d v="2024-02-10T00:00:00"/>
    <d v="2024-02-12T00:00:00"/>
    <s v="First Class"/>
    <s v="Uttar Pradesh"/>
    <n v="910389"/>
    <s v="PROD0012"/>
    <s v="Rice"/>
    <s v="Rice - 341"/>
    <n v="2"/>
    <n v="0"/>
    <n v="18.43"/>
  </r>
  <r>
    <s v="CUST0013"/>
    <s v="Kavya"/>
    <s v="Pandey"/>
    <d v="1969-07-13T00:00:00"/>
    <n v="3655.03"/>
    <n v="2024"/>
    <s v="Large"/>
    <s v="Tier 2"/>
    <s v="Staples"/>
    <s v="North"/>
    <s v="India"/>
    <s v="Corporate"/>
    <x v="57"/>
    <s v="ORD00060"/>
    <d v="2024-06-20T00:00:00"/>
    <d v="2024-06-25T00:00:00"/>
    <s v="Second Class"/>
    <s v="Uttar Pradesh"/>
    <n v="757685"/>
    <s v="PROD0009"/>
    <s v="Wheat Flour"/>
    <s v="Wheat Flour - 575"/>
    <n v="10"/>
    <n v="0.05"/>
    <n v="929.62"/>
  </r>
  <r>
    <s v="CUST0013"/>
    <s v="Kavya"/>
    <s v="Pandey"/>
    <d v="1969-07-13T00:00:00"/>
    <n v="416.64"/>
    <n v="2025"/>
    <s v="Medium"/>
    <s v="Tier 2"/>
    <s v="Bakery"/>
    <s v="North"/>
    <s v="India"/>
    <s v="Corporate"/>
    <x v="58"/>
    <s v="ORD00061"/>
    <d v="2025-06-10T00:00:00"/>
    <d v="2025-06-13T00:00:00"/>
    <s v="Same Day"/>
    <s v="Uttar Pradesh"/>
    <n v="425486"/>
    <s v="PROD0002"/>
    <s v="Bread"/>
    <s v="Bread - 550"/>
    <n v="2"/>
    <n v="0.15"/>
    <n v="58.68"/>
  </r>
  <r>
    <s v="CUST0014"/>
    <s v="Mohammed"/>
    <s v="Kulkarni"/>
    <d v="1981-05-14T00:00:00"/>
    <n v="567.36"/>
    <n v="2023"/>
    <s v="Large"/>
    <s v="Tier 1"/>
    <s v="Bakery"/>
    <s v="West"/>
    <s v="India"/>
    <s v="Corporate"/>
    <x v="59"/>
    <s v="ORD00062"/>
    <d v="2023-02-08T00:00:00"/>
    <d v="2023-02-13T00:00:00"/>
    <s v="Same Day"/>
    <s v="Maharashtra"/>
    <n v="571579"/>
    <s v="PROD0002"/>
    <s v="Bread"/>
    <s v="Bread - 760"/>
    <n v="2"/>
    <n v="0.1"/>
    <n v="93.81"/>
  </r>
  <r>
    <s v="CUST0014"/>
    <s v="Mohammed"/>
    <s v="Kulkarni"/>
    <d v="1981-05-14T00:00:00"/>
    <n v="1676.16"/>
    <n v="2023"/>
    <s v="Small"/>
    <s v="Tier 1"/>
    <s v="Snacks"/>
    <s v="West"/>
    <s v="India"/>
    <s v="Corporate"/>
    <x v="60"/>
    <s v="ORD00063"/>
    <d v="2023-02-28T00:00:00"/>
    <d v="2023-03-01T00:00:00"/>
    <s v="Second Class"/>
    <s v="Maharashtra"/>
    <n v="849014"/>
    <s v="PROD0004"/>
    <s v="Biscuits"/>
    <s v="Biscuits - 292"/>
    <n v="6"/>
    <n v="0.1"/>
    <n v="159.66999999999999"/>
  </r>
  <r>
    <s v="CUST0014"/>
    <s v="Mohammed"/>
    <s v="Kulkarni"/>
    <d v="1981-05-14T00:00:00"/>
    <n v="1366.71"/>
    <n v="2024"/>
    <s v="Medium"/>
    <s v="Tier 1"/>
    <s v="Fruits &amp; Vegetables"/>
    <s v="West"/>
    <s v="India"/>
    <s v="Corporate"/>
    <x v="61"/>
    <s v="ORD00064"/>
    <d v="2024-01-13T00:00:00"/>
    <d v="2024-01-18T00:00:00"/>
    <s v="Second Class"/>
    <s v="Maharashtra"/>
    <n v="396635"/>
    <s v="PROD0010"/>
    <s v="Bananas"/>
    <s v="Bananas - 140"/>
    <n v="4"/>
    <n v="0.05"/>
    <n v="283.20999999999998"/>
  </r>
  <r>
    <s v="CUST0014"/>
    <s v="Mohammed"/>
    <s v="Kulkarni"/>
    <d v="1981-05-14T00:00:00"/>
    <n v="2075.2199999999998"/>
    <n v="2025"/>
    <s v="Medium"/>
    <s v="Tier 1"/>
    <s v="Beverages"/>
    <s v="West"/>
    <s v="India"/>
    <s v="Corporate"/>
    <x v="62"/>
    <s v="ORD00065"/>
    <d v="2025-05-01T00:00:00"/>
    <d v="2025-05-04T00:00:00"/>
    <s v="Same Day"/>
    <s v="Maharashtra"/>
    <n v="685066"/>
    <s v="PROD0015"/>
    <s v="Soft Drinks"/>
    <s v="Soft Drinks - 893"/>
    <n v="6"/>
    <n v="0"/>
    <n v="595.11"/>
  </r>
  <r>
    <s v="CUST0015"/>
    <s v="Aadhya"/>
    <s v="Subramaniam"/>
    <d v="1976-12-23T00:00:00"/>
    <n v="599.41999999999996"/>
    <n v="2023"/>
    <s v="Small"/>
    <s v="Tier 2"/>
    <s v="Snacks"/>
    <s v="South"/>
    <s v="India"/>
    <s v="Home Office"/>
    <x v="63"/>
    <s v="ORD00066"/>
    <d v="2023-09-16T00:00:00"/>
    <d v="2023-09-19T00:00:00"/>
    <s v="Same Day"/>
    <s v="Kerala"/>
    <n v="424620"/>
    <s v="PROD0007"/>
    <s v="Chips"/>
    <s v="Chips - 441"/>
    <n v="2"/>
    <n v="0"/>
    <n v="194.83"/>
  </r>
  <r>
    <s v="CUST0015"/>
    <s v="Aadhya"/>
    <s v="Subramaniam"/>
    <d v="1976-12-23T00:00:00"/>
    <n v="2092.6799999999998"/>
    <n v="2023"/>
    <s v="Large"/>
    <s v="Tier 2"/>
    <s v="Snacks"/>
    <s v="South"/>
    <s v="India"/>
    <s v="Home Office"/>
    <x v="52"/>
    <s v="ORD00067"/>
    <d v="2023-10-18T00:00:00"/>
    <d v="2023-10-23T00:00:00"/>
    <s v="Standard Class"/>
    <s v="Kerala"/>
    <n v="633188"/>
    <s v="PROD0001"/>
    <s v="Namkeen"/>
    <s v="Namkeen - 758"/>
    <n v="6"/>
    <n v="0.15"/>
    <n v="545.87"/>
  </r>
  <r>
    <s v="CUST0015"/>
    <s v="Aadhya"/>
    <s v="Subramaniam"/>
    <d v="1976-12-23T00:00:00"/>
    <n v="532.65"/>
    <n v="2024"/>
    <s v="Small"/>
    <s v="Tier 2"/>
    <s v="Bakery"/>
    <s v="South"/>
    <s v="India"/>
    <s v="Home Office"/>
    <x v="64"/>
    <s v="ORD00068"/>
    <d v="2024-11-03T00:00:00"/>
    <d v="2024-11-07T00:00:00"/>
    <s v="First Class"/>
    <s v="Kerala"/>
    <n v="262471"/>
    <s v="PROD0002"/>
    <s v="Bread"/>
    <s v="Bread - 471"/>
    <n v="5"/>
    <n v="0"/>
    <n v="81.239999999999995"/>
  </r>
  <r>
    <s v="CUST0015"/>
    <s v="Aadhya"/>
    <s v="Subramaniam"/>
    <d v="1976-12-23T00:00:00"/>
    <n v="474.64"/>
    <n v="2025"/>
    <s v="Large"/>
    <s v="Tier 2"/>
    <s v="Fruits &amp; Vegetables"/>
    <s v="South"/>
    <s v="India"/>
    <s v="Home Office"/>
    <x v="3"/>
    <s v="ORD00069"/>
    <d v="2025-01-11T00:00:00"/>
    <d v="2025-01-16T00:00:00"/>
    <s v="Second Class"/>
    <s v="Kerala"/>
    <n v="903531"/>
    <s v="PROD0014"/>
    <s v="Tomatoes"/>
    <s v="Tomatoes - 964"/>
    <n v="2"/>
    <n v="0.1"/>
    <n v="142.65"/>
  </r>
  <r>
    <s v="CUST0015"/>
    <s v="Aadhya"/>
    <s v="Subramaniam"/>
    <d v="1976-12-23T00:00:00"/>
    <n v="658.28"/>
    <n v="2025"/>
    <s v="Large"/>
    <s v="Tier 2"/>
    <s v="Snacks"/>
    <s v="South"/>
    <s v="India"/>
    <s v="Home Office"/>
    <x v="65"/>
    <s v="ORD00070"/>
    <d v="2025-05-22T00:00:00"/>
    <d v="2025-05-27T00:00:00"/>
    <s v="Standard Class"/>
    <s v="Kerala"/>
    <n v="145814"/>
    <s v="PROD0007"/>
    <s v="Chips"/>
    <s v="Chips - 711"/>
    <n v="7"/>
    <n v="0"/>
    <n v="197.09"/>
  </r>
  <r>
    <s v="CUST0016"/>
    <s v="Naveen"/>
    <s v="Menon"/>
    <d v="1972-05-01T00:00:00"/>
    <n v="1058.56"/>
    <n v="2023"/>
    <s v="Medium"/>
    <s v="Tier 2"/>
    <s v="Beverages"/>
    <s v="East"/>
    <s v="India"/>
    <s v="Corporate"/>
    <x v="66"/>
    <s v="ORD00071"/>
    <d v="2023-09-01T00:00:00"/>
    <d v="2023-09-05T00:00:00"/>
    <s v="Standard Class"/>
    <s v="West Bengal"/>
    <n v="584106"/>
    <s v="PROD0011"/>
    <s v="Juice"/>
    <s v="Juice - 870"/>
    <n v="8"/>
    <n v="0"/>
    <n v="151.21"/>
  </r>
  <r>
    <s v="CUST0016"/>
    <s v="Naveen"/>
    <s v="Menon"/>
    <d v="1972-05-01T00:00:00"/>
    <n v="1988.64"/>
    <n v="2024"/>
    <s v="Medium"/>
    <s v="Tier 2"/>
    <s v="Bakery"/>
    <s v="East"/>
    <s v="India"/>
    <s v="Corporate"/>
    <x v="67"/>
    <s v="ORD00072"/>
    <d v="2024-11-23T00:00:00"/>
    <d v="2024-11-28T00:00:00"/>
    <s v="Same Day"/>
    <s v="West Bengal"/>
    <n v="772324"/>
    <s v="PROD0018"/>
    <s v="Buns"/>
    <s v="Buns - 614"/>
    <n v="9"/>
    <n v="0"/>
    <n v="586.78"/>
  </r>
  <r>
    <s v="CUST0016"/>
    <s v="Naveen"/>
    <s v="Menon"/>
    <d v="1972-05-01T00:00:00"/>
    <n v="650.65"/>
    <n v="2025"/>
    <s v="Small"/>
    <s v="Tier 2"/>
    <s v="Beverages"/>
    <s v="East"/>
    <s v="India"/>
    <s v="Corporate"/>
    <x v="68"/>
    <s v="ORD00073"/>
    <d v="2025-01-06T00:00:00"/>
    <d v="2025-01-09T00:00:00"/>
    <s v="Second Class"/>
    <s v="West Bengal"/>
    <n v="571145"/>
    <s v="PROD0011"/>
    <s v="Juice"/>
    <s v="Juice - 667"/>
    <n v="2"/>
    <n v="0.1"/>
    <n v="198.68"/>
  </r>
  <r>
    <s v="CUST0017"/>
    <s v="Mohammed"/>
    <s v="Raghavan"/>
    <d v="1989-12-26T00:00:00"/>
    <n v="210.3"/>
    <n v="2023"/>
    <s v="Small"/>
    <s v="Tier 2"/>
    <s v="Bakery"/>
    <s v="West"/>
    <s v="India"/>
    <s v="Consumer"/>
    <x v="69"/>
    <s v="ORD00074"/>
    <d v="2023-04-04T00:00:00"/>
    <d v="2023-04-05T00:00:00"/>
    <s v="Same Day"/>
    <s v="Rajasthan"/>
    <n v="434165"/>
    <s v="PROD0002"/>
    <s v="Bread"/>
    <s v="Bread - 524"/>
    <n v="1"/>
    <n v="0"/>
    <n v="25.39"/>
  </r>
  <r>
    <s v="CUST0017"/>
    <s v="Mohammed"/>
    <s v="Raghavan"/>
    <d v="1989-12-26T00:00:00"/>
    <n v="258.14999999999998"/>
    <n v="2023"/>
    <s v="Large"/>
    <s v="Tier 2"/>
    <s v="Fruits &amp; Vegetables"/>
    <s v="West"/>
    <s v="India"/>
    <s v="Consumer"/>
    <x v="70"/>
    <s v="ORD00075"/>
    <d v="2023-05-31T00:00:00"/>
    <d v="2023-06-04T00:00:00"/>
    <s v="Standard Class"/>
    <s v="Rajasthan"/>
    <n v="570392"/>
    <s v="PROD0014"/>
    <s v="Tomatoes"/>
    <s v="Tomatoes - 910"/>
    <n v="3"/>
    <n v="0"/>
    <n v="83.96"/>
  </r>
  <r>
    <s v="CUST0017"/>
    <s v="Mohammed"/>
    <s v="Raghavan"/>
    <d v="1989-12-26T00:00:00"/>
    <n v="114.27"/>
    <n v="2023"/>
    <s v="Medium"/>
    <s v="Tier 2"/>
    <s v="Snacks"/>
    <s v="West"/>
    <s v="India"/>
    <s v="Consumer"/>
    <x v="71"/>
    <s v="ORD00076"/>
    <d v="2023-08-16T00:00:00"/>
    <d v="2023-08-21T00:00:00"/>
    <s v="Same Day"/>
    <s v="Rajasthan"/>
    <n v="913875"/>
    <s v="PROD0007"/>
    <s v="Chips"/>
    <s v="Chips - 181"/>
    <n v="1"/>
    <n v="0.2"/>
    <n v="10.84"/>
  </r>
  <r>
    <s v="CUST0017"/>
    <s v="Mohammed"/>
    <s v="Raghavan"/>
    <d v="1989-12-26T00:00:00"/>
    <n v="81.55"/>
    <n v="2024"/>
    <s v="Small"/>
    <s v="Tier 2"/>
    <s v="Bakery"/>
    <s v="West"/>
    <s v="India"/>
    <s v="Consumer"/>
    <x v="72"/>
    <s v="ORD00077"/>
    <d v="2024-03-23T00:00:00"/>
    <d v="2024-03-28T00:00:00"/>
    <s v="Same Day"/>
    <s v="Rajasthan"/>
    <n v="977330"/>
    <s v="PROD0002"/>
    <s v="Bread"/>
    <s v="Bread - 408"/>
    <n v="2"/>
    <n v="0.05"/>
    <n v="19.71"/>
  </r>
  <r>
    <s v="CUST0017"/>
    <s v="Mohammed"/>
    <s v="Raghavan"/>
    <d v="1989-12-26T00:00:00"/>
    <n v="2264.5500000000002"/>
    <n v="2024"/>
    <s v="Large"/>
    <s v="Tier 2"/>
    <s v="Beverages"/>
    <s v="West"/>
    <s v="India"/>
    <s v="Consumer"/>
    <x v="73"/>
    <s v="ORD00078"/>
    <d v="2024-04-06T00:00:00"/>
    <d v="2024-04-10T00:00:00"/>
    <s v="Second Class"/>
    <s v="Rajasthan"/>
    <n v="352249"/>
    <s v="PROD0019"/>
    <s v="Tea"/>
    <s v="Tea - 747"/>
    <n v="9"/>
    <n v="0.15"/>
    <n v="210.77"/>
  </r>
  <r>
    <s v="CUST0017"/>
    <s v="Mohammed"/>
    <s v="Raghavan"/>
    <d v="1989-12-26T00:00:00"/>
    <n v="542.54"/>
    <n v="2025"/>
    <s v="Large"/>
    <s v="Tier 2"/>
    <s v="Snacks"/>
    <s v="West"/>
    <s v="India"/>
    <s v="Consumer"/>
    <x v="74"/>
    <s v="ORD00079"/>
    <d v="2025-04-16T00:00:00"/>
    <d v="2025-04-21T00:00:00"/>
    <s v="Same Day"/>
    <s v="Rajasthan"/>
    <n v="509420"/>
    <s v="PROD0001"/>
    <s v="Namkeen"/>
    <s v="Namkeen - 291"/>
    <n v="2"/>
    <n v="0"/>
    <n v="38.14"/>
  </r>
  <r>
    <s v="CUST0017"/>
    <s v="Mohammed"/>
    <s v="Raghavan"/>
    <d v="1989-12-26T00:00:00"/>
    <n v="3436.3"/>
    <n v="2025"/>
    <s v="Medium"/>
    <s v="Tier 2"/>
    <s v="Beverages"/>
    <s v="West"/>
    <s v="India"/>
    <s v="Consumer"/>
    <x v="75"/>
    <s v="ORD00080"/>
    <d v="2025-04-30T00:00:00"/>
    <d v="2025-05-03T00:00:00"/>
    <s v="First Class"/>
    <s v="Rajasthan"/>
    <n v="868544"/>
    <s v="PROD0019"/>
    <s v="Tea"/>
    <s v="Tea - 750"/>
    <n v="7"/>
    <n v="0"/>
    <n v="942.22"/>
  </r>
  <r>
    <s v="CUST0018"/>
    <s v="Kavya"/>
    <s v="Kulkarni"/>
    <d v="1966-06-10T00:00:00"/>
    <n v="1354.03"/>
    <n v="2023"/>
    <s v="Large"/>
    <s v="Tier 2"/>
    <s v="Bakery"/>
    <s v="North"/>
    <s v="India"/>
    <s v="Corporate"/>
    <x v="76"/>
    <s v="ORD00081"/>
    <d v="2023-04-17T00:00:00"/>
    <d v="2023-04-21T00:00:00"/>
    <s v="First Class"/>
    <s v="Punjab"/>
    <n v="950916"/>
    <s v="PROD0002"/>
    <s v="Bread"/>
    <s v="Bread - 145"/>
    <n v="6"/>
    <n v="0.2"/>
    <n v="328.81"/>
  </r>
  <r>
    <s v="CUST0018"/>
    <s v="Kavya"/>
    <s v="Kulkarni"/>
    <d v="1966-06-10T00:00:00"/>
    <n v="302"/>
    <n v="2024"/>
    <s v="Medium"/>
    <s v="Tier 2"/>
    <s v="Dairy"/>
    <s v="North"/>
    <s v="India"/>
    <s v="Corporate"/>
    <x v="31"/>
    <s v="ORD00082"/>
    <d v="2024-08-18T00:00:00"/>
    <d v="2024-08-20T00:00:00"/>
    <s v="Second Class"/>
    <s v="Punjab"/>
    <n v="640418"/>
    <s v="PROD0021"/>
    <s v="Milk"/>
    <s v="Milk - 833"/>
    <n v="8"/>
    <n v="0"/>
    <n v="19.07"/>
  </r>
  <r>
    <s v="CUST0018"/>
    <s v="Kavya"/>
    <s v="Kulkarni"/>
    <d v="1966-06-10T00:00:00"/>
    <n v="381.58"/>
    <n v="2025"/>
    <s v="Medium"/>
    <s v="Tier 2"/>
    <s v="Beverages"/>
    <s v="North"/>
    <s v="India"/>
    <s v="Corporate"/>
    <x v="77"/>
    <s v="ORD00083"/>
    <d v="2025-01-22T00:00:00"/>
    <d v="2025-01-23T00:00:00"/>
    <s v="Same Day"/>
    <s v="Punjab"/>
    <n v="938171"/>
    <s v="PROD0015"/>
    <s v="Soft Drinks"/>
    <s v="Soft Drinks - 359"/>
    <n v="1"/>
    <n v="0"/>
    <n v="51.83"/>
  </r>
  <r>
    <s v="CUST0018"/>
    <s v="Kavya"/>
    <s v="Kulkarni"/>
    <d v="1966-06-10T00:00:00"/>
    <n v="3415.67"/>
    <n v="2025"/>
    <s v="Large"/>
    <s v="Tier 2"/>
    <s v="Bakery"/>
    <s v="North"/>
    <s v="India"/>
    <s v="Corporate"/>
    <x v="78"/>
    <s v="ORD00084"/>
    <d v="2025-02-13T00:00:00"/>
    <d v="2025-02-15T00:00:00"/>
    <s v="Standard Class"/>
    <s v="Punjab"/>
    <n v="485191"/>
    <s v="PROD0018"/>
    <s v="Buns"/>
    <s v="Buns - 509"/>
    <n v="8"/>
    <n v="0.05"/>
    <n v="518.19000000000005"/>
  </r>
  <r>
    <s v="CUST0018"/>
    <s v="Kavya"/>
    <s v="Kulkarni"/>
    <d v="1966-06-10T00:00:00"/>
    <n v="738"/>
    <n v="2025"/>
    <s v="Medium"/>
    <s v="Tier 2"/>
    <s v="Snacks"/>
    <s v="North"/>
    <s v="India"/>
    <s v="Corporate"/>
    <x v="79"/>
    <s v="ORD00085"/>
    <d v="2025-03-01T00:00:00"/>
    <d v="2025-03-03T00:00:00"/>
    <s v="Second Class"/>
    <s v="Punjab"/>
    <n v="207581"/>
    <s v="PROD0001"/>
    <s v="Namkeen"/>
    <s v="Namkeen - 920"/>
    <n v="2"/>
    <n v="0"/>
    <n v="132.24"/>
  </r>
  <r>
    <s v="CUST0019"/>
    <s v="Arjun"/>
    <s v="Gupta"/>
    <d v="1990-06-11T00:00:00"/>
    <n v="3644.8"/>
    <n v="2024"/>
    <s v="Small"/>
    <s v="Tier 2"/>
    <s v="Bakery"/>
    <s v="North"/>
    <s v="India"/>
    <s v="Home Office"/>
    <x v="11"/>
    <s v="ORD00086"/>
    <d v="2024-11-07T00:00:00"/>
    <d v="2024-11-10T00:00:00"/>
    <s v="Second Class"/>
    <s v="Punjab"/>
    <n v="744718"/>
    <s v="PROD0018"/>
    <s v="Buns"/>
    <s v="Buns - 556"/>
    <n v="10"/>
    <n v="0"/>
    <n v="936.46"/>
  </r>
  <r>
    <s v="CUST0020"/>
    <s v="Neha"/>
    <s v="Das"/>
    <d v="1993-11-02T00:00:00"/>
    <n v="1432.02"/>
    <n v="2023"/>
    <s v="Small"/>
    <s v="Tier 1"/>
    <s v="Bakery"/>
    <s v="East"/>
    <s v="India"/>
    <s v="Corporate"/>
    <x v="80"/>
    <s v="ORD00087"/>
    <d v="2023-02-28T00:00:00"/>
    <d v="2023-03-04T00:00:00"/>
    <s v="Same Day"/>
    <s v="West Bengal"/>
    <n v="347459"/>
    <s v="PROD0006"/>
    <s v="Cookies"/>
    <s v="Cookies - 920"/>
    <n v="3"/>
    <n v="0"/>
    <n v="436.19"/>
  </r>
  <r>
    <s v="CUST0020"/>
    <s v="Neha"/>
    <s v="Das"/>
    <d v="1993-11-02T00:00:00"/>
    <n v="3330.18"/>
    <n v="2023"/>
    <s v="Medium"/>
    <s v="Tier 1"/>
    <s v="Staples"/>
    <s v="East"/>
    <s v="India"/>
    <s v="Corporate"/>
    <x v="81"/>
    <s v="ORD00088"/>
    <d v="2023-03-18T00:00:00"/>
    <d v="2023-03-22T00:00:00"/>
    <s v="Standard Class"/>
    <s v="West Bengal"/>
    <n v="900152"/>
    <s v="PROD0009"/>
    <s v="Wheat Flour"/>
    <s v="Wheat Flour - 470"/>
    <n v="7"/>
    <n v="0"/>
    <n v="771.03"/>
  </r>
  <r>
    <s v="CUST0020"/>
    <s v="Neha"/>
    <s v="Das"/>
    <d v="1993-11-02T00:00:00"/>
    <n v="1076.4100000000001"/>
    <n v="2023"/>
    <s v="Large"/>
    <s v="Tier 1"/>
    <s v="Fruits &amp; Vegetables"/>
    <s v="East"/>
    <s v="India"/>
    <s v="Corporate"/>
    <x v="82"/>
    <s v="ORD00089"/>
    <d v="2023-10-09T00:00:00"/>
    <d v="2023-10-10T00:00:00"/>
    <s v="First Class"/>
    <s v="West Bengal"/>
    <n v="623285"/>
    <s v="PROD0010"/>
    <s v="Bananas"/>
    <s v="Bananas - 642"/>
    <n v="6"/>
    <n v="0.15"/>
    <n v="143.82"/>
  </r>
  <r>
    <s v="CUST0020"/>
    <s v="Neha"/>
    <s v="Das"/>
    <d v="1993-11-02T00:00:00"/>
    <n v="291.3"/>
    <n v="2024"/>
    <s v="Medium"/>
    <s v="Tier 1"/>
    <s v="Snacks"/>
    <s v="East"/>
    <s v="India"/>
    <s v="Corporate"/>
    <x v="83"/>
    <s v="ORD00090"/>
    <d v="2024-02-20T00:00:00"/>
    <d v="2024-02-22T00:00:00"/>
    <s v="Standard Class"/>
    <s v="West Bengal"/>
    <n v="309902"/>
    <s v="PROD0001"/>
    <s v="Namkeen"/>
    <s v="Namkeen - 675"/>
    <n v="2"/>
    <n v="0"/>
    <n v="76.09"/>
  </r>
  <r>
    <s v="CUST0020"/>
    <s v="Neha"/>
    <s v="Das"/>
    <d v="1993-11-02T00:00:00"/>
    <n v="402.87"/>
    <n v="2024"/>
    <s v="Large"/>
    <s v="Tier 1"/>
    <s v="Fruits &amp; Vegetables"/>
    <s v="East"/>
    <s v="India"/>
    <s v="Corporate"/>
    <x v="84"/>
    <s v="ORD00091"/>
    <d v="2024-10-14T00:00:00"/>
    <d v="2024-10-15T00:00:00"/>
    <s v="Second Class"/>
    <s v="West Bengal"/>
    <n v="844007"/>
    <s v="PROD0010"/>
    <s v="Bananas"/>
    <s v="Bananas - 973"/>
    <n v="2"/>
    <n v="0.15"/>
    <n v="73.94"/>
  </r>
  <r>
    <s v="CUST0020"/>
    <s v="Neha"/>
    <s v="Das"/>
    <d v="1993-11-02T00:00:00"/>
    <n v="922.26"/>
    <n v="2024"/>
    <s v="Small"/>
    <s v="Tier 1"/>
    <s v="Fruits &amp; Vegetables"/>
    <s v="East"/>
    <s v="India"/>
    <s v="Corporate"/>
    <x v="85"/>
    <s v="ORD00092"/>
    <d v="2024-10-16T00:00:00"/>
    <d v="2024-10-19T00:00:00"/>
    <s v="First Class"/>
    <s v="West Bengal"/>
    <n v="930541"/>
    <s v="PROD0014"/>
    <s v="Tomatoes"/>
    <s v="Tomatoes - 407"/>
    <n v="3"/>
    <n v="0.15"/>
    <n v="222.55"/>
  </r>
  <r>
    <s v="CUST0020"/>
    <s v="Neha"/>
    <s v="Das"/>
    <d v="1993-11-02T00:00:00"/>
    <n v="234.86"/>
    <n v="2024"/>
    <s v="Small"/>
    <s v="Tier 1"/>
    <s v="Dairy"/>
    <s v="East"/>
    <s v="India"/>
    <s v="Corporate"/>
    <x v="86"/>
    <s v="ORD00093"/>
    <d v="2024-11-18T00:00:00"/>
    <d v="2024-11-22T00:00:00"/>
    <s v="Same Day"/>
    <s v="West Bengal"/>
    <n v="168941"/>
    <s v="PROD0005"/>
    <s v="Yogurt"/>
    <s v="Yogurt - 909"/>
    <n v="8"/>
    <n v="0.1"/>
    <n v="52.06"/>
  </r>
  <r>
    <s v="CUST0020"/>
    <s v="Neha"/>
    <s v="Das"/>
    <d v="1993-11-02T00:00:00"/>
    <n v="1742.91"/>
    <n v="2025"/>
    <s v="Small"/>
    <s v="Tier 1"/>
    <s v="Bakery"/>
    <s v="East"/>
    <s v="India"/>
    <s v="Corporate"/>
    <x v="87"/>
    <s v="ORD00094"/>
    <d v="2025-03-21T00:00:00"/>
    <d v="2025-03-26T00:00:00"/>
    <s v="Second Class"/>
    <s v="West Bengal"/>
    <n v="773540"/>
    <s v="PROD0018"/>
    <s v="Buns"/>
    <s v="Buns - 834"/>
    <n v="8"/>
    <n v="0.2"/>
    <n v="301.23"/>
  </r>
  <r>
    <s v="CUST0021"/>
    <s v="Ishaan"/>
    <s v="Menon"/>
    <d v="1998-06-02T00:00:00"/>
    <n v="1059.4100000000001"/>
    <n v="2024"/>
    <s v="Small"/>
    <s v="Tier 2"/>
    <s v="Staples"/>
    <s v="East"/>
    <s v="India"/>
    <s v="Home Office"/>
    <x v="88"/>
    <s v="ORD00095"/>
    <d v="2024-04-22T00:00:00"/>
    <d v="2024-04-27T00:00:00"/>
    <s v="Standard Class"/>
    <s v="Jharkhand"/>
    <n v="627290"/>
    <s v="PROD0003"/>
    <s v="Pulses"/>
    <s v="Pulses - 452"/>
    <n v="3"/>
    <n v="0.2"/>
    <n v="228.19"/>
  </r>
  <r>
    <s v="CUST0022"/>
    <s v="Lakshmi"/>
    <s v="Chatterjee"/>
    <d v="1991-03-06T00:00:00"/>
    <n v="669.92"/>
    <n v="2023"/>
    <s v="Small"/>
    <s v="Tier 2"/>
    <s v="Dairy"/>
    <s v="North"/>
    <s v="India"/>
    <s v="Consumer"/>
    <x v="89"/>
    <s v="ORD00096"/>
    <d v="2023-02-26T00:00:00"/>
    <d v="2023-02-27T00:00:00"/>
    <s v="Second Class"/>
    <s v="Uttar Pradesh"/>
    <n v="231250"/>
    <s v="PROD0020"/>
    <s v="Paneer"/>
    <s v="Paneer - 826"/>
    <n v="4"/>
    <n v="0.1"/>
    <n v="213.35"/>
  </r>
  <r>
    <s v="CUST0022"/>
    <s v="Lakshmi"/>
    <s v="Chatterjee"/>
    <d v="1991-03-06T00:00:00"/>
    <n v="496.1"/>
    <n v="2023"/>
    <s v="Small"/>
    <s v="Tier 2"/>
    <s v="Staples"/>
    <s v="North"/>
    <s v="India"/>
    <s v="Consumer"/>
    <x v="90"/>
    <s v="ORD00097"/>
    <d v="2023-05-08T00:00:00"/>
    <d v="2023-05-13T00:00:00"/>
    <s v="Second Class"/>
    <s v="Uttar Pradesh"/>
    <n v="983456"/>
    <s v="PROD0009"/>
    <s v="Wheat Flour"/>
    <s v="Wheat Flour - 729"/>
    <n v="9"/>
    <n v="0.15"/>
    <n v="49.9"/>
  </r>
  <r>
    <s v="CUST0022"/>
    <s v="Lakshmi"/>
    <s v="Chatterjee"/>
    <d v="1991-03-06T00:00:00"/>
    <n v="50.14"/>
    <n v="2023"/>
    <s v="Large"/>
    <s v="Tier 2"/>
    <s v="Snacks"/>
    <s v="North"/>
    <s v="India"/>
    <s v="Consumer"/>
    <x v="91"/>
    <s v="ORD00098"/>
    <d v="2023-06-06T00:00:00"/>
    <d v="2023-06-09T00:00:00"/>
    <s v="Standard Class"/>
    <s v="Uttar Pradesh"/>
    <n v="748133"/>
    <s v="PROD0007"/>
    <s v="Chips"/>
    <s v="Chips - 945"/>
    <n v="1"/>
    <n v="0.15"/>
    <n v="14.1"/>
  </r>
  <r>
    <s v="CUST0022"/>
    <s v="Lakshmi"/>
    <s v="Chatterjee"/>
    <d v="1991-03-06T00:00:00"/>
    <n v="1431.36"/>
    <n v="2023"/>
    <s v="Medium"/>
    <s v="Tier 2"/>
    <s v="Staples"/>
    <s v="North"/>
    <s v="India"/>
    <s v="Consumer"/>
    <x v="92"/>
    <s v="ORD00099"/>
    <d v="2023-06-18T00:00:00"/>
    <d v="2023-06-22T00:00:00"/>
    <s v="Same Day"/>
    <s v="Uttar Pradesh"/>
    <n v="822063"/>
    <s v="PROD0012"/>
    <s v="Rice"/>
    <s v="Rice - 609"/>
    <n v="9"/>
    <n v="0"/>
    <n v="278.95"/>
  </r>
  <r>
    <s v="CUST0022"/>
    <s v="Lakshmi"/>
    <s v="Chatterjee"/>
    <d v="1991-03-06T00:00:00"/>
    <n v="1767.08"/>
    <n v="2023"/>
    <s v="Large"/>
    <s v="Tier 2"/>
    <s v="Fruits &amp; Vegetables"/>
    <s v="North"/>
    <s v="India"/>
    <s v="Consumer"/>
    <x v="93"/>
    <s v="ORD00100"/>
    <d v="2023-11-08T00:00:00"/>
    <d v="2023-11-10T00:00:00"/>
    <s v="Second Class"/>
    <s v="Uttar Pradesh"/>
    <n v="869864"/>
    <s v="PROD0010"/>
    <s v="Bananas"/>
    <s v="Bananas - 550"/>
    <n v="7"/>
    <n v="0"/>
    <n v="268.7"/>
  </r>
  <r>
    <s v="CUST0022"/>
    <s v="Lakshmi"/>
    <s v="Chatterjee"/>
    <d v="1991-03-06T00:00:00"/>
    <n v="1603.14"/>
    <n v="2024"/>
    <s v="Medium"/>
    <s v="Tier 2"/>
    <s v="Bakery"/>
    <s v="North"/>
    <s v="India"/>
    <s v="Consumer"/>
    <x v="94"/>
    <s v="ORD00101"/>
    <d v="2024-06-14T00:00:00"/>
    <d v="2024-06-18T00:00:00"/>
    <s v="Standard Class"/>
    <s v="Uttar Pradesh"/>
    <n v="359961"/>
    <s v="PROD0018"/>
    <s v="Buns"/>
    <s v="Buns - 233"/>
    <n v="6"/>
    <n v="0"/>
    <n v="233.63"/>
  </r>
  <r>
    <s v="CUST0022"/>
    <s v="Lakshmi"/>
    <s v="Chatterjee"/>
    <d v="1991-03-06T00:00:00"/>
    <n v="1895.12"/>
    <n v="2025"/>
    <s v="Medium"/>
    <s v="Tier 2"/>
    <s v="Dairy"/>
    <s v="North"/>
    <s v="India"/>
    <s v="Consumer"/>
    <x v="62"/>
    <s v="ORD00102"/>
    <d v="2025-05-01T00:00:00"/>
    <d v="2025-05-03T00:00:00"/>
    <s v="Second Class"/>
    <s v="Uttar Pradesh"/>
    <n v="299055"/>
    <s v="PROD0021"/>
    <s v="Milk"/>
    <s v="Milk - 151"/>
    <n v="5"/>
    <n v="0.2"/>
    <n v="444.62"/>
  </r>
  <r>
    <s v="CUST0023"/>
    <s v="Ishaan"/>
    <s v="Naidu"/>
    <d v="1987-02-20T00:00:00"/>
    <n v="852.68"/>
    <n v="2024"/>
    <s v="Large"/>
    <s v="Tier 2"/>
    <s v="Bakery"/>
    <s v="South"/>
    <s v="India"/>
    <s v="Consumer"/>
    <x v="88"/>
    <s v="ORD00103"/>
    <d v="2024-04-23T00:00:00"/>
    <d v="2024-04-25T00:00:00"/>
    <s v="Second Class"/>
    <s v="Kerala"/>
    <n v="151021"/>
    <s v="PROD0018"/>
    <s v="Buns"/>
    <s v="Buns - 123"/>
    <n v="2"/>
    <n v="0.1"/>
    <n v="159.6"/>
  </r>
  <r>
    <s v="CUST0023"/>
    <s v="Ishaan"/>
    <s v="Naidu"/>
    <d v="1987-02-20T00:00:00"/>
    <n v="3769.92"/>
    <n v="2024"/>
    <s v="Small"/>
    <s v="Tier 2"/>
    <s v="Fruits &amp; Vegetables"/>
    <s v="South"/>
    <s v="India"/>
    <s v="Consumer"/>
    <x v="95"/>
    <s v="ORD00104"/>
    <d v="2024-05-25T00:00:00"/>
    <d v="2024-05-28T00:00:00"/>
    <s v="Standard Class"/>
    <s v="Kerala"/>
    <n v="240440"/>
    <s v="PROD0014"/>
    <s v="Tomatoes"/>
    <s v="Tomatoes - 606"/>
    <n v="10"/>
    <n v="0.15"/>
    <n v="949.1"/>
  </r>
  <r>
    <s v="CUST0023"/>
    <s v="Ishaan"/>
    <s v="Naidu"/>
    <d v="1987-02-20T00:00:00"/>
    <n v="1301.07"/>
    <n v="2024"/>
    <s v="Medium"/>
    <s v="Tier 2"/>
    <s v="Bakery"/>
    <s v="South"/>
    <s v="India"/>
    <s v="Consumer"/>
    <x v="96"/>
    <s v="ORD00105"/>
    <d v="2024-05-25T00:00:00"/>
    <d v="2024-05-30T00:00:00"/>
    <s v="Second Class"/>
    <s v="Kerala"/>
    <n v="177103"/>
    <s v="PROD0006"/>
    <s v="Cookies"/>
    <s v="Cookies - 474"/>
    <n v="7"/>
    <n v="0.05"/>
    <n v="85.02"/>
  </r>
  <r>
    <s v="CUST0023"/>
    <s v="Ishaan"/>
    <s v="Naidu"/>
    <d v="1987-02-20T00:00:00"/>
    <n v="1249.5899999999999"/>
    <n v="2024"/>
    <s v="Small"/>
    <s v="Tier 2"/>
    <s v="Beverages"/>
    <s v="South"/>
    <s v="India"/>
    <s v="Consumer"/>
    <x v="97"/>
    <s v="ORD00106"/>
    <d v="2024-06-11T00:00:00"/>
    <d v="2024-06-12T00:00:00"/>
    <s v="Standard Class"/>
    <s v="Kerala"/>
    <n v="491326"/>
    <s v="PROD0015"/>
    <s v="Soft Drinks"/>
    <s v="Soft Drinks - 882"/>
    <n v="9"/>
    <n v="0.1"/>
    <n v="317.55"/>
  </r>
  <r>
    <s v="CUST0023"/>
    <s v="Ishaan"/>
    <s v="Naidu"/>
    <d v="1987-02-20T00:00:00"/>
    <n v="311.99"/>
    <n v="2025"/>
    <s v="Small"/>
    <s v="Tier 2"/>
    <s v="Bakery"/>
    <s v="South"/>
    <s v="India"/>
    <s v="Consumer"/>
    <x v="98"/>
    <s v="ORD00107"/>
    <d v="2025-06-19T00:00:00"/>
    <d v="2025-06-20T00:00:00"/>
    <s v="First Class"/>
    <s v="Kerala"/>
    <n v="848255"/>
    <s v="PROD0006"/>
    <s v="Cookies"/>
    <s v="Cookies - 474"/>
    <n v="3"/>
    <n v="0.1"/>
    <n v="53.17"/>
  </r>
  <r>
    <s v="CUST0024"/>
    <s v="Rohan"/>
    <s v="Krishnan"/>
    <d v="1972-03-06T00:00:00"/>
    <n v="1642.45"/>
    <n v="2024"/>
    <s v="Large"/>
    <s v="Tier 2"/>
    <s v="Dairy"/>
    <s v="North"/>
    <s v="India"/>
    <s v="Corporate"/>
    <x v="99"/>
    <s v="ORD00108"/>
    <d v="2024-04-12T00:00:00"/>
    <d v="2024-04-15T00:00:00"/>
    <s v="Standard Class"/>
    <s v="Uttarakhand"/>
    <n v="843167"/>
    <s v="PROD0005"/>
    <s v="Yogurt"/>
    <s v="Yogurt - 435"/>
    <n v="10"/>
    <n v="0.05"/>
    <n v="570.23"/>
  </r>
  <r>
    <s v="CUST0024"/>
    <s v="Rohan"/>
    <s v="Krishnan"/>
    <d v="1972-03-06T00:00:00"/>
    <n v="167.29"/>
    <n v="2024"/>
    <s v="Medium"/>
    <s v="Tier 2"/>
    <s v="Snacks"/>
    <s v="North"/>
    <s v="India"/>
    <s v="Corporate"/>
    <x v="100"/>
    <s v="ORD00109"/>
    <d v="2024-04-30T00:00:00"/>
    <d v="2024-05-04T00:00:00"/>
    <s v="Same Day"/>
    <s v="Uttarakhand"/>
    <n v="725905"/>
    <s v="PROD0001"/>
    <s v="Namkeen"/>
    <s v="Namkeen - 586"/>
    <n v="1"/>
    <n v="0.15"/>
    <n v="13.87"/>
  </r>
  <r>
    <s v="CUST0024"/>
    <s v="Rohan"/>
    <s v="Krishnan"/>
    <d v="1972-03-06T00:00:00"/>
    <n v="2526.71"/>
    <n v="2024"/>
    <s v="Large"/>
    <s v="Tier 2"/>
    <s v="Beverages"/>
    <s v="North"/>
    <s v="India"/>
    <s v="Corporate"/>
    <x v="17"/>
    <s v="ORD00110"/>
    <d v="2024-06-15T00:00:00"/>
    <d v="2024-06-19T00:00:00"/>
    <s v="Standard Class"/>
    <s v="Uttarakhand"/>
    <n v="254954"/>
    <s v="PROD0011"/>
    <s v="Juice"/>
    <s v="Juice - 771"/>
    <n v="10"/>
    <n v="0.15"/>
    <n v="165.26"/>
  </r>
  <r>
    <s v="CUST0025"/>
    <s v="Karthik"/>
    <s v="Shetty"/>
    <d v="1985-12-30T00:00:00"/>
    <n v="551.51"/>
    <n v="2023"/>
    <s v="Medium"/>
    <s v="Tier 2"/>
    <s v="Fruits &amp; Vegetables"/>
    <s v="East"/>
    <s v="India"/>
    <s v="Home Office"/>
    <x v="28"/>
    <s v="ORD00111"/>
    <d v="2023-02-02T00:00:00"/>
    <d v="2023-02-07T00:00:00"/>
    <s v="Same Day"/>
    <s v="Bihar"/>
    <n v="840058"/>
    <s v="PROD0008"/>
    <s v="Onions"/>
    <s v="Onions - 421"/>
    <n v="7"/>
    <n v="0.15"/>
    <n v="61.31"/>
  </r>
  <r>
    <s v="CUST0025"/>
    <s v="Karthik"/>
    <s v="Shetty"/>
    <d v="1985-12-30T00:00:00"/>
    <n v="2844.87"/>
    <n v="2023"/>
    <s v="Medium"/>
    <s v="Tier 2"/>
    <s v="Dairy"/>
    <s v="East"/>
    <s v="India"/>
    <s v="Home Office"/>
    <x v="101"/>
    <s v="ORD00112"/>
    <d v="2023-04-23T00:00:00"/>
    <d v="2023-04-26T00:00:00"/>
    <s v="Second Class"/>
    <s v="Bihar"/>
    <n v="672808"/>
    <s v="PROD0005"/>
    <s v="Yogurt"/>
    <s v="Yogurt - 674"/>
    <n v="6"/>
    <n v="0.05"/>
    <n v="590.72"/>
  </r>
  <r>
    <s v="CUST0025"/>
    <s v="Karthik"/>
    <s v="Shetty"/>
    <d v="1985-12-30T00:00:00"/>
    <n v="1564.2"/>
    <n v="2023"/>
    <s v="Small"/>
    <s v="Tier 2"/>
    <s v="Bakery"/>
    <s v="East"/>
    <s v="India"/>
    <s v="Home Office"/>
    <x v="102"/>
    <s v="ORD00113"/>
    <d v="2023-07-15T00:00:00"/>
    <d v="2023-07-18T00:00:00"/>
    <s v="Second Class"/>
    <s v="Bihar"/>
    <n v="908634"/>
    <s v="PROD0006"/>
    <s v="Cookies"/>
    <s v="Cookies - 890"/>
    <n v="5"/>
    <n v="0"/>
    <n v="527.45000000000005"/>
  </r>
  <r>
    <s v="CUST0025"/>
    <s v="Karthik"/>
    <s v="Shetty"/>
    <d v="1985-12-30T00:00:00"/>
    <n v="1377.44"/>
    <n v="2023"/>
    <s v="Small"/>
    <s v="Tier 2"/>
    <s v="Bakery"/>
    <s v="East"/>
    <s v="India"/>
    <s v="Home Office"/>
    <x v="103"/>
    <s v="ORD00114"/>
    <d v="2023-09-06T00:00:00"/>
    <d v="2023-09-09T00:00:00"/>
    <s v="Standard Class"/>
    <s v="Bihar"/>
    <n v="513697"/>
    <s v="PROD0006"/>
    <s v="Cookies"/>
    <s v="Cookies - 312"/>
    <n v="8"/>
    <n v="0"/>
    <n v="300.48"/>
  </r>
  <r>
    <s v="CUST0025"/>
    <s v="Karthik"/>
    <s v="Shetty"/>
    <d v="1985-12-30T00:00:00"/>
    <n v="134.35"/>
    <n v="2024"/>
    <s v="Large"/>
    <s v="Tier 2"/>
    <s v="Bakery"/>
    <s v="East"/>
    <s v="India"/>
    <s v="Home Office"/>
    <x v="104"/>
    <s v="ORD00115"/>
    <d v="2024-08-09T00:00:00"/>
    <d v="2024-08-13T00:00:00"/>
    <s v="Standard Class"/>
    <s v="Bihar"/>
    <n v="324381"/>
    <s v="PROD0002"/>
    <s v="Bread"/>
    <s v="Bread - 397"/>
    <n v="1"/>
    <n v="0.15"/>
    <n v="9.9"/>
  </r>
  <r>
    <s v="CUST0025"/>
    <s v="Karthik"/>
    <s v="Shetty"/>
    <d v="1985-12-30T00:00:00"/>
    <n v="386.5"/>
    <n v="2024"/>
    <s v="Small"/>
    <s v="Tier 2"/>
    <s v="Dairy"/>
    <s v="East"/>
    <s v="India"/>
    <s v="Home Office"/>
    <x v="105"/>
    <s v="ORD00116"/>
    <d v="2024-12-18T00:00:00"/>
    <d v="2024-12-20T00:00:00"/>
    <s v="First Class"/>
    <s v="Bihar"/>
    <n v="768933"/>
    <s v="PROD0020"/>
    <s v="Paneer"/>
    <s v="Paneer - 675"/>
    <n v="5"/>
    <n v="0.1"/>
    <n v="105.23"/>
  </r>
  <r>
    <s v="CUST0026"/>
    <s v="Aarav"/>
    <s v="Subramaniam"/>
    <d v="1997-05-01T00:00:00"/>
    <n v="693.94"/>
    <n v="2023"/>
    <s v="Medium"/>
    <s v="Tier 2"/>
    <s v="Bakery"/>
    <s v="South"/>
    <s v="India"/>
    <s v="Home Office"/>
    <x v="106"/>
    <s v="ORD00117"/>
    <d v="2023-04-13T00:00:00"/>
    <d v="2023-04-18T00:00:00"/>
    <s v="Standard Class"/>
    <s v="Andhra Pradesh"/>
    <n v="600641"/>
    <s v="PROD0006"/>
    <s v="Cookies"/>
    <s v="Cookies - 583"/>
    <n v="2"/>
    <n v="0"/>
    <n v="35.78"/>
  </r>
  <r>
    <s v="CUST0026"/>
    <s v="Aarav"/>
    <s v="Subramaniam"/>
    <d v="1997-05-01T00:00:00"/>
    <n v="740.18"/>
    <n v="2024"/>
    <s v="Large"/>
    <s v="Tier 2"/>
    <s v="Staples"/>
    <s v="South"/>
    <s v="India"/>
    <s v="Home Office"/>
    <x v="107"/>
    <s v="ORD00118"/>
    <d v="2024-02-28T00:00:00"/>
    <d v="2024-02-29T00:00:00"/>
    <s v="Same Day"/>
    <s v="Andhra Pradesh"/>
    <n v="283568"/>
    <s v="PROD0012"/>
    <s v="Rice"/>
    <s v="Rice - 874"/>
    <n v="5"/>
    <n v="0.15"/>
    <n v="50.15"/>
  </r>
  <r>
    <s v="CUST0027"/>
    <s v="Amit"/>
    <s v="Nair"/>
    <d v="1978-03-02T00:00:00"/>
    <n v="2204.1999999999998"/>
    <n v="2023"/>
    <s v="Medium"/>
    <s v="Tier 2"/>
    <s v="Beverages"/>
    <s v="North"/>
    <s v="India"/>
    <s v="Corporate"/>
    <x v="108"/>
    <s v="ORD00119"/>
    <d v="2023-02-07T00:00:00"/>
    <d v="2023-02-12T00:00:00"/>
    <s v="Second Class"/>
    <s v="Uttarakhand"/>
    <n v="576419"/>
    <s v="PROD0015"/>
    <s v="Soft Drinks"/>
    <s v="Soft Drinks - 290"/>
    <n v="5"/>
    <n v="0"/>
    <n v="307.52"/>
  </r>
  <r>
    <s v="CUST0027"/>
    <s v="Amit"/>
    <s v="Nair"/>
    <d v="1978-03-02T00:00:00"/>
    <n v="3574.72"/>
    <n v="2023"/>
    <s v="Small"/>
    <s v="Tier 2"/>
    <s v="Staples"/>
    <s v="North"/>
    <s v="India"/>
    <s v="Corporate"/>
    <x v="109"/>
    <s v="ORD00120"/>
    <d v="2023-06-30T00:00:00"/>
    <d v="2023-07-04T00:00:00"/>
    <s v="Same Day"/>
    <s v="Uttarakhand"/>
    <n v="446747"/>
    <s v="PROD0003"/>
    <s v="Pulses"/>
    <s v="Pulses - 636"/>
    <n v="8"/>
    <n v="0"/>
    <n v="1091.43"/>
  </r>
  <r>
    <s v="CUST0027"/>
    <s v="Amit"/>
    <s v="Nair"/>
    <d v="1978-03-02T00:00:00"/>
    <n v="1824.65"/>
    <n v="2025"/>
    <s v="Small"/>
    <s v="Tier 2"/>
    <s v="Dairy"/>
    <s v="North"/>
    <s v="India"/>
    <s v="Corporate"/>
    <x v="110"/>
    <s v="ORD00121"/>
    <d v="2025-05-07T00:00:00"/>
    <d v="2025-05-10T00:00:00"/>
    <s v="Standard Class"/>
    <s v="Uttarakhand"/>
    <n v="967161"/>
    <s v="PROD0013"/>
    <s v="Butter"/>
    <s v="Butter - 763"/>
    <n v="5"/>
    <n v="0"/>
    <n v="494.45"/>
  </r>
  <r>
    <s v="CUST0028"/>
    <s v="Aarav"/>
    <s v="Venkatesh"/>
    <d v="1997-04-14T00:00:00"/>
    <n v="747.54"/>
    <n v="2023"/>
    <s v="Medium"/>
    <s v="Tier 2"/>
    <s v="Staples"/>
    <s v="West"/>
    <s v="India"/>
    <s v="Home Office"/>
    <x v="111"/>
    <s v="ORD00122"/>
    <d v="2023-03-30T00:00:00"/>
    <d v="2023-04-03T00:00:00"/>
    <s v="Second Class"/>
    <s v="Goa"/>
    <n v="445637"/>
    <s v="PROD0012"/>
    <s v="Rice"/>
    <s v="Rice - 289"/>
    <n v="3"/>
    <n v="0"/>
    <n v="38.909999999999997"/>
  </r>
  <r>
    <s v="CUST0028"/>
    <s v="Aarav"/>
    <s v="Venkatesh"/>
    <d v="1997-04-14T00:00:00"/>
    <n v="216.66"/>
    <n v="2023"/>
    <s v="Large"/>
    <s v="Tier 2"/>
    <s v="Bakery"/>
    <s v="West"/>
    <s v="India"/>
    <s v="Home Office"/>
    <x v="41"/>
    <s v="ORD00123"/>
    <d v="2023-12-02T00:00:00"/>
    <d v="2023-12-04T00:00:00"/>
    <s v="Same Day"/>
    <s v="Goa"/>
    <n v="588002"/>
    <s v="PROD0006"/>
    <s v="Cookies"/>
    <s v="Cookies - 840"/>
    <n v="10"/>
    <n v="0.15"/>
    <n v="34.200000000000003"/>
  </r>
  <r>
    <s v="CUST0028"/>
    <s v="Aarav"/>
    <s v="Venkatesh"/>
    <d v="1997-04-14T00:00:00"/>
    <n v="3542.64"/>
    <n v="2024"/>
    <s v="Medium"/>
    <s v="Tier 2"/>
    <s v="Bakery"/>
    <s v="West"/>
    <s v="India"/>
    <s v="Home Office"/>
    <x v="112"/>
    <s v="ORD00124"/>
    <d v="2024-02-15T00:00:00"/>
    <d v="2024-02-16T00:00:00"/>
    <s v="First Class"/>
    <s v="Goa"/>
    <n v="329772"/>
    <s v="PROD0002"/>
    <s v="Bread"/>
    <s v="Bread - 515"/>
    <n v="9"/>
    <n v="0.15"/>
    <n v="995.31"/>
  </r>
  <r>
    <s v="CUST0029"/>
    <s v="Reyansh"/>
    <s v="Pandey"/>
    <d v="1993-01-18T00:00:00"/>
    <n v="2915.71"/>
    <n v="2023"/>
    <s v="Large"/>
    <s v="Tier 1"/>
    <s v="Staples"/>
    <s v="North"/>
    <s v="India"/>
    <s v="Consumer"/>
    <x v="113"/>
    <s v="ORD00125"/>
    <d v="2023-06-06T00:00:00"/>
    <d v="2023-06-08T00:00:00"/>
    <s v="Same Day"/>
    <s v="Delhi"/>
    <n v="651033"/>
    <s v="PROD0003"/>
    <s v="Pulses"/>
    <s v="Pulses - 582"/>
    <n v="9"/>
    <n v="0.2"/>
    <n v="336.83"/>
  </r>
  <r>
    <s v="CUST0029"/>
    <s v="Reyansh"/>
    <s v="Pandey"/>
    <d v="1993-01-18T00:00:00"/>
    <n v="590.88"/>
    <n v="2024"/>
    <s v="Large"/>
    <s v="Tier 1"/>
    <s v="Beverages"/>
    <s v="North"/>
    <s v="India"/>
    <s v="Consumer"/>
    <x v="114"/>
    <s v="ORD00126"/>
    <d v="2024-01-18T00:00:00"/>
    <d v="2024-01-23T00:00:00"/>
    <s v="First Class"/>
    <s v="Delhi"/>
    <n v="272529"/>
    <s v="PROD0011"/>
    <s v="Juice"/>
    <s v="Juice - 179"/>
    <n v="10"/>
    <n v="0.2"/>
    <n v="126.62"/>
  </r>
  <r>
    <s v="CUST0029"/>
    <s v="Reyansh"/>
    <s v="Pandey"/>
    <d v="1993-01-18T00:00:00"/>
    <n v="589.12"/>
    <n v="2024"/>
    <s v="Small"/>
    <s v="Tier 1"/>
    <s v="Bakery"/>
    <s v="North"/>
    <s v="India"/>
    <s v="Consumer"/>
    <x v="15"/>
    <s v="ORD00127"/>
    <d v="2024-03-01T00:00:00"/>
    <d v="2024-03-02T00:00:00"/>
    <s v="Standard Class"/>
    <s v="Delhi"/>
    <n v="238353"/>
    <s v="PROD0006"/>
    <s v="Cookies"/>
    <s v="Cookies - 552"/>
    <n v="2"/>
    <n v="0.15"/>
    <n v="132.52000000000001"/>
  </r>
  <r>
    <s v="CUST0029"/>
    <s v="Reyansh"/>
    <s v="Pandey"/>
    <d v="1993-01-18T00:00:00"/>
    <n v="453.25"/>
    <n v="2024"/>
    <s v="Medium"/>
    <s v="Tier 1"/>
    <s v="Snacks"/>
    <s v="North"/>
    <s v="India"/>
    <s v="Consumer"/>
    <x v="115"/>
    <s v="ORD00128"/>
    <d v="2024-04-10T00:00:00"/>
    <d v="2024-04-13T00:00:00"/>
    <s v="Second Class"/>
    <s v="Delhi"/>
    <n v="956113"/>
    <s v="PROD0001"/>
    <s v="Namkeen"/>
    <s v="Namkeen - 567"/>
    <n v="10"/>
    <n v="0.05"/>
    <n v="114.14"/>
  </r>
  <r>
    <s v="CUST0029"/>
    <s v="Reyansh"/>
    <s v="Pandey"/>
    <d v="1993-01-18T00:00:00"/>
    <n v="83.48"/>
    <n v="2024"/>
    <s v="Small"/>
    <s v="Tier 1"/>
    <s v="Fruits &amp; Vegetables"/>
    <s v="North"/>
    <s v="India"/>
    <s v="Consumer"/>
    <x v="100"/>
    <s v="ORD00129"/>
    <d v="2024-05-04T00:00:00"/>
    <d v="2024-05-09T00:00:00"/>
    <s v="Standard Class"/>
    <s v="Delhi"/>
    <n v="133276"/>
    <s v="PROD0010"/>
    <s v="Bananas"/>
    <s v="Bananas - 692"/>
    <n v="2"/>
    <n v="0"/>
    <n v="21.71"/>
  </r>
  <r>
    <s v="CUST0029"/>
    <s v="Reyansh"/>
    <s v="Pandey"/>
    <d v="1993-01-18T00:00:00"/>
    <n v="988.38"/>
    <n v="2024"/>
    <s v="Medium"/>
    <s v="Tier 1"/>
    <s v="Bakery"/>
    <s v="North"/>
    <s v="India"/>
    <s v="Consumer"/>
    <x v="116"/>
    <s v="ORD00130"/>
    <d v="2024-09-12T00:00:00"/>
    <d v="2024-09-16T00:00:00"/>
    <s v="Standard Class"/>
    <s v="Delhi"/>
    <n v="495833"/>
    <s v="PROD0018"/>
    <s v="Buns"/>
    <s v="Buns - 284"/>
    <n v="3"/>
    <n v="0.15"/>
    <n v="240.93"/>
  </r>
  <r>
    <s v="CUST0029"/>
    <s v="Reyansh"/>
    <s v="Pandey"/>
    <d v="1993-01-18T00:00:00"/>
    <n v="603.65"/>
    <n v="2025"/>
    <s v="Medium"/>
    <s v="Tier 1"/>
    <s v="Beverages"/>
    <s v="North"/>
    <s v="India"/>
    <s v="Consumer"/>
    <x v="117"/>
    <s v="ORD00131"/>
    <d v="2025-02-04T00:00:00"/>
    <d v="2025-02-06T00:00:00"/>
    <s v="First Class"/>
    <s v="Delhi"/>
    <n v="863214"/>
    <s v="PROD0019"/>
    <s v="Tea"/>
    <s v="Tea - 799"/>
    <n v="9"/>
    <n v="0.2"/>
    <n v="93.16"/>
  </r>
  <r>
    <s v="CUST0030"/>
    <s v="Ramesh"/>
    <s v="Joshi"/>
    <d v="1972-03-31T00:00:00"/>
    <n v="2906.47"/>
    <n v="2023"/>
    <s v="Small"/>
    <s v="Tier 2"/>
    <s v="Snacks"/>
    <s v="East"/>
    <s v="India"/>
    <s v="Home Office"/>
    <x v="118"/>
    <s v="ORD00132"/>
    <d v="2023-01-04T00:00:00"/>
    <d v="2023-01-06T00:00:00"/>
    <s v="Same Day"/>
    <s v="Jharkhand"/>
    <n v="133782"/>
    <s v="PROD0001"/>
    <s v="Namkeen"/>
    <s v="Namkeen - 644"/>
    <n v="7"/>
    <n v="0"/>
    <n v="546.96"/>
  </r>
  <r>
    <s v="CUST0030"/>
    <s v="Ramesh"/>
    <s v="Joshi"/>
    <d v="1972-03-31T00:00:00"/>
    <n v="135.52000000000001"/>
    <n v="2023"/>
    <s v="Large"/>
    <s v="Tier 2"/>
    <s v="Staples"/>
    <s v="East"/>
    <s v="India"/>
    <s v="Home Office"/>
    <x v="119"/>
    <s v="ORD00133"/>
    <d v="2023-01-24T00:00:00"/>
    <d v="2023-01-25T00:00:00"/>
    <s v="Same Day"/>
    <s v="Jharkhand"/>
    <n v="356622"/>
    <s v="PROD0009"/>
    <s v="Wheat Flour"/>
    <s v="Wheat Flour - 729"/>
    <n v="1"/>
    <n v="0"/>
    <n v="10.88"/>
  </r>
  <r>
    <s v="CUST0030"/>
    <s v="Ramesh"/>
    <s v="Joshi"/>
    <d v="1972-03-31T00:00:00"/>
    <n v="1059.8399999999999"/>
    <n v="2023"/>
    <s v="Large"/>
    <s v="Tier 2"/>
    <s v="Staples"/>
    <s v="East"/>
    <s v="India"/>
    <s v="Home Office"/>
    <x v="120"/>
    <s v="ORD00134"/>
    <d v="2023-11-02T00:00:00"/>
    <d v="2023-11-03T00:00:00"/>
    <s v="Second Class"/>
    <s v="Jharkhand"/>
    <n v="345536"/>
    <s v="PROD0012"/>
    <s v="Rice"/>
    <s v="Rice - 511"/>
    <n v="8"/>
    <n v="0"/>
    <n v="292.85000000000002"/>
  </r>
  <r>
    <s v="CUST0030"/>
    <s v="Ramesh"/>
    <s v="Joshi"/>
    <d v="1972-03-31T00:00:00"/>
    <n v="2609.5"/>
    <n v="2024"/>
    <s v="Small"/>
    <s v="Tier 2"/>
    <s v="Staples"/>
    <s v="East"/>
    <s v="India"/>
    <s v="Home Office"/>
    <x v="121"/>
    <s v="ORD00135"/>
    <d v="2024-04-19T00:00:00"/>
    <d v="2024-04-21T00:00:00"/>
    <s v="First Class"/>
    <s v="Jharkhand"/>
    <n v="533649"/>
    <s v="PROD0003"/>
    <s v="Pulses"/>
    <s v="Pulses - 426"/>
    <n v="10"/>
    <n v="0.15"/>
    <n v="771.15"/>
  </r>
  <r>
    <s v="CUST0030"/>
    <s v="Ramesh"/>
    <s v="Joshi"/>
    <d v="1972-03-31T00:00:00"/>
    <n v="3635.97"/>
    <n v="2024"/>
    <s v="Medium"/>
    <s v="Tier 2"/>
    <s v="Bakery"/>
    <s v="East"/>
    <s v="India"/>
    <s v="Home Office"/>
    <x v="67"/>
    <s v="ORD00136"/>
    <d v="2024-11-20T00:00:00"/>
    <d v="2024-11-24T00:00:00"/>
    <s v="Same Day"/>
    <s v="Jharkhand"/>
    <n v="461145"/>
    <s v="PROD0018"/>
    <s v="Buns"/>
    <s v="Buns - 162"/>
    <n v="9"/>
    <n v="0.15"/>
    <n v="1176.1400000000001"/>
  </r>
  <r>
    <s v="CUST0030"/>
    <s v="Ramesh"/>
    <s v="Joshi"/>
    <d v="1972-03-31T00:00:00"/>
    <n v="1479.06"/>
    <n v="2025"/>
    <s v="Small"/>
    <s v="Tier 2"/>
    <s v="Staples"/>
    <s v="East"/>
    <s v="India"/>
    <s v="Home Office"/>
    <x v="122"/>
    <s v="ORD00137"/>
    <d v="2025-01-06T00:00:00"/>
    <d v="2025-01-09T00:00:00"/>
    <s v="Standard Class"/>
    <s v="Jharkhand"/>
    <n v="352673"/>
    <s v="PROD0003"/>
    <s v="Pulses"/>
    <s v="Pulses - 490"/>
    <n v="9"/>
    <n v="0.05"/>
    <n v="255.1"/>
  </r>
  <r>
    <s v="CUST0030"/>
    <s v="Ramesh"/>
    <s v="Joshi"/>
    <d v="1972-03-31T00:00:00"/>
    <n v="1220.31"/>
    <n v="2025"/>
    <s v="Large"/>
    <s v="Tier 2"/>
    <s v="Dairy"/>
    <s v="East"/>
    <s v="India"/>
    <s v="Home Office"/>
    <x v="123"/>
    <s v="ORD00138"/>
    <d v="2025-02-13T00:00:00"/>
    <d v="2025-02-17T00:00:00"/>
    <s v="First Class"/>
    <s v="Jharkhand"/>
    <n v="507286"/>
    <s v="PROD0020"/>
    <s v="Paneer"/>
    <s v="Paneer - 978"/>
    <n v="3"/>
    <n v="0"/>
    <n v="266.89999999999998"/>
  </r>
  <r>
    <s v="CUST0030"/>
    <s v="Ramesh"/>
    <s v="Joshi"/>
    <d v="1972-03-31T00:00:00"/>
    <n v="1883.39"/>
    <n v="2025"/>
    <s v="Small"/>
    <s v="Tier 2"/>
    <s v="Dairy"/>
    <s v="East"/>
    <s v="India"/>
    <s v="Home Office"/>
    <x v="124"/>
    <s v="ORD00139"/>
    <d v="2025-05-04T00:00:00"/>
    <d v="2025-05-05T00:00:00"/>
    <s v="Second Class"/>
    <s v="Jharkhand"/>
    <n v="495489"/>
    <s v="PROD0020"/>
    <s v="Paneer"/>
    <s v="Paneer - 308"/>
    <n v="6"/>
    <n v="0.05"/>
    <n v="572.80999999999995"/>
  </r>
  <r>
    <s v="CUST0031"/>
    <s v="Rahul"/>
    <s v="Bose"/>
    <d v="1965-11-16T00:00:00"/>
    <n v="1117.53"/>
    <n v="2023"/>
    <s v="Small"/>
    <s v="Tier 2"/>
    <s v="Snacks"/>
    <s v="South"/>
    <s v="India"/>
    <s v="Corporate"/>
    <x v="59"/>
    <s v="ORD00140"/>
    <d v="2023-02-10T00:00:00"/>
    <d v="2023-02-13T00:00:00"/>
    <s v="First Class"/>
    <s v="Andhra Pradesh"/>
    <n v="299254"/>
    <s v="PROD0004"/>
    <s v="Biscuits"/>
    <s v="Biscuits - 787"/>
    <n v="9"/>
    <n v="0"/>
    <n v="347.38"/>
  </r>
  <r>
    <s v="CUST0031"/>
    <s v="Rahul"/>
    <s v="Bose"/>
    <d v="1965-11-16T00:00:00"/>
    <n v="3120.72"/>
    <n v="2023"/>
    <s v="Small"/>
    <s v="Tier 2"/>
    <s v="Staples"/>
    <s v="South"/>
    <s v="India"/>
    <s v="Corporate"/>
    <x v="125"/>
    <s v="ORD00141"/>
    <d v="2023-03-16T00:00:00"/>
    <d v="2023-03-18T00:00:00"/>
    <s v="Second Class"/>
    <s v="Andhra Pradesh"/>
    <n v="913185"/>
    <s v="PROD0012"/>
    <s v="Rice"/>
    <s v="Rice - 864"/>
    <n v="8"/>
    <n v="0.15"/>
    <n v="721.89"/>
  </r>
  <r>
    <s v="CUST0031"/>
    <s v="Rahul"/>
    <s v="Bose"/>
    <d v="1965-11-16T00:00:00"/>
    <n v="2982.51"/>
    <n v="2023"/>
    <s v="Medium"/>
    <s v="Tier 2"/>
    <s v="Bakery"/>
    <s v="South"/>
    <s v="India"/>
    <s v="Corporate"/>
    <x v="36"/>
    <s v="ORD00142"/>
    <d v="2023-07-12T00:00:00"/>
    <d v="2023-07-17T00:00:00"/>
    <s v="Same Day"/>
    <s v="Andhra Pradesh"/>
    <n v="941814"/>
    <s v="PROD0018"/>
    <s v="Buns"/>
    <s v="Buns - 577"/>
    <n v="9"/>
    <n v="0"/>
    <n v="383.16"/>
  </r>
  <r>
    <s v="CUST0031"/>
    <s v="Rahul"/>
    <s v="Bose"/>
    <d v="1965-11-16T00:00:00"/>
    <n v="2753.28"/>
    <n v="2024"/>
    <s v="Large"/>
    <s v="Tier 2"/>
    <s v="Staples"/>
    <s v="South"/>
    <s v="India"/>
    <s v="Corporate"/>
    <x v="126"/>
    <s v="ORD00143"/>
    <d v="2024-09-09T00:00:00"/>
    <d v="2024-09-10T00:00:00"/>
    <s v="First Class"/>
    <s v="Andhra Pradesh"/>
    <n v="117007"/>
    <s v="PROD0009"/>
    <s v="Wheat Flour"/>
    <s v="Wheat Flour - 879"/>
    <n v="6"/>
    <n v="0"/>
    <n v="396.13"/>
  </r>
  <r>
    <s v="CUST0031"/>
    <s v="Rahul"/>
    <s v="Bose"/>
    <d v="1965-11-16T00:00:00"/>
    <n v="3656.1"/>
    <n v="2025"/>
    <s v="Medium"/>
    <s v="Tier 2"/>
    <s v="Bakery"/>
    <s v="South"/>
    <s v="India"/>
    <s v="Corporate"/>
    <x v="127"/>
    <s v="ORD00144"/>
    <d v="2025-06-13T00:00:00"/>
    <d v="2025-06-16T00:00:00"/>
    <s v="First Class"/>
    <s v="Andhra Pradesh"/>
    <n v="623555"/>
    <s v="PROD0006"/>
    <s v="Cookies"/>
    <s v="Cookies - 698"/>
    <n v="10"/>
    <n v="0"/>
    <n v="349.97"/>
  </r>
  <r>
    <s v="CUST0032"/>
    <s v="Myra"/>
    <s v="Verma"/>
    <d v="1975-10-22T00:00:00"/>
    <n v="1115.19"/>
    <n v="2023"/>
    <s v="Small"/>
    <s v="Tier 2"/>
    <s v="Beverages"/>
    <s v="Central"/>
    <s v="India"/>
    <s v="Consumer"/>
    <x v="128"/>
    <s v="ORD00145"/>
    <d v="2023-09-21T00:00:00"/>
    <d v="2023-09-26T00:00:00"/>
    <s v="Same Day"/>
    <s v="Madhya Pradesh"/>
    <n v="649395"/>
    <s v="PROD0015"/>
    <s v="Soft Drinks"/>
    <s v="Soft Drinks - 571"/>
    <n v="3"/>
    <n v="0"/>
    <n v="112.39"/>
  </r>
  <r>
    <s v="CUST0032"/>
    <s v="Myra"/>
    <s v="Verma"/>
    <d v="1975-10-22T00:00:00"/>
    <n v="367.54"/>
    <n v="2023"/>
    <s v="Large"/>
    <s v="Tier 2"/>
    <s v="Fruits &amp; Vegetables"/>
    <s v="Central"/>
    <s v="India"/>
    <s v="Consumer"/>
    <x v="129"/>
    <s v="ORD00146"/>
    <d v="2023-12-12T00:00:00"/>
    <d v="2023-12-14T00:00:00"/>
    <s v="First Class"/>
    <s v="Madhya Pradesh"/>
    <n v="109585"/>
    <s v="PROD0016"/>
    <s v="Apples"/>
    <s v="Apples - 937"/>
    <n v="1"/>
    <n v="0.05"/>
    <n v="33.54"/>
  </r>
  <r>
    <s v="CUST0032"/>
    <s v="Myra"/>
    <s v="Verma"/>
    <d v="1975-10-22T00:00:00"/>
    <n v="269.08"/>
    <n v="2024"/>
    <s v="Small"/>
    <s v="Tier 2"/>
    <s v="Dairy"/>
    <s v="Central"/>
    <s v="India"/>
    <s v="Consumer"/>
    <x v="130"/>
    <s v="ORD00147"/>
    <d v="2024-12-02T00:00:00"/>
    <d v="2024-12-06T00:00:00"/>
    <s v="Same Day"/>
    <s v="Madhya Pradesh"/>
    <n v="658065"/>
    <s v="PROD0013"/>
    <s v="Butter"/>
    <s v="Butter - 482"/>
    <n v="1"/>
    <n v="0.15"/>
    <n v="88.84"/>
  </r>
  <r>
    <s v="CUST0032"/>
    <s v="Myra"/>
    <s v="Verma"/>
    <d v="1975-10-22T00:00:00"/>
    <n v="274.12"/>
    <n v="2025"/>
    <s v="Large"/>
    <s v="Tier 2"/>
    <s v="Snacks"/>
    <s v="Central"/>
    <s v="India"/>
    <s v="Consumer"/>
    <x v="4"/>
    <s v="ORD00148"/>
    <d v="2025-02-20T00:00:00"/>
    <d v="2025-02-23T00:00:00"/>
    <s v="Standard Class"/>
    <s v="Madhya Pradesh"/>
    <n v="945328"/>
    <s v="PROD0001"/>
    <s v="Namkeen"/>
    <s v="Namkeen - 112"/>
    <n v="1"/>
    <n v="0"/>
    <n v="57.76"/>
  </r>
  <r>
    <s v="CUST0033"/>
    <s v="Naveen"/>
    <s v="Bose"/>
    <d v="2001-08-09T00:00:00"/>
    <n v="845.42"/>
    <n v="2023"/>
    <s v="Large"/>
    <s v="Tier 2"/>
    <s v="Snacks"/>
    <s v="South"/>
    <s v="India"/>
    <s v="Consumer"/>
    <x v="131"/>
    <s v="ORD00149"/>
    <d v="2023-04-09T00:00:00"/>
    <d v="2023-04-13T00:00:00"/>
    <s v="First Class"/>
    <s v="Kerala"/>
    <n v="831105"/>
    <s v="PROD0004"/>
    <s v="Biscuits"/>
    <s v="Biscuits - 358"/>
    <n v="6"/>
    <n v="0.05"/>
    <n v="62.31"/>
  </r>
  <r>
    <s v="CUST0033"/>
    <s v="Naveen"/>
    <s v="Bose"/>
    <d v="2001-08-09T00:00:00"/>
    <n v="534.05999999999995"/>
    <n v="2023"/>
    <s v="Medium"/>
    <s v="Tier 2"/>
    <s v="Dairy"/>
    <s v="South"/>
    <s v="India"/>
    <s v="Consumer"/>
    <x v="76"/>
    <s v="ORD00150"/>
    <d v="2023-04-20T00:00:00"/>
    <d v="2023-04-21T00:00:00"/>
    <s v="Standard Class"/>
    <s v="Kerala"/>
    <n v="495490"/>
    <s v="PROD0020"/>
    <s v="Paneer"/>
    <s v="Paneer - 800"/>
    <n v="2"/>
    <n v="0.2"/>
    <n v="130.83000000000001"/>
  </r>
  <r>
    <s v="CUST0033"/>
    <s v="Naveen"/>
    <s v="Bose"/>
    <d v="2001-08-09T00:00:00"/>
    <n v="357.37"/>
    <n v="2023"/>
    <s v="Large"/>
    <s v="Tier 2"/>
    <s v="Snacks"/>
    <s v="South"/>
    <s v="India"/>
    <s v="Consumer"/>
    <x v="132"/>
    <s v="ORD00151"/>
    <d v="2023-06-02T00:00:00"/>
    <d v="2023-06-06T00:00:00"/>
    <s v="Same Day"/>
    <s v="Kerala"/>
    <n v="653815"/>
    <s v="PROD0001"/>
    <s v="Namkeen"/>
    <s v="Namkeen - 157"/>
    <n v="1"/>
    <n v="0"/>
    <n v="71.459999999999994"/>
  </r>
  <r>
    <s v="CUST0033"/>
    <s v="Naveen"/>
    <s v="Bose"/>
    <d v="2001-08-09T00:00:00"/>
    <n v="2482.4"/>
    <n v="2023"/>
    <s v="Small"/>
    <s v="Tier 2"/>
    <s v="Fruits &amp; Vegetables"/>
    <s v="South"/>
    <s v="India"/>
    <s v="Consumer"/>
    <x v="133"/>
    <s v="ORD00152"/>
    <d v="2023-07-03T00:00:00"/>
    <d v="2023-07-06T00:00:00"/>
    <s v="Second Class"/>
    <s v="Kerala"/>
    <n v="116418"/>
    <s v="PROD0010"/>
    <s v="Bananas"/>
    <s v="Bananas - 316"/>
    <n v="10"/>
    <n v="0"/>
    <n v="812.36"/>
  </r>
  <r>
    <s v="CUST0033"/>
    <s v="Naveen"/>
    <s v="Bose"/>
    <d v="2001-08-09T00:00:00"/>
    <n v="3261.02"/>
    <n v="2023"/>
    <s v="Medium"/>
    <s v="Tier 2"/>
    <s v="Dairy"/>
    <s v="South"/>
    <s v="India"/>
    <s v="Consumer"/>
    <x v="134"/>
    <s v="ORD00153"/>
    <d v="2023-07-16T00:00:00"/>
    <d v="2023-07-18T00:00:00"/>
    <s v="Second Class"/>
    <s v="Kerala"/>
    <n v="502491"/>
    <s v="PROD0005"/>
    <s v="Yogurt"/>
    <s v="Yogurt - 870"/>
    <n v="7"/>
    <n v="0"/>
    <n v="321.98"/>
  </r>
  <r>
    <s v="CUST0033"/>
    <s v="Naveen"/>
    <s v="Bose"/>
    <d v="2001-08-09T00:00:00"/>
    <n v="520.76"/>
    <n v="2023"/>
    <s v="Small"/>
    <s v="Tier 2"/>
    <s v="Staples"/>
    <s v="South"/>
    <s v="India"/>
    <s v="Consumer"/>
    <x v="135"/>
    <s v="ORD00154"/>
    <d v="2023-09-04T00:00:00"/>
    <d v="2023-09-08T00:00:00"/>
    <s v="Second Class"/>
    <s v="Kerala"/>
    <n v="734565"/>
    <s v="PROD0012"/>
    <s v="Rice"/>
    <s v="Rice - 909"/>
    <n v="2"/>
    <n v="0"/>
    <n v="34.43"/>
  </r>
  <r>
    <s v="CUST0033"/>
    <s v="Naveen"/>
    <s v="Bose"/>
    <d v="2001-08-09T00:00:00"/>
    <n v="205.32"/>
    <n v="2024"/>
    <s v="Small"/>
    <s v="Tier 2"/>
    <s v="Snacks"/>
    <s v="South"/>
    <s v="India"/>
    <s v="Consumer"/>
    <x v="136"/>
    <s v="ORD00155"/>
    <d v="2024-06-20T00:00:00"/>
    <d v="2024-06-24T00:00:00"/>
    <s v="Second Class"/>
    <s v="Kerala"/>
    <n v="679902"/>
    <s v="PROD0004"/>
    <s v="Biscuits"/>
    <s v="Biscuits - 506"/>
    <n v="6"/>
    <n v="0"/>
    <n v="58.53"/>
  </r>
  <r>
    <s v="CUST0034"/>
    <s v="Imran"/>
    <s v="Bose"/>
    <d v="1989-08-30T00:00:00"/>
    <n v="1449.16"/>
    <n v="2023"/>
    <s v="Large"/>
    <s v="Tier 1"/>
    <s v="Snacks"/>
    <s v="West"/>
    <s v="India"/>
    <s v="Home Office"/>
    <x v="137"/>
    <s v="ORD00156"/>
    <d v="2023-03-29T00:00:00"/>
    <d v="2023-04-02T00:00:00"/>
    <s v="Standard Class"/>
    <s v="Maharashtra"/>
    <n v="432061"/>
    <s v="PROD0001"/>
    <s v="Namkeen"/>
    <s v="Namkeen - 917"/>
    <n v="4"/>
    <n v="0"/>
    <n v="188.96"/>
  </r>
  <r>
    <s v="CUST0034"/>
    <s v="Imran"/>
    <s v="Bose"/>
    <d v="1989-08-30T00:00:00"/>
    <n v="448.99"/>
    <n v="2023"/>
    <s v="Small"/>
    <s v="Tier 1"/>
    <s v="Bakery"/>
    <s v="West"/>
    <s v="India"/>
    <s v="Home Office"/>
    <x v="138"/>
    <s v="ORD00157"/>
    <d v="2023-07-10T00:00:00"/>
    <d v="2023-07-13T00:00:00"/>
    <s v="Same Day"/>
    <s v="Maharashtra"/>
    <n v="296494"/>
    <s v="PROD0002"/>
    <s v="Bread"/>
    <s v="Bread - 193"/>
    <n v="1"/>
    <n v="0.05"/>
    <n v="70.930000000000007"/>
  </r>
  <r>
    <s v="CUST0034"/>
    <s v="Imran"/>
    <s v="Bose"/>
    <d v="1989-08-30T00:00:00"/>
    <n v="2393.73"/>
    <n v="2024"/>
    <s v="Large"/>
    <s v="Tier 1"/>
    <s v="Beverages"/>
    <s v="West"/>
    <s v="India"/>
    <s v="Home Office"/>
    <x v="139"/>
    <s v="ORD00158"/>
    <d v="2024-01-25T00:00:00"/>
    <d v="2024-01-28T00:00:00"/>
    <s v="Second Class"/>
    <s v="Maharashtra"/>
    <n v="503951"/>
    <s v="PROD0015"/>
    <s v="Soft Drinks"/>
    <s v="Soft Drinks - 670"/>
    <n v="9"/>
    <n v="0"/>
    <n v="138.55000000000001"/>
  </r>
  <r>
    <s v="CUST0034"/>
    <s v="Imran"/>
    <s v="Bose"/>
    <d v="1989-08-30T00:00:00"/>
    <n v="2344.3000000000002"/>
    <n v="2024"/>
    <s v="Large"/>
    <s v="Tier 1"/>
    <s v="Fruits &amp; Vegetables"/>
    <s v="West"/>
    <s v="India"/>
    <s v="Home Office"/>
    <x v="140"/>
    <s v="ORD00159"/>
    <d v="2024-03-18T00:00:00"/>
    <d v="2024-03-20T00:00:00"/>
    <s v="First Class"/>
    <s v="Maharashtra"/>
    <n v="818605"/>
    <s v="PROD0014"/>
    <s v="Tomatoes"/>
    <s v="Tomatoes - 523"/>
    <n v="7"/>
    <n v="0.15"/>
    <n v="750.97"/>
  </r>
  <r>
    <s v="CUST0034"/>
    <s v="Imran"/>
    <s v="Bose"/>
    <d v="1989-08-30T00:00:00"/>
    <n v="781.56"/>
    <n v="2024"/>
    <s v="Medium"/>
    <s v="Tier 1"/>
    <s v="Beverages"/>
    <s v="West"/>
    <s v="India"/>
    <s v="Home Office"/>
    <x v="141"/>
    <s v="ORD00160"/>
    <d v="2024-08-22T00:00:00"/>
    <d v="2024-08-24T00:00:00"/>
    <s v="Standard Class"/>
    <s v="Maharashtra"/>
    <n v="414313"/>
    <s v="PROD0017"/>
    <s v="Coffee"/>
    <s v="Coffee - 242"/>
    <n v="5"/>
    <n v="0.05"/>
    <n v="73.3"/>
  </r>
  <r>
    <s v="CUST0034"/>
    <s v="Imran"/>
    <s v="Bose"/>
    <d v="1989-08-30T00:00:00"/>
    <n v="2011.23"/>
    <n v="2024"/>
    <s v="Small"/>
    <s v="Tier 1"/>
    <s v="Beverages"/>
    <s v="West"/>
    <s v="India"/>
    <s v="Home Office"/>
    <x v="142"/>
    <s v="ORD00161"/>
    <d v="2024-11-07T00:00:00"/>
    <d v="2024-11-12T00:00:00"/>
    <s v="Standard Class"/>
    <s v="Maharashtra"/>
    <n v="212168"/>
    <s v="PROD0019"/>
    <s v="Tea"/>
    <s v="Tea - 469"/>
    <n v="5"/>
    <n v="0.15"/>
    <n v="477.69"/>
  </r>
  <r>
    <s v="CUST0034"/>
    <s v="Imran"/>
    <s v="Bose"/>
    <d v="1989-08-30T00:00:00"/>
    <n v="1130.5999999999999"/>
    <n v="2024"/>
    <s v="Medium"/>
    <s v="Tier 1"/>
    <s v="Dairy"/>
    <s v="West"/>
    <s v="India"/>
    <s v="Home Office"/>
    <x v="143"/>
    <s v="ORD00162"/>
    <d v="2024-11-27T00:00:00"/>
    <d v="2024-11-30T00:00:00"/>
    <s v="Standard Class"/>
    <s v="Maharashtra"/>
    <n v="955088"/>
    <s v="PROD0020"/>
    <s v="Paneer"/>
    <s v="Paneer - 106"/>
    <n v="7"/>
    <n v="0.1"/>
    <n v="185.38"/>
  </r>
  <r>
    <s v="CUST0035"/>
    <s v="Deepa"/>
    <s v="Chatterjee"/>
    <d v="1974-07-03T00:00:00"/>
    <n v="600.04"/>
    <n v="2023"/>
    <s v="Large"/>
    <s v="Tier 2"/>
    <s v="Staples"/>
    <s v="East"/>
    <s v="India"/>
    <s v="Home Office"/>
    <x v="144"/>
    <s v="ORD00163"/>
    <d v="2023-05-20T00:00:00"/>
    <d v="2023-05-23T00:00:00"/>
    <s v="First Class"/>
    <s v="Jharkhand"/>
    <n v="441716"/>
    <s v="PROD0012"/>
    <s v="Rice"/>
    <s v="Rice - 590"/>
    <n v="6"/>
    <n v="0.05"/>
    <n v="204.38"/>
  </r>
  <r>
    <s v="CUST0035"/>
    <s v="Deepa"/>
    <s v="Chatterjee"/>
    <d v="1974-07-03T00:00:00"/>
    <n v="1229.82"/>
    <n v="2023"/>
    <s v="Large"/>
    <s v="Tier 2"/>
    <s v="Beverages"/>
    <s v="East"/>
    <s v="India"/>
    <s v="Home Office"/>
    <x v="145"/>
    <s v="ORD00164"/>
    <d v="2023-11-04T00:00:00"/>
    <d v="2023-11-09T00:00:00"/>
    <s v="Same Day"/>
    <s v="Jharkhand"/>
    <n v="862538"/>
    <s v="PROD0011"/>
    <s v="Juice"/>
    <s v="Juice - 936"/>
    <n v="7"/>
    <n v="0.1"/>
    <n v="135.21"/>
  </r>
  <r>
    <s v="CUST0035"/>
    <s v="Deepa"/>
    <s v="Chatterjee"/>
    <d v="1974-07-03T00:00:00"/>
    <n v="2095.1"/>
    <n v="2023"/>
    <s v="Small"/>
    <s v="Tier 2"/>
    <s v="Beverages"/>
    <s v="East"/>
    <s v="India"/>
    <s v="Home Office"/>
    <x v="146"/>
    <s v="ORD00165"/>
    <d v="2023-11-25T00:00:00"/>
    <d v="2023-11-29T00:00:00"/>
    <s v="Second Class"/>
    <s v="Jharkhand"/>
    <n v="353777"/>
    <s v="PROD0017"/>
    <s v="Coffee"/>
    <s v="Coffee - 548"/>
    <n v="5"/>
    <n v="0"/>
    <n v="619.5"/>
  </r>
  <r>
    <s v="CUST0035"/>
    <s v="Deepa"/>
    <s v="Chatterjee"/>
    <d v="1974-07-03T00:00:00"/>
    <n v="2791.32"/>
    <n v="2024"/>
    <s v="Large"/>
    <s v="Tier 2"/>
    <s v="Bakery"/>
    <s v="East"/>
    <s v="India"/>
    <s v="Home Office"/>
    <x v="147"/>
    <s v="ORD00166"/>
    <d v="2024-08-31T00:00:00"/>
    <d v="2024-09-05T00:00:00"/>
    <s v="Standard Class"/>
    <s v="Jharkhand"/>
    <n v="660324"/>
    <s v="PROD0006"/>
    <s v="Cookies"/>
    <s v="Cookies - 257"/>
    <n v="7"/>
    <n v="0"/>
    <n v="515.61"/>
  </r>
  <r>
    <s v="CUST0035"/>
    <s v="Deepa"/>
    <s v="Chatterjee"/>
    <d v="1974-07-03T00:00:00"/>
    <n v="338.85"/>
    <n v="2024"/>
    <s v="Large"/>
    <s v="Tier 2"/>
    <s v="Snacks"/>
    <s v="East"/>
    <s v="India"/>
    <s v="Home Office"/>
    <x v="148"/>
    <s v="ORD00167"/>
    <d v="2024-09-09T00:00:00"/>
    <d v="2024-09-14T00:00:00"/>
    <s v="Same Day"/>
    <s v="Jharkhand"/>
    <n v="214682"/>
    <s v="PROD0004"/>
    <s v="Biscuits"/>
    <s v="Biscuits - 528"/>
    <n v="9"/>
    <n v="0"/>
    <n v="88.27"/>
  </r>
  <r>
    <s v="CUST0035"/>
    <s v="Deepa"/>
    <s v="Chatterjee"/>
    <d v="1974-07-03T00:00:00"/>
    <n v="350.71"/>
    <n v="2024"/>
    <s v="Medium"/>
    <s v="Tier 2"/>
    <s v="Dairy"/>
    <s v="East"/>
    <s v="India"/>
    <s v="Home Office"/>
    <x v="149"/>
    <s v="ORD00168"/>
    <d v="2024-10-28T00:00:00"/>
    <d v="2024-11-01T00:00:00"/>
    <s v="Same Day"/>
    <s v="Jharkhand"/>
    <n v="111060"/>
    <s v="PROD0020"/>
    <s v="Paneer"/>
    <s v="Paneer - 270"/>
    <n v="10"/>
    <n v="0.15"/>
    <n v="88.81"/>
  </r>
  <r>
    <s v="CUST0036"/>
    <s v="Riya"/>
    <s v="Das"/>
    <d v="1995-02-17T00:00:00"/>
    <n v="2419.0700000000002"/>
    <n v="2023"/>
    <s v="Medium"/>
    <s v="Tier 2"/>
    <s v="Snacks"/>
    <s v="North"/>
    <s v="India"/>
    <s v="Home Office"/>
    <x v="150"/>
    <s v="ORD00169"/>
    <d v="2023-08-16T00:00:00"/>
    <d v="2023-08-19T00:00:00"/>
    <s v="First Class"/>
    <s v="Haryana"/>
    <n v="461724"/>
    <s v="PROD0004"/>
    <s v="Biscuits"/>
    <s v="Biscuits - 631"/>
    <n v="9"/>
    <n v="0.1"/>
    <n v="281.36"/>
  </r>
  <r>
    <s v="CUST0037"/>
    <s v="Deepak"/>
    <s v="Nair"/>
    <d v="1976-02-14T00:00:00"/>
    <n v="1431.36"/>
    <n v="2023"/>
    <s v="Small"/>
    <s v="Tier 2"/>
    <s v="Dairy"/>
    <s v="West"/>
    <s v="India"/>
    <s v="Corporate"/>
    <x v="151"/>
    <s v="ORD00170"/>
    <d v="2023-03-29T00:00:00"/>
    <d v="2023-04-01T00:00:00"/>
    <s v="Standard Class"/>
    <s v="Rajasthan"/>
    <n v="857065"/>
    <s v="PROD0020"/>
    <s v="Paneer"/>
    <s v="Paneer - 419"/>
    <n v="6"/>
    <n v="0"/>
    <n v="295.33999999999997"/>
  </r>
  <r>
    <s v="CUST0037"/>
    <s v="Deepak"/>
    <s v="Nair"/>
    <d v="1976-02-14T00:00:00"/>
    <n v="262.61"/>
    <n v="2023"/>
    <s v="Large"/>
    <s v="Tier 2"/>
    <s v="Staples"/>
    <s v="West"/>
    <s v="India"/>
    <s v="Corporate"/>
    <x v="152"/>
    <s v="ORD00171"/>
    <d v="2023-04-18T00:00:00"/>
    <d v="2023-04-19T00:00:00"/>
    <s v="Same Day"/>
    <s v="Rajasthan"/>
    <n v="810032"/>
    <s v="PROD0009"/>
    <s v="Wheat Flour"/>
    <s v="Wheat Flour - 426"/>
    <n v="2"/>
    <n v="0.2"/>
    <n v="69.13"/>
  </r>
  <r>
    <s v="CUST0037"/>
    <s v="Deepak"/>
    <s v="Nair"/>
    <d v="1976-02-14T00:00:00"/>
    <n v="854.76"/>
    <n v="2023"/>
    <s v="Medium"/>
    <s v="Tier 2"/>
    <s v="Dairy"/>
    <s v="West"/>
    <s v="India"/>
    <s v="Corporate"/>
    <x v="153"/>
    <s v="ORD00172"/>
    <d v="2023-04-29T00:00:00"/>
    <d v="2023-05-03T00:00:00"/>
    <s v="First Class"/>
    <s v="Rajasthan"/>
    <n v="295440"/>
    <s v="PROD0005"/>
    <s v="Yogurt"/>
    <s v="Yogurt - 628"/>
    <n v="3"/>
    <n v="0"/>
    <n v="186.3"/>
  </r>
  <r>
    <s v="CUST0037"/>
    <s v="Deepak"/>
    <s v="Nair"/>
    <d v="1976-02-14T00:00:00"/>
    <n v="214.26"/>
    <n v="2023"/>
    <s v="Medium"/>
    <s v="Tier 2"/>
    <s v="Staples"/>
    <s v="West"/>
    <s v="India"/>
    <s v="Corporate"/>
    <x v="154"/>
    <s v="ORD00173"/>
    <d v="2023-10-30T00:00:00"/>
    <d v="2023-11-03T00:00:00"/>
    <s v="Standard Class"/>
    <s v="Rajasthan"/>
    <n v="104666"/>
    <s v="PROD0003"/>
    <s v="Pulses"/>
    <s v="Pulses - 542"/>
    <n v="7"/>
    <n v="0.1"/>
    <n v="67.48"/>
  </r>
  <r>
    <s v="CUST0037"/>
    <s v="Deepak"/>
    <s v="Nair"/>
    <d v="1976-02-14T00:00:00"/>
    <n v="1524.48"/>
    <n v="2024"/>
    <s v="Large"/>
    <s v="Tier 2"/>
    <s v="Staples"/>
    <s v="West"/>
    <s v="India"/>
    <s v="Corporate"/>
    <x v="45"/>
    <s v="ORD00174"/>
    <d v="2024-03-01T00:00:00"/>
    <d v="2024-03-06T00:00:00"/>
    <s v="First Class"/>
    <s v="Rajasthan"/>
    <n v="483561"/>
    <s v="PROD0012"/>
    <s v="Rice"/>
    <s v="Rice - 310"/>
    <n v="5"/>
    <n v="0.2"/>
    <n v="440.27"/>
  </r>
  <r>
    <s v="CUST0037"/>
    <s v="Deepak"/>
    <s v="Nair"/>
    <d v="1976-02-14T00:00:00"/>
    <n v="233.49"/>
    <n v="2024"/>
    <s v="Large"/>
    <s v="Tier 2"/>
    <s v="Bakery"/>
    <s v="West"/>
    <s v="India"/>
    <s v="Corporate"/>
    <x v="155"/>
    <s v="ORD00175"/>
    <d v="2024-05-09T00:00:00"/>
    <d v="2024-05-12T00:00:00"/>
    <s v="Standard Class"/>
    <s v="Rajasthan"/>
    <n v="715519"/>
    <s v="PROD0002"/>
    <s v="Bread"/>
    <s v="Bread - 568"/>
    <n v="2"/>
    <n v="0.2"/>
    <n v="45.96"/>
  </r>
  <r>
    <s v="CUST0037"/>
    <s v="Deepak"/>
    <s v="Nair"/>
    <d v="1976-02-14T00:00:00"/>
    <n v="2024.51"/>
    <n v="2025"/>
    <s v="Large"/>
    <s v="Tier 2"/>
    <s v="Fruits &amp; Vegetables"/>
    <s v="West"/>
    <s v="India"/>
    <s v="Corporate"/>
    <x v="156"/>
    <s v="ORD00176"/>
    <d v="2025-01-17T00:00:00"/>
    <d v="2025-01-20T00:00:00"/>
    <s v="First Class"/>
    <s v="Rajasthan"/>
    <n v="428399"/>
    <s v="PROD0014"/>
    <s v="Tomatoes"/>
    <s v="Tomatoes - 460"/>
    <n v="8"/>
    <n v="0.2"/>
    <n v="510.33"/>
  </r>
  <r>
    <s v="CUST0037"/>
    <s v="Deepak"/>
    <s v="Nair"/>
    <d v="1976-02-14T00:00:00"/>
    <n v="183.36"/>
    <n v="2025"/>
    <s v="Large"/>
    <s v="Tier 2"/>
    <s v="Fruits &amp; Vegetables"/>
    <s v="West"/>
    <s v="India"/>
    <s v="Corporate"/>
    <x v="124"/>
    <s v="ORD00177"/>
    <d v="2025-05-01T00:00:00"/>
    <d v="2025-05-05T00:00:00"/>
    <s v="First Class"/>
    <s v="Rajasthan"/>
    <n v="702727"/>
    <s v="PROD0010"/>
    <s v="Bananas"/>
    <s v="Bananas - 412"/>
    <n v="2"/>
    <n v="0.15"/>
    <n v="16.940000000000001"/>
  </r>
  <r>
    <s v="CUST0038"/>
    <s v="Vivaan"/>
    <s v="Bhat"/>
    <d v="1989-11-06T00:00:00"/>
    <n v="816.13"/>
    <n v="2023"/>
    <s v="Medium"/>
    <s v="Tier 2"/>
    <s v="Snacks"/>
    <s v="West"/>
    <s v="India"/>
    <s v="Consumer"/>
    <x v="157"/>
    <s v="ORD00178"/>
    <d v="2023-07-10T00:00:00"/>
    <d v="2023-07-12T00:00:00"/>
    <s v="Same Day"/>
    <s v="Rajasthan"/>
    <n v="476479"/>
    <s v="PROD0004"/>
    <s v="Biscuits"/>
    <s v="Biscuits - 760"/>
    <n v="3"/>
    <n v="0.05"/>
    <n v="111.52"/>
  </r>
  <r>
    <s v="CUST0038"/>
    <s v="Vivaan"/>
    <s v="Bhat"/>
    <d v="1989-11-06T00:00:00"/>
    <n v="1480.68"/>
    <n v="2024"/>
    <s v="Large"/>
    <s v="Tier 2"/>
    <s v="Fruits &amp; Vegetables"/>
    <s v="West"/>
    <s v="India"/>
    <s v="Consumer"/>
    <x v="158"/>
    <s v="ORD00179"/>
    <d v="2024-05-13T00:00:00"/>
    <d v="2024-05-17T00:00:00"/>
    <s v="Standard Class"/>
    <s v="Rajasthan"/>
    <n v="535820"/>
    <s v="PROD0008"/>
    <s v="Onions"/>
    <s v="Onions - 239"/>
    <n v="4"/>
    <n v="0.1"/>
    <n v="298.55"/>
  </r>
  <r>
    <s v="CUST0038"/>
    <s v="Vivaan"/>
    <s v="Bhat"/>
    <d v="1989-11-06T00:00:00"/>
    <n v="179.04"/>
    <n v="2024"/>
    <s v="Small"/>
    <s v="Tier 2"/>
    <s v="Staples"/>
    <s v="West"/>
    <s v="India"/>
    <s v="Consumer"/>
    <x v="50"/>
    <s v="ORD00180"/>
    <d v="2024-10-12T00:00:00"/>
    <d v="2024-10-14T00:00:00"/>
    <s v="Second Class"/>
    <s v="Rajasthan"/>
    <n v="335765"/>
    <s v="PROD0009"/>
    <s v="Wheat Flour"/>
    <s v="Wheat Flour - 600"/>
    <n v="3"/>
    <n v="0"/>
    <n v="51.7"/>
  </r>
  <r>
    <s v="CUST0039"/>
    <s v="Arjun"/>
    <s v="Raghavan"/>
    <d v="1993-04-23T00:00:00"/>
    <n v="669.06"/>
    <n v="2023"/>
    <s v="Large"/>
    <s v="Tier 1"/>
    <s v="Staples"/>
    <s v="South"/>
    <s v="India"/>
    <s v="Consumer"/>
    <x v="159"/>
    <s v="ORD00181"/>
    <d v="2023-06-22T00:00:00"/>
    <d v="2023-06-27T00:00:00"/>
    <s v="Same Day"/>
    <s v="Karnataka"/>
    <n v="896922"/>
    <s v="PROD0009"/>
    <s v="Wheat Flour"/>
    <s v="Wheat Flour - 662"/>
    <n v="9"/>
    <n v="0"/>
    <n v="87.22"/>
  </r>
  <r>
    <s v="CUST0039"/>
    <s v="Arjun"/>
    <s v="Raghavan"/>
    <d v="1993-04-23T00:00:00"/>
    <n v="1980.36"/>
    <n v="2024"/>
    <s v="Small"/>
    <s v="Tier 1"/>
    <s v="Staples"/>
    <s v="South"/>
    <s v="India"/>
    <s v="Consumer"/>
    <x v="99"/>
    <s v="ORD00182"/>
    <d v="2024-04-13T00:00:00"/>
    <d v="2024-04-15T00:00:00"/>
    <s v="Standard Class"/>
    <s v="Karnataka"/>
    <n v="375581"/>
    <s v="PROD0009"/>
    <s v="Wheat Flour"/>
    <s v="Wheat Flour - 659"/>
    <n v="4"/>
    <n v="0"/>
    <n v="536.27"/>
  </r>
  <r>
    <s v="CUST0039"/>
    <s v="Arjun"/>
    <s v="Raghavan"/>
    <d v="1993-04-23T00:00:00"/>
    <n v="784.6"/>
    <n v="2024"/>
    <s v="Medium"/>
    <s v="Tier 1"/>
    <s v="Bakery"/>
    <s v="South"/>
    <s v="India"/>
    <s v="Consumer"/>
    <x v="160"/>
    <s v="ORD00183"/>
    <d v="2024-08-02T00:00:00"/>
    <d v="2024-08-07T00:00:00"/>
    <s v="Standard Class"/>
    <s v="Karnataka"/>
    <n v="274044"/>
    <s v="PROD0002"/>
    <s v="Bread"/>
    <s v="Bread - 549"/>
    <n v="2"/>
    <n v="0"/>
    <n v="88.63"/>
  </r>
  <r>
    <s v="CUST0039"/>
    <s v="Arjun"/>
    <s v="Raghavan"/>
    <d v="1993-04-23T00:00:00"/>
    <n v="1313.57"/>
    <n v="2025"/>
    <s v="Large"/>
    <s v="Tier 1"/>
    <s v="Snacks"/>
    <s v="South"/>
    <s v="India"/>
    <s v="Consumer"/>
    <x v="161"/>
    <s v="ORD00184"/>
    <d v="2025-03-10T00:00:00"/>
    <d v="2025-03-13T00:00:00"/>
    <s v="First Class"/>
    <s v="Karnataka"/>
    <n v="439375"/>
    <s v="PROD0007"/>
    <s v="Chips"/>
    <s v="Chips - 903"/>
    <n v="4"/>
    <n v="0.2"/>
    <n v="89.07"/>
  </r>
  <r>
    <s v="CUST0040"/>
    <s v="Aditya"/>
    <s v="Pandey"/>
    <d v="1979-10-28T00:00:00"/>
    <n v="3227.07"/>
    <n v="2023"/>
    <s v="Small"/>
    <s v="Tier 2"/>
    <s v="Fruits &amp; Vegetables"/>
    <s v="South"/>
    <s v="India"/>
    <s v="Corporate"/>
    <x v="162"/>
    <s v="ORD00185"/>
    <d v="2023-10-01T00:00:00"/>
    <d v="2023-10-03T00:00:00"/>
    <s v="First Class"/>
    <s v="Kerala"/>
    <n v="253347"/>
    <s v="PROD0010"/>
    <s v="Bananas"/>
    <s v="Bananas - 868"/>
    <n v="7"/>
    <n v="0"/>
    <n v="1000.76"/>
  </r>
  <r>
    <s v="CUST0040"/>
    <s v="Aditya"/>
    <s v="Pandey"/>
    <d v="1979-10-28T00:00:00"/>
    <n v="1310.73"/>
    <n v="2023"/>
    <s v="Large"/>
    <s v="Tier 2"/>
    <s v="Staples"/>
    <s v="South"/>
    <s v="India"/>
    <s v="Corporate"/>
    <x v="163"/>
    <s v="ORD00186"/>
    <d v="2023-10-24T00:00:00"/>
    <d v="2023-10-26T00:00:00"/>
    <s v="Second Class"/>
    <s v="Kerala"/>
    <n v="758309"/>
    <s v="PROD0009"/>
    <s v="Wheat Flour"/>
    <s v="Wheat Flour - 948"/>
    <n v="4"/>
    <n v="0.15"/>
    <n v="219.95"/>
  </r>
  <r>
    <s v="CUST0040"/>
    <s v="Aditya"/>
    <s v="Pandey"/>
    <d v="1979-10-28T00:00:00"/>
    <n v="518.62"/>
    <n v="2023"/>
    <s v="Medium"/>
    <s v="Tier 2"/>
    <s v="Beverages"/>
    <s v="South"/>
    <s v="India"/>
    <s v="Corporate"/>
    <x v="164"/>
    <s v="ORD00187"/>
    <d v="2023-10-27T00:00:00"/>
    <d v="2023-11-01T00:00:00"/>
    <s v="Second Class"/>
    <s v="Kerala"/>
    <n v="576782"/>
    <s v="PROD0015"/>
    <s v="Soft Drinks"/>
    <s v="Soft Drinks - 562"/>
    <n v="2"/>
    <n v="0.2"/>
    <n v="40.42"/>
  </r>
  <r>
    <s v="CUST0040"/>
    <s v="Aditya"/>
    <s v="Pandey"/>
    <d v="1979-10-28T00:00:00"/>
    <n v="349.66"/>
    <n v="2024"/>
    <s v="Small"/>
    <s v="Tier 2"/>
    <s v="Beverages"/>
    <s v="South"/>
    <s v="India"/>
    <s v="Corporate"/>
    <x v="165"/>
    <s v="ORD00188"/>
    <d v="2024-06-10T00:00:00"/>
    <d v="2024-06-14T00:00:00"/>
    <s v="Standard Class"/>
    <s v="Kerala"/>
    <n v="328411"/>
    <s v="PROD0011"/>
    <s v="Juice"/>
    <s v="Juice - 695"/>
    <n v="1"/>
    <n v="0.2"/>
    <n v="94.34"/>
  </r>
  <r>
    <s v="CUST0040"/>
    <s v="Aditya"/>
    <s v="Pandey"/>
    <d v="1979-10-28T00:00:00"/>
    <n v="874.9"/>
    <n v="2024"/>
    <s v="Large"/>
    <s v="Tier 2"/>
    <s v="Beverages"/>
    <s v="South"/>
    <s v="India"/>
    <s v="Corporate"/>
    <x v="166"/>
    <s v="ORD00189"/>
    <d v="2024-08-09T00:00:00"/>
    <d v="2024-08-14T00:00:00"/>
    <s v="Standard Class"/>
    <s v="Kerala"/>
    <n v="926596"/>
    <s v="PROD0017"/>
    <s v="Coffee"/>
    <s v="Coffee - 606"/>
    <n v="5"/>
    <n v="0"/>
    <n v="132.4"/>
  </r>
  <r>
    <s v="CUST0040"/>
    <s v="Aditya"/>
    <s v="Pandey"/>
    <d v="1979-10-28T00:00:00"/>
    <n v="35.74"/>
    <n v="2024"/>
    <s v="Small"/>
    <s v="Tier 2"/>
    <s v="Bakery"/>
    <s v="South"/>
    <s v="India"/>
    <s v="Corporate"/>
    <x v="167"/>
    <s v="ORD00190"/>
    <d v="2024-11-26T00:00:00"/>
    <d v="2024-11-30T00:00:00"/>
    <s v="First Class"/>
    <s v="Kerala"/>
    <n v="562721"/>
    <s v="PROD0006"/>
    <s v="Cookies"/>
    <s v="Cookies - 880"/>
    <n v="1"/>
    <n v="0.15"/>
    <n v="10.19"/>
  </r>
  <r>
    <s v="CUST0040"/>
    <s v="Aditya"/>
    <s v="Pandey"/>
    <d v="1979-10-28T00:00:00"/>
    <n v="1991.72"/>
    <n v="2025"/>
    <s v="Medium"/>
    <s v="Tier 2"/>
    <s v="Beverages"/>
    <s v="South"/>
    <s v="India"/>
    <s v="Corporate"/>
    <x v="168"/>
    <s v="ORD00191"/>
    <d v="2025-04-14T00:00:00"/>
    <d v="2025-04-17T00:00:00"/>
    <s v="Same Day"/>
    <s v="Kerala"/>
    <n v="786385"/>
    <s v="PROD0019"/>
    <s v="Tea"/>
    <s v="Tea - 538"/>
    <n v="4"/>
    <n v="0"/>
    <n v="626.67999999999995"/>
  </r>
  <r>
    <s v="CUST0040"/>
    <s v="Aditya"/>
    <s v="Pandey"/>
    <d v="1979-10-28T00:00:00"/>
    <n v="1728.7"/>
    <n v="2025"/>
    <s v="Large"/>
    <s v="Tier 2"/>
    <s v="Bakery"/>
    <s v="South"/>
    <s v="India"/>
    <s v="Corporate"/>
    <x v="169"/>
    <s v="ORD00192"/>
    <d v="2025-05-28T00:00:00"/>
    <d v="2025-06-01T00:00:00"/>
    <s v="First Class"/>
    <s v="Kerala"/>
    <n v="550081"/>
    <s v="PROD0018"/>
    <s v="Buns"/>
    <s v="Buns - 184"/>
    <n v="6"/>
    <n v="0.15"/>
    <n v="172.28"/>
  </r>
  <r>
    <s v="CUST0041"/>
    <s v="Imran"/>
    <s v="Bose"/>
    <d v="1974-08-12T00:00:00"/>
    <n v="1023.45"/>
    <n v="2023"/>
    <s v="Medium"/>
    <s v="Tier 2"/>
    <s v="Fruits &amp; Vegetables"/>
    <s v="East"/>
    <s v="India"/>
    <s v="Home Office"/>
    <x v="170"/>
    <s v="ORD00193"/>
    <d v="2023-01-02T00:00:00"/>
    <d v="2023-01-05T00:00:00"/>
    <s v="First Class"/>
    <s v="Jharkhand"/>
    <n v="600905"/>
    <s v="PROD0010"/>
    <s v="Bananas"/>
    <s v="Bananas - 707"/>
    <n v="4"/>
    <n v="0.05"/>
    <n v="54.02"/>
  </r>
  <r>
    <s v="CUST0041"/>
    <s v="Imran"/>
    <s v="Bose"/>
    <d v="1974-08-12T00:00:00"/>
    <n v="741.54"/>
    <n v="2023"/>
    <s v="Small"/>
    <s v="Tier 2"/>
    <s v="Fruits &amp; Vegetables"/>
    <s v="East"/>
    <s v="India"/>
    <s v="Home Office"/>
    <x v="171"/>
    <s v="ORD00194"/>
    <d v="2023-04-08T00:00:00"/>
    <d v="2023-04-11T00:00:00"/>
    <s v="Standard Class"/>
    <s v="Jharkhand"/>
    <n v="911032"/>
    <s v="PROD0010"/>
    <s v="Bananas"/>
    <s v="Bananas - 492"/>
    <n v="2"/>
    <n v="0"/>
    <n v="60.04"/>
  </r>
  <r>
    <s v="CUST0041"/>
    <s v="Imran"/>
    <s v="Bose"/>
    <d v="1974-08-12T00:00:00"/>
    <n v="2352.08"/>
    <n v="2023"/>
    <s v="Large"/>
    <s v="Tier 2"/>
    <s v="Dairy"/>
    <s v="East"/>
    <s v="India"/>
    <s v="Home Office"/>
    <x v="172"/>
    <s v="ORD00195"/>
    <d v="2023-08-07T00:00:00"/>
    <d v="2023-08-11T00:00:00"/>
    <s v="First Class"/>
    <s v="Jharkhand"/>
    <n v="758589"/>
    <s v="PROD0005"/>
    <s v="Yogurt"/>
    <s v="Yogurt - 170"/>
    <n v="9"/>
    <n v="0.1"/>
    <n v="576.27"/>
  </r>
  <r>
    <s v="CUST0041"/>
    <s v="Imran"/>
    <s v="Bose"/>
    <d v="1974-08-12T00:00:00"/>
    <n v="2796.4"/>
    <n v="2024"/>
    <s v="Small"/>
    <s v="Tier 2"/>
    <s v="Staples"/>
    <s v="East"/>
    <s v="India"/>
    <s v="Home Office"/>
    <x v="173"/>
    <s v="ORD00196"/>
    <d v="2024-05-03T00:00:00"/>
    <d v="2024-05-04T00:00:00"/>
    <s v="Standard Class"/>
    <s v="Jharkhand"/>
    <n v="468611"/>
    <s v="PROD0012"/>
    <s v="Rice"/>
    <s v="Rice - 521"/>
    <n v="10"/>
    <n v="0.2"/>
    <n v="322.07"/>
  </r>
  <r>
    <s v="CUST0041"/>
    <s v="Imran"/>
    <s v="Bose"/>
    <d v="1974-08-12T00:00:00"/>
    <n v="354.3"/>
    <n v="2024"/>
    <s v="Large"/>
    <s v="Tier 2"/>
    <s v="Beverages"/>
    <s v="East"/>
    <s v="India"/>
    <s v="Home Office"/>
    <x v="174"/>
    <s v="ORD00197"/>
    <d v="2024-12-21T00:00:00"/>
    <d v="2024-12-26T00:00:00"/>
    <s v="Second Class"/>
    <s v="Jharkhand"/>
    <n v="916808"/>
    <s v="PROD0011"/>
    <s v="Juice"/>
    <s v="Juice - 910"/>
    <n v="3"/>
    <n v="0.15"/>
    <n v="26.67"/>
  </r>
  <r>
    <s v="CUST0042"/>
    <s v="Swathi"/>
    <s v="Bhat"/>
    <d v="1986-03-16T00:00:00"/>
    <n v="1515.84"/>
    <n v="2023"/>
    <s v="Medium"/>
    <s v="Tier 2"/>
    <s v="Snacks"/>
    <s v="West"/>
    <s v="India"/>
    <s v="Corporate"/>
    <x v="175"/>
    <s v="ORD00198"/>
    <d v="2023-01-28T00:00:00"/>
    <d v="2023-01-30T00:00:00"/>
    <s v="Same Day"/>
    <s v="Rajasthan"/>
    <n v="352792"/>
    <s v="PROD0004"/>
    <s v="Biscuits"/>
    <s v="Biscuits - 621"/>
    <n v="4"/>
    <n v="0"/>
    <n v="369.64"/>
  </r>
  <r>
    <s v="CUST0042"/>
    <s v="Swathi"/>
    <s v="Bhat"/>
    <d v="1986-03-16T00:00:00"/>
    <n v="493.7"/>
    <n v="2023"/>
    <s v="Medium"/>
    <s v="Tier 2"/>
    <s v="Beverages"/>
    <s v="West"/>
    <s v="India"/>
    <s v="Corporate"/>
    <x v="176"/>
    <s v="ORD00199"/>
    <d v="2023-07-30T00:00:00"/>
    <d v="2023-08-04T00:00:00"/>
    <s v="First Class"/>
    <s v="Rajasthan"/>
    <n v="899776"/>
    <s v="PROD0019"/>
    <s v="Tea"/>
    <s v="Tea - 640"/>
    <n v="1"/>
    <n v="0"/>
    <n v="44.23"/>
  </r>
  <r>
    <s v="CUST0042"/>
    <s v="Swathi"/>
    <s v="Bhat"/>
    <d v="1986-03-16T00:00:00"/>
    <n v="524.20000000000005"/>
    <n v="2023"/>
    <s v="Large"/>
    <s v="Tier 2"/>
    <s v="Beverages"/>
    <s v="West"/>
    <s v="India"/>
    <s v="Corporate"/>
    <x v="177"/>
    <s v="ORD00200"/>
    <d v="2023-11-05T00:00:00"/>
    <d v="2023-11-06T00:00:00"/>
    <s v="Second Class"/>
    <s v="Rajasthan"/>
    <n v="759104"/>
    <s v="PROD0019"/>
    <s v="Tea"/>
    <s v="Tea - 117"/>
    <n v="10"/>
    <n v="0"/>
    <n v="60.14"/>
  </r>
  <r>
    <s v="CUST0042"/>
    <s v="Swathi"/>
    <s v="Bhat"/>
    <d v="1986-03-16T00:00:00"/>
    <n v="1485.08"/>
    <n v="2024"/>
    <s v="Large"/>
    <s v="Tier 2"/>
    <s v="Staples"/>
    <s v="West"/>
    <s v="India"/>
    <s v="Corporate"/>
    <x v="178"/>
    <s v="ORD00201"/>
    <d v="2024-11-05T00:00:00"/>
    <d v="2024-11-10T00:00:00"/>
    <s v="First Class"/>
    <s v="Rajasthan"/>
    <n v="390946"/>
    <s v="PROD0003"/>
    <s v="Pulses"/>
    <s v="Pulses - 885"/>
    <n v="7"/>
    <n v="0.05"/>
    <n v="110.98"/>
  </r>
  <r>
    <s v="CUST0042"/>
    <s v="Swathi"/>
    <s v="Bhat"/>
    <d v="1986-03-16T00:00:00"/>
    <n v="3326.69"/>
    <n v="2025"/>
    <s v="Large"/>
    <s v="Tier 2"/>
    <s v="Fruits &amp; Vegetables"/>
    <s v="West"/>
    <s v="India"/>
    <s v="Corporate"/>
    <x v="179"/>
    <s v="ORD00202"/>
    <d v="2025-05-17T00:00:00"/>
    <d v="2025-05-20T00:00:00"/>
    <s v="Same Day"/>
    <s v="Rajasthan"/>
    <n v="425236"/>
    <s v="PROD0014"/>
    <s v="Tomatoes"/>
    <s v="Tomatoes - 180"/>
    <n v="9"/>
    <n v="0.2"/>
    <n v="321.39999999999998"/>
  </r>
  <r>
    <s v="CUST0042"/>
    <s v="Swathi"/>
    <s v="Bhat"/>
    <d v="1986-03-16T00:00:00"/>
    <n v="191.16"/>
    <n v="2025"/>
    <s v="Large"/>
    <s v="Tier 2"/>
    <s v="Staples"/>
    <s v="West"/>
    <s v="India"/>
    <s v="Corporate"/>
    <x v="180"/>
    <s v="ORD00203"/>
    <d v="2025-05-18T00:00:00"/>
    <d v="2025-05-19T00:00:00"/>
    <s v="Same Day"/>
    <s v="Rajasthan"/>
    <n v="424314"/>
    <s v="PROD0009"/>
    <s v="Wheat Flour"/>
    <s v="Wheat Flour - 847"/>
    <n v="4"/>
    <n v="0"/>
    <n v="62.58"/>
  </r>
  <r>
    <s v="CUST0042"/>
    <s v="Swathi"/>
    <s v="Bhat"/>
    <d v="1986-03-16T00:00:00"/>
    <n v="197.19"/>
    <n v="2025"/>
    <s v="Medium"/>
    <s v="Tier 2"/>
    <s v="Staples"/>
    <s v="West"/>
    <s v="India"/>
    <s v="Corporate"/>
    <x v="181"/>
    <s v="ORD00204"/>
    <d v="2025-06-15T00:00:00"/>
    <d v="2025-06-16T00:00:00"/>
    <s v="Second Class"/>
    <s v="Rajasthan"/>
    <n v="648410"/>
    <s v="PROD0003"/>
    <s v="Pulses"/>
    <s v="Pulses - 773"/>
    <n v="3"/>
    <n v="0.15"/>
    <n v="17.98"/>
  </r>
  <r>
    <s v="CUST0043"/>
    <s v="Saanvi"/>
    <s v="Nair"/>
    <d v="1969-05-08T00:00:00"/>
    <n v="1859.05"/>
    <n v="2023"/>
    <s v="Medium"/>
    <s v="Tier 2"/>
    <s v="Bakery"/>
    <s v="North"/>
    <s v="India"/>
    <s v="Corporate"/>
    <x v="182"/>
    <s v="ORD00205"/>
    <d v="2023-06-20T00:00:00"/>
    <d v="2023-06-21T00:00:00"/>
    <s v="Second Class"/>
    <s v="Uttarakhand"/>
    <n v="649300"/>
    <s v="PROD0002"/>
    <s v="Bread"/>
    <s v="Bread - 867"/>
    <n v="5"/>
    <n v="0"/>
    <n v="523.19000000000005"/>
  </r>
  <r>
    <s v="CUST0043"/>
    <s v="Saanvi"/>
    <s v="Nair"/>
    <d v="1969-05-08T00:00:00"/>
    <n v="3051.59"/>
    <n v="2023"/>
    <s v="Medium"/>
    <s v="Tier 2"/>
    <s v="Fruits &amp; Vegetables"/>
    <s v="North"/>
    <s v="India"/>
    <s v="Corporate"/>
    <x v="183"/>
    <s v="ORD00206"/>
    <d v="2023-09-23T00:00:00"/>
    <d v="2023-09-26T00:00:00"/>
    <s v="First Class"/>
    <s v="Uttarakhand"/>
    <n v="485548"/>
    <s v="PROD0014"/>
    <s v="Tomatoes"/>
    <s v="Tomatoes - 829"/>
    <n v="10"/>
    <n v="0.05"/>
    <n v="569.29999999999995"/>
  </r>
  <r>
    <s v="CUST0043"/>
    <s v="Saanvi"/>
    <s v="Nair"/>
    <d v="1969-05-08T00:00:00"/>
    <n v="763.73"/>
    <n v="2025"/>
    <s v="Large"/>
    <s v="Tier 2"/>
    <s v="Dairy"/>
    <s v="North"/>
    <s v="India"/>
    <s v="Corporate"/>
    <x v="184"/>
    <s v="ORD00207"/>
    <d v="2025-01-08T00:00:00"/>
    <d v="2025-01-10T00:00:00"/>
    <s v="Same Day"/>
    <s v="Uttarakhand"/>
    <n v="146177"/>
    <s v="PROD0020"/>
    <s v="Paneer"/>
    <s v="Paneer - 891"/>
    <n v="2"/>
    <n v="0.15"/>
    <n v="203.79"/>
  </r>
  <r>
    <s v="CUST0043"/>
    <s v="Saanvi"/>
    <s v="Nair"/>
    <d v="1969-05-08T00:00:00"/>
    <n v="1557.68"/>
    <n v="2025"/>
    <s v="Small"/>
    <s v="Tier 2"/>
    <s v="Fruits &amp; Vegetables"/>
    <s v="North"/>
    <s v="India"/>
    <s v="Corporate"/>
    <x v="185"/>
    <s v="ORD00208"/>
    <d v="2025-04-22T00:00:00"/>
    <d v="2025-04-23T00:00:00"/>
    <s v="Second Class"/>
    <s v="Uttarakhand"/>
    <n v="360322"/>
    <s v="PROD0010"/>
    <s v="Bananas"/>
    <s v="Bananas - 147"/>
    <n v="8"/>
    <n v="0"/>
    <n v="161.51"/>
  </r>
  <r>
    <s v="CUST0044"/>
    <s v="Sandeep"/>
    <s v="Mukherjee"/>
    <d v="1997-09-15T00:00:00"/>
    <n v="3088.8"/>
    <n v="2023"/>
    <s v="Medium"/>
    <s v="Tier 1"/>
    <s v="Fruits &amp; Vegetables"/>
    <s v="South"/>
    <s v="India"/>
    <s v="Consumer"/>
    <x v="186"/>
    <s v="ORD00209"/>
    <d v="2023-10-05T00:00:00"/>
    <d v="2023-10-10T00:00:00"/>
    <s v="Same Day"/>
    <s v="Karnataka"/>
    <n v="587686"/>
    <s v="PROD0014"/>
    <s v="Tomatoes"/>
    <s v="Tomatoes - 222"/>
    <n v="9"/>
    <n v="0"/>
    <n v="320.63"/>
  </r>
  <r>
    <s v="CUST0044"/>
    <s v="Sandeep"/>
    <s v="Mukherjee"/>
    <d v="1997-09-15T00:00:00"/>
    <n v="570.96"/>
    <n v="2023"/>
    <s v="Large"/>
    <s v="Tier 1"/>
    <s v="Bakery"/>
    <s v="South"/>
    <s v="India"/>
    <s v="Consumer"/>
    <x v="187"/>
    <s v="ORD00210"/>
    <d v="2023-11-24T00:00:00"/>
    <d v="2023-11-27T00:00:00"/>
    <s v="First Class"/>
    <s v="Karnataka"/>
    <n v="586462"/>
    <s v="PROD0018"/>
    <s v="Buns"/>
    <s v="Buns - 435"/>
    <n v="2"/>
    <n v="0"/>
    <n v="91.74"/>
  </r>
  <r>
    <s v="CUST0044"/>
    <s v="Sandeep"/>
    <s v="Mukherjee"/>
    <d v="1997-09-15T00:00:00"/>
    <n v="1337.69"/>
    <n v="2025"/>
    <s v="Small"/>
    <s v="Tier 1"/>
    <s v="Bakery"/>
    <s v="South"/>
    <s v="India"/>
    <s v="Consumer"/>
    <x v="188"/>
    <s v="ORD00211"/>
    <d v="2025-01-07T00:00:00"/>
    <d v="2025-01-09T00:00:00"/>
    <s v="Standard Class"/>
    <s v="Karnataka"/>
    <n v="125071"/>
    <s v="PROD0006"/>
    <s v="Cookies"/>
    <s v="Cookies - 605"/>
    <n v="4"/>
    <n v="0.1"/>
    <n v="372.07"/>
  </r>
  <r>
    <s v="CUST0045"/>
    <s v="Vijay"/>
    <s v="Venkatesh"/>
    <d v="1980-03-22T00:00:00"/>
    <n v="365.08"/>
    <n v="2023"/>
    <s v="Small"/>
    <s v="Tier 2"/>
    <s v="Staples"/>
    <s v="South"/>
    <s v="India"/>
    <s v="Consumer"/>
    <x v="189"/>
    <s v="ORD00212"/>
    <d v="2023-12-21T00:00:00"/>
    <d v="2023-12-24T00:00:00"/>
    <s v="First Class"/>
    <s v="Andhra Pradesh"/>
    <n v="540208"/>
    <s v="PROD0012"/>
    <s v="Rice"/>
    <s v="Rice - 443"/>
    <n v="1"/>
    <n v="0.05"/>
    <n v="111.24"/>
  </r>
  <r>
    <s v="CUST0045"/>
    <s v="Vijay"/>
    <s v="Venkatesh"/>
    <d v="1980-03-22T00:00:00"/>
    <n v="323.25"/>
    <n v="2024"/>
    <s v="Large"/>
    <s v="Tier 2"/>
    <s v="Beverages"/>
    <s v="South"/>
    <s v="India"/>
    <s v="Consumer"/>
    <x v="190"/>
    <s v="ORD00213"/>
    <d v="2024-10-13T00:00:00"/>
    <d v="2024-10-18T00:00:00"/>
    <s v="Second Class"/>
    <s v="Andhra Pradesh"/>
    <n v="580728"/>
    <s v="PROD0019"/>
    <s v="Tea"/>
    <s v="Tea - 245"/>
    <n v="5"/>
    <n v="0"/>
    <n v="103.18"/>
  </r>
  <r>
    <s v="CUST0046"/>
    <s v="Saanvi"/>
    <s v="Chowdhury"/>
    <d v="1985-02-15T00:00:00"/>
    <n v="400.95"/>
    <n v="2023"/>
    <s v="Medium"/>
    <s v="Tier 2"/>
    <s v="Fruits &amp; Vegetables"/>
    <s v="South"/>
    <s v="India"/>
    <s v="Consumer"/>
    <x v="137"/>
    <s v="ORD00214"/>
    <d v="2023-03-28T00:00:00"/>
    <d v="2023-04-01T00:00:00"/>
    <s v="Standard Class"/>
    <s v="Telangana"/>
    <n v="385166"/>
    <s v="PROD0016"/>
    <s v="Apples"/>
    <s v="Apples - 545"/>
    <n v="3"/>
    <n v="0"/>
    <n v="122.4"/>
  </r>
  <r>
    <s v="CUST0046"/>
    <s v="Saanvi"/>
    <s v="Chowdhury"/>
    <d v="1985-02-15T00:00:00"/>
    <n v="1064.8"/>
    <n v="2023"/>
    <s v="Medium"/>
    <s v="Tier 2"/>
    <s v="Dairy"/>
    <s v="South"/>
    <s v="India"/>
    <s v="Consumer"/>
    <x v="191"/>
    <s v="ORD00215"/>
    <d v="2023-04-08T00:00:00"/>
    <d v="2023-04-09T00:00:00"/>
    <s v="Standard Class"/>
    <s v="Telangana"/>
    <n v="429287"/>
    <s v="PROD0021"/>
    <s v="Milk"/>
    <s v="Milk - 307"/>
    <n v="3"/>
    <n v="0.1"/>
    <n v="88.05"/>
  </r>
  <r>
    <s v="CUST0046"/>
    <s v="Saanvi"/>
    <s v="Chowdhury"/>
    <d v="1985-02-15T00:00:00"/>
    <n v="2898.12"/>
    <n v="2023"/>
    <s v="Small"/>
    <s v="Tier 2"/>
    <s v="Beverages"/>
    <s v="South"/>
    <s v="India"/>
    <s v="Consumer"/>
    <x v="33"/>
    <s v="ORD00216"/>
    <d v="2023-05-17T00:00:00"/>
    <d v="2023-05-21T00:00:00"/>
    <s v="Same Day"/>
    <s v="Telangana"/>
    <n v="265271"/>
    <s v="PROD0019"/>
    <s v="Tea"/>
    <s v="Tea - 648"/>
    <n v="6"/>
    <n v="0"/>
    <n v="537.82000000000005"/>
  </r>
  <r>
    <s v="CUST0046"/>
    <s v="Saanvi"/>
    <s v="Chowdhury"/>
    <d v="1985-02-15T00:00:00"/>
    <n v="314.88"/>
    <n v="2024"/>
    <s v="Large"/>
    <s v="Tier 2"/>
    <s v="Staples"/>
    <s v="South"/>
    <s v="India"/>
    <s v="Consumer"/>
    <x v="192"/>
    <s v="ORD00217"/>
    <d v="2024-02-08T00:00:00"/>
    <d v="2024-02-10T00:00:00"/>
    <s v="First Class"/>
    <s v="Telangana"/>
    <n v="473023"/>
    <s v="PROD0009"/>
    <s v="Wheat Flour"/>
    <s v="Wheat Flour - 946"/>
    <n v="10"/>
    <n v="0.2"/>
    <n v="96.66"/>
  </r>
  <r>
    <s v="CUST0046"/>
    <s v="Saanvi"/>
    <s v="Chowdhury"/>
    <d v="1985-02-15T00:00:00"/>
    <n v="724.4"/>
    <n v="2024"/>
    <s v="Large"/>
    <s v="Tier 2"/>
    <s v="Beverages"/>
    <s v="South"/>
    <s v="India"/>
    <s v="Consumer"/>
    <x v="193"/>
    <s v="ORD00218"/>
    <d v="2024-06-01T00:00:00"/>
    <d v="2024-06-05T00:00:00"/>
    <s v="First Class"/>
    <s v="Telangana"/>
    <n v="199326"/>
    <s v="PROD0019"/>
    <s v="Tea"/>
    <s v="Tea - 793"/>
    <n v="5"/>
    <n v="0"/>
    <n v="42.97"/>
  </r>
  <r>
    <s v="CUST0046"/>
    <s v="Saanvi"/>
    <s v="Chowdhury"/>
    <d v="1985-02-15T00:00:00"/>
    <n v="234.9"/>
    <n v="2024"/>
    <s v="Small"/>
    <s v="Tier 2"/>
    <s v="Beverages"/>
    <s v="South"/>
    <s v="India"/>
    <s v="Consumer"/>
    <x v="194"/>
    <s v="ORD00219"/>
    <d v="2024-08-17T00:00:00"/>
    <d v="2024-08-19T00:00:00"/>
    <s v="Standard Class"/>
    <s v="Telangana"/>
    <n v="490321"/>
    <s v="PROD0019"/>
    <s v="Tea"/>
    <s v="Tea - 923"/>
    <n v="3"/>
    <n v="0"/>
    <n v="70.260000000000005"/>
  </r>
  <r>
    <s v="CUST0046"/>
    <s v="Saanvi"/>
    <s v="Chowdhury"/>
    <d v="1985-02-15T00:00:00"/>
    <n v="599.04"/>
    <n v="2024"/>
    <s v="Small"/>
    <s v="Tier 2"/>
    <s v="Staples"/>
    <s v="South"/>
    <s v="India"/>
    <s v="Consumer"/>
    <x v="195"/>
    <s v="ORD00220"/>
    <d v="2024-10-14T00:00:00"/>
    <d v="2024-10-15T00:00:00"/>
    <s v="First Class"/>
    <s v="Telangana"/>
    <n v="777366"/>
    <s v="PROD0003"/>
    <s v="Pulses"/>
    <s v="Pulses - 760"/>
    <n v="2"/>
    <n v="0"/>
    <n v="194.82"/>
  </r>
  <r>
    <s v="CUST0046"/>
    <s v="Saanvi"/>
    <s v="Chowdhury"/>
    <d v="1985-02-15T00:00:00"/>
    <n v="449.22"/>
    <n v="2025"/>
    <s v="Large"/>
    <s v="Tier 2"/>
    <s v="Beverages"/>
    <s v="South"/>
    <s v="India"/>
    <s v="Consumer"/>
    <x v="196"/>
    <s v="ORD00221"/>
    <d v="2025-04-19T00:00:00"/>
    <d v="2025-04-24T00:00:00"/>
    <s v="Standard Class"/>
    <s v="Telangana"/>
    <n v="620226"/>
    <s v="PROD0017"/>
    <s v="Coffee"/>
    <s v="Coffee - 194"/>
    <n v="6"/>
    <n v="0.05"/>
    <n v="29.29"/>
  </r>
  <r>
    <s v="CUST0047"/>
    <s v="Anika"/>
    <s v="Mukherjee"/>
    <d v="1976-03-16T00:00:00"/>
    <n v="1823.96"/>
    <n v="2024"/>
    <s v="Large"/>
    <s v="Tier 2"/>
    <s v="Beverages"/>
    <s v="South"/>
    <s v="India"/>
    <s v="Home Office"/>
    <x v="143"/>
    <s v="ORD00222"/>
    <d v="2024-11-30T00:00:00"/>
    <d v="2024-12-02T00:00:00"/>
    <s v="First Class"/>
    <s v="Kerala"/>
    <n v="778720"/>
    <s v="PROD0017"/>
    <s v="Coffee"/>
    <s v="Coffee - 462"/>
    <n v="4"/>
    <n v="0"/>
    <n v="244.33"/>
  </r>
  <r>
    <s v="CUST0048"/>
    <s v="Reyansh"/>
    <s v="Verma"/>
    <d v="1994-04-03T00:00:00"/>
    <n v="968.29"/>
    <n v="2024"/>
    <s v="Large"/>
    <s v="Tier 2"/>
    <s v="Beverages"/>
    <s v="East"/>
    <s v="India"/>
    <s v="Consumer"/>
    <x v="197"/>
    <s v="ORD00223"/>
    <d v="2024-02-26T00:00:00"/>
    <d v="2024-03-02T00:00:00"/>
    <s v="Same Day"/>
    <s v="Jharkhand"/>
    <n v="501078"/>
    <s v="PROD0019"/>
    <s v="Tea"/>
    <s v="Tea - 189"/>
    <n v="5"/>
    <n v="0.05"/>
    <n v="106.35"/>
  </r>
  <r>
    <s v="CUST0048"/>
    <s v="Reyansh"/>
    <s v="Verma"/>
    <d v="1994-04-03T00:00:00"/>
    <n v="3555.81"/>
    <n v="2024"/>
    <s v="Medium"/>
    <s v="Tier 2"/>
    <s v="Staples"/>
    <s v="East"/>
    <s v="India"/>
    <s v="Consumer"/>
    <x v="198"/>
    <s v="ORD00224"/>
    <d v="2024-07-17T00:00:00"/>
    <d v="2024-07-22T00:00:00"/>
    <s v="Second Class"/>
    <s v="Jharkhand"/>
    <n v="288550"/>
    <s v="PROD0009"/>
    <s v="Wheat Flour"/>
    <s v="Wheat Flour - 591"/>
    <n v="9"/>
    <n v="0"/>
    <n v="1151.3800000000001"/>
  </r>
  <r>
    <s v="CUST0048"/>
    <s v="Reyansh"/>
    <s v="Verma"/>
    <d v="1994-04-03T00:00:00"/>
    <n v="109.02"/>
    <n v="2025"/>
    <s v="Large"/>
    <s v="Tier 2"/>
    <s v="Fruits &amp; Vegetables"/>
    <s v="East"/>
    <s v="India"/>
    <s v="Consumer"/>
    <x v="199"/>
    <s v="ORD00225"/>
    <d v="2025-06-22T00:00:00"/>
    <d v="2025-06-23T00:00:00"/>
    <s v="Second Class"/>
    <s v="Jharkhand"/>
    <n v="904092"/>
    <s v="PROD0014"/>
    <s v="Tomatoes"/>
    <s v="Tomatoes - 711"/>
    <n v="4"/>
    <n v="0.2"/>
    <n v="30.91"/>
  </r>
  <r>
    <s v="CUST0049"/>
    <s v="Ganesh"/>
    <s v="Pandey"/>
    <d v="1975-08-09T00:00:00"/>
    <n v="3150.42"/>
    <n v="2023"/>
    <s v="Medium"/>
    <s v="Tier 1"/>
    <s v="Staples"/>
    <s v="West"/>
    <s v="India"/>
    <s v="Corporate"/>
    <x v="200"/>
    <s v="ORD00226"/>
    <d v="2023-04-13T00:00:00"/>
    <d v="2023-04-15T00:00:00"/>
    <s v="Second Class"/>
    <s v="Maharashtra"/>
    <n v="979988"/>
    <s v="PROD0012"/>
    <s v="Rice"/>
    <s v="Rice - 372"/>
    <n v="9"/>
    <n v="0.15"/>
    <n v="210.36"/>
  </r>
  <r>
    <s v="CUST0049"/>
    <s v="Ganesh"/>
    <s v="Pandey"/>
    <d v="1975-08-09T00:00:00"/>
    <n v="1467.44"/>
    <n v="2023"/>
    <s v="Large"/>
    <s v="Tier 1"/>
    <s v="Dairy"/>
    <s v="West"/>
    <s v="India"/>
    <s v="Corporate"/>
    <x v="201"/>
    <s v="ORD00227"/>
    <d v="2023-06-13T00:00:00"/>
    <d v="2023-06-18T00:00:00"/>
    <s v="Second Class"/>
    <s v="Maharashtra"/>
    <n v="695225"/>
    <s v="PROD0005"/>
    <s v="Yogurt"/>
    <s v="Yogurt - 342"/>
    <n v="10"/>
    <n v="0.15"/>
    <n v="380.49"/>
  </r>
  <r>
    <s v="CUST0049"/>
    <s v="Ganesh"/>
    <s v="Pandey"/>
    <d v="1975-08-09T00:00:00"/>
    <n v="1349.15"/>
    <n v="2023"/>
    <s v="Medium"/>
    <s v="Tier 1"/>
    <s v="Snacks"/>
    <s v="West"/>
    <s v="India"/>
    <s v="Corporate"/>
    <x v="202"/>
    <s v="ORD00228"/>
    <d v="2023-08-27T00:00:00"/>
    <d v="2023-08-31T00:00:00"/>
    <s v="First Class"/>
    <s v="Maharashtra"/>
    <n v="614259"/>
    <s v="PROD0007"/>
    <s v="Chips"/>
    <s v="Chips - 676"/>
    <n v="4"/>
    <n v="0.2"/>
    <n v="424.29"/>
  </r>
  <r>
    <s v="CUST0049"/>
    <s v="Ganesh"/>
    <s v="Pandey"/>
    <d v="1975-08-09T00:00:00"/>
    <n v="1235.2"/>
    <n v="2023"/>
    <s v="Large"/>
    <s v="Tier 1"/>
    <s v="Fruits &amp; Vegetables"/>
    <s v="West"/>
    <s v="India"/>
    <s v="Corporate"/>
    <x v="203"/>
    <s v="ORD00229"/>
    <d v="2023-09-11T00:00:00"/>
    <d v="2023-09-12T00:00:00"/>
    <s v="First Class"/>
    <s v="Maharashtra"/>
    <n v="945619"/>
    <s v="PROD0016"/>
    <s v="Apples"/>
    <s v="Apples - 157"/>
    <n v="4"/>
    <n v="0"/>
    <n v="256.83999999999997"/>
  </r>
  <r>
    <s v="CUST0050"/>
    <s v="Priya"/>
    <s v="Gupta"/>
    <d v="1982-12-28T00:00:00"/>
    <n v="904.71"/>
    <n v="2023"/>
    <s v="Small"/>
    <s v="Tier 1"/>
    <s v="Bakery"/>
    <s v="South"/>
    <s v="India"/>
    <s v="Corporate"/>
    <x v="133"/>
    <s v="ORD00230"/>
    <d v="2023-07-01T00:00:00"/>
    <d v="2023-07-06T00:00:00"/>
    <s v="Second Class"/>
    <s v="Karnataka"/>
    <n v="838761"/>
    <s v="PROD0002"/>
    <s v="Bread"/>
    <s v="Bread - 122"/>
    <n v="3"/>
    <n v="0"/>
    <n v="255.41"/>
  </r>
  <r>
    <s v="CUST0050"/>
    <s v="Priya"/>
    <s v="Gupta"/>
    <d v="1982-12-28T00:00:00"/>
    <n v="363.1"/>
    <n v="2025"/>
    <s v="Medium"/>
    <s v="Tier 1"/>
    <s v="Staples"/>
    <s v="South"/>
    <s v="India"/>
    <s v="Corporate"/>
    <x v="68"/>
    <s v="ORD00231"/>
    <d v="2025-01-04T00:00:00"/>
    <d v="2025-01-06T00:00:00"/>
    <s v="Standard Class"/>
    <s v="Karnataka"/>
    <n v="780714"/>
    <s v="PROD0009"/>
    <s v="Wheat Flour"/>
    <s v="Wheat Flour - 700"/>
    <n v="2"/>
    <n v="0"/>
    <n v="33.020000000000003"/>
  </r>
  <r>
    <s v="CUST0051"/>
    <s v="Aarav"/>
    <s v="Das"/>
    <d v="1976-11-24T00:00:00"/>
    <n v="3903.93"/>
    <n v="2024"/>
    <s v="Small"/>
    <s v="Tier 2"/>
    <s v="Snacks"/>
    <s v="East"/>
    <s v="India"/>
    <s v="Corporate"/>
    <x v="204"/>
    <s v="ORD00232"/>
    <d v="2024-07-29T00:00:00"/>
    <d v="2024-08-01T00:00:00"/>
    <s v="Same Day"/>
    <s v="West Bengal"/>
    <n v="836109"/>
    <s v="PROD0001"/>
    <s v="Namkeen"/>
    <s v="Namkeen - 328"/>
    <n v="10"/>
    <n v="0.05"/>
    <n v="554.54"/>
  </r>
  <r>
    <s v="CUST0051"/>
    <s v="Aarav"/>
    <s v="Das"/>
    <d v="1976-11-24T00:00:00"/>
    <n v="319.86"/>
    <n v="2024"/>
    <s v="Large"/>
    <s v="Tier 2"/>
    <s v="Snacks"/>
    <s v="East"/>
    <s v="India"/>
    <s v="Corporate"/>
    <x v="205"/>
    <s v="ORD00233"/>
    <d v="2024-12-11T00:00:00"/>
    <d v="2024-12-16T00:00:00"/>
    <s v="Same Day"/>
    <s v="West Bengal"/>
    <n v="620287"/>
    <s v="PROD0001"/>
    <s v="Namkeen"/>
    <s v="Namkeen - 971"/>
    <n v="10"/>
    <n v="0.1"/>
    <n v="46.53"/>
  </r>
  <r>
    <s v="CUST0051"/>
    <s v="Aarav"/>
    <s v="Das"/>
    <d v="1976-11-24T00:00:00"/>
    <n v="268.48"/>
    <n v="2024"/>
    <s v="Medium"/>
    <s v="Tier 2"/>
    <s v="Dairy"/>
    <s v="East"/>
    <s v="India"/>
    <s v="Corporate"/>
    <x v="206"/>
    <s v="ORD00234"/>
    <d v="2024-12-25T00:00:00"/>
    <d v="2024-12-26T00:00:00"/>
    <s v="Same Day"/>
    <s v="West Bengal"/>
    <n v="378095"/>
    <s v="PROD0020"/>
    <s v="Paneer"/>
    <s v="Paneer - 863"/>
    <n v="2"/>
    <n v="0"/>
    <n v="26.95"/>
  </r>
  <r>
    <s v="CUST0052"/>
    <s v="Ayesha"/>
    <s v="Venkatesh"/>
    <d v="2000-02-21T00:00:00"/>
    <n v="731.6"/>
    <n v="2023"/>
    <s v="Medium"/>
    <s v="Tier 2"/>
    <s v="Bakery"/>
    <s v="East"/>
    <s v="India"/>
    <s v="Consumer"/>
    <x v="207"/>
    <s v="ORD00235"/>
    <d v="2023-03-11T00:00:00"/>
    <d v="2023-03-15T00:00:00"/>
    <s v="Standard Class"/>
    <s v="Jharkhand"/>
    <n v="497108"/>
    <s v="PROD0018"/>
    <s v="Buns"/>
    <s v="Buns - 905"/>
    <n v="2"/>
    <n v="0"/>
    <n v="121.29"/>
  </r>
  <r>
    <s v="CUST0052"/>
    <s v="Ayesha"/>
    <s v="Venkatesh"/>
    <d v="2000-02-21T00:00:00"/>
    <n v="668.53"/>
    <n v="2024"/>
    <s v="Medium"/>
    <s v="Tier 2"/>
    <s v="Bakery"/>
    <s v="East"/>
    <s v="India"/>
    <s v="Consumer"/>
    <x v="208"/>
    <s v="ORD00236"/>
    <d v="2024-12-10T00:00:00"/>
    <d v="2024-12-12T00:00:00"/>
    <s v="Same Day"/>
    <s v="Jharkhand"/>
    <n v="938016"/>
    <s v="PROD0006"/>
    <s v="Cookies"/>
    <s v="Cookies - 484"/>
    <n v="2"/>
    <n v="0.2"/>
    <n v="206.72"/>
  </r>
  <r>
    <s v="CUST0053"/>
    <s v="Saanvi"/>
    <s v="Patel"/>
    <d v="1974-10-07T00:00:00"/>
    <n v="1002.65"/>
    <n v="2023"/>
    <s v="Large"/>
    <s v="Tier 1"/>
    <s v="Bakery"/>
    <s v="South"/>
    <s v="India"/>
    <s v="Home Office"/>
    <x v="209"/>
    <s v="ORD00237"/>
    <d v="2023-01-21T00:00:00"/>
    <d v="2023-01-22T00:00:00"/>
    <s v="Standard Class"/>
    <s v="Karnataka"/>
    <n v="838726"/>
    <s v="PROD0002"/>
    <s v="Bread"/>
    <s v="Bread - 484"/>
    <n v="3"/>
    <n v="0.1"/>
    <n v="333.43"/>
  </r>
  <r>
    <s v="CUST0053"/>
    <s v="Saanvi"/>
    <s v="Patel"/>
    <d v="1974-10-07T00:00:00"/>
    <n v="887.8"/>
    <n v="2023"/>
    <s v="Small"/>
    <s v="Tier 1"/>
    <s v="Fruits &amp; Vegetables"/>
    <s v="South"/>
    <s v="India"/>
    <s v="Home Office"/>
    <x v="210"/>
    <s v="ORD00238"/>
    <d v="2023-03-17T00:00:00"/>
    <d v="2023-03-18T00:00:00"/>
    <s v="First Class"/>
    <s v="Karnataka"/>
    <n v="529161"/>
    <s v="PROD0008"/>
    <s v="Onions"/>
    <s v="Onions - 769"/>
    <n v="3"/>
    <n v="0.05"/>
    <n v="86.23"/>
  </r>
  <r>
    <s v="CUST0053"/>
    <s v="Saanvi"/>
    <s v="Patel"/>
    <d v="1974-10-07T00:00:00"/>
    <n v="1325.97"/>
    <n v="2023"/>
    <s v="Medium"/>
    <s v="Tier 1"/>
    <s v="Staples"/>
    <s v="South"/>
    <s v="India"/>
    <s v="Home Office"/>
    <x v="211"/>
    <s v="ORD00239"/>
    <d v="2023-04-18T00:00:00"/>
    <d v="2023-04-19T00:00:00"/>
    <s v="Standard Class"/>
    <s v="Karnataka"/>
    <n v="261050"/>
    <s v="PROD0003"/>
    <s v="Pulses"/>
    <s v="Pulses - 839"/>
    <n v="9"/>
    <n v="0"/>
    <n v="184.6"/>
  </r>
  <r>
    <s v="CUST0053"/>
    <s v="Saanvi"/>
    <s v="Patel"/>
    <d v="1974-10-07T00:00:00"/>
    <n v="347.54"/>
    <n v="2023"/>
    <s v="Small"/>
    <s v="Tier 1"/>
    <s v="Fruits &amp; Vegetables"/>
    <s v="South"/>
    <s v="India"/>
    <s v="Home Office"/>
    <x v="212"/>
    <s v="ORD00240"/>
    <d v="2023-09-25T00:00:00"/>
    <d v="2023-09-30T00:00:00"/>
    <s v="Same Day"/>
    <s v="Karnataka"/>
    <n v="126985"/>
    <s v="PROD0014"/>
    <s v="Tomatoes"/>
    <s v="Tomatoes - 103"/>
    <n v="7"/>
    <n v="0.2"/>
    <n v="86.4"/>
  </r>
  <r>
    <s v="CUST0053"/>
    <s v="Saanvi"/>
    <s v="Patel"/>
    <d v="1974-10-07T00:00:00"/>
    <n v="2322.6999999999998"/>
    <n v="2023"/>
    <s v="Medium"/>
    <s v="Tier 1"/>
    <s v="Dairy"/>
    <s v="South"/>
    <s v="India"/>
    <s v="Home Office"/>
    <x v="164"/>
    <s v="ORD00241"/>
    <d v="2023-10-29T00:00:00"/>
    <d v="2023-11-01T00:00:00"/>
    <s v="Standard Class"/>
    <s v="Karnataka"/>
    <n v="793150"/>
    <s v="PROD0005"/>
    <s v="Yogurt"/>
    <s v="Yogurt - 753"/>
    <n v="5"/>
    <n v="0.05"/>
    <n v="704.08"/>
  </r>
  <r>
    <s v="CUST0053"/>
    <s v="Saanvi"/>
    <s v="Patel"/>
    <d v="1974-10-07T00:00:00"/>
    <n v="1854.09"/>
    <n v="2023"/>
    <s v="Medium"/>
    <s v="Tier 1"/>
    <s v="Bakery"/>
    <s v="South"/>
    <s v="India"/>
    <s v="Home Office"/>
    <x v="213"/>
    <s v="ORD00242"/>
    <d v="2023-11-23T00:00:00"/>
    <d v="2023-11-26T00:00:00"/>
    <s v="Same Day"/>
    <s v="Karnataka"/>
    <n v="376085"/>
    <s v="PROD0002"/>
    <s v="Bread"/>
    <s v="Bread - 757"/>
    <n v="9"/>
    <n v="0"/>
    <n v="585.24"/>
  </r>
  <r>
    <s v="CUST0054"/>
    <s v="Rahul"/>
    <s v="Verma"/>
    <d v="1967-04-02T00:00:00"/>
    <n v="971.73"/>
    <n v="2023"/>
    <s v="Large"/>
    <s v="Tier 2"/>
    <s v="Bakery"/>
    <s v="Central"/>
    <s v="India"/>
    <s v="Home Office"/>
    <x v="214"/>
    <s v="ORD00243"/>
    <d v="2023-08-20T00:00:00"/>
    <d v="2023-08-23T00:00:00"/>
    <s v="First Class"/>
    <s v="Madhya Pradesh"/>
    <n v="680493"/>
    <s v="PROD0006"/>
    <s v="Cookies"/>
    <s v="Cookies - 163"/>
    <n v="3"/>
    <n v="0.15"/>
    <n v="76.78"/>
  </r>
  <r>
    <s v="CUST0054"/>
    <s v="Rahul"/>
    <s v="Verma"/>
    <d v="1967-04-02T00:00:00"/>
    <n v="1789.61"/>
    <n v="2023"/>
    <s v="Small"/>
    <s v="Tier 2"/>
    <s v="Fruits &amp; Vegetables"/>
    <s v="Central"/>
    <s v="India"/>
    <s v="Home Office"/>
    <x v="215"/>
    <s v="ORD00244"/>
    <d v="2023-09-27T00:00:00"/>
    <d v="2023-10-01T00:00:00"/>
    <s v="Standard Class"/>
    <s v="Madhya Pradesh"/>
    <n v="413369"/>
    <s v="PROD0008"/>
    <s v="Onions"/>
    <s v="Onions - 938"/>
    <n v="9"/>
    <n v="0.1"/>
    <n v="458.36"/>
  </r>
  <r>
    <s v="CUST0054"/>
    <s v="Rahul"/>
    <s v="Verma"/>
    <d v="1967-04-02T00:00:00"/>
    <n v="234.91"/>
    <n v="2025"/>
    <s v="Small"/>
    <s v="Tier 2"/>
    <s v="Fruits &amp; Vegetables"/>
    <s v="Central"/>
    <s v="India"/>
    <s v="Home Office"/>
    <x v="110"/>
    <s v="ORD00245"/>
    <d v="2025-05-07T00:00:00"/>
    <d v="2025-05-12T00:00:00"/>
    <s v="Standard Class"/>
    <s v="Madhya Pradesh"/>
    <n v="281276"/>
    <s v="PROD0008"/>
    <s v="Onions"/>
    <s v="Onions - 974"/>
    <n v="1"/>
    <n v="0.1"/>
    <n v="68.16"/>
  </r>
  <r>
    <s v="CUST0055"/>
    <s v="Sneha"/>
    <s v="Rao"/>
    <d v="1967-07-21T00:00:00"/>
    <n v="1261.1099999999999"/>
    <n v="2023"/>
    <s v="Medium"/>
    <s v="Tier 2"/>
    <s v="Fruits &amp; Vegetables"/>
    <s v="East"/>
    <s v="India"/>
    <s v="Consumer"/>
    <x v="216"/>
    <s v="ORD00246"/>
    <d v="2023-02-13T00:00:00"/>
    <d v="2023-02-14T00:00:00"/>
    <s v="Standard Class"/>
    <s v="Bihar"/>
    <n v="678870"/>
    <s v="PROD0008"/>
    <s v="Onions"/>
    <s v="Onions - 306"/>
    <n v="3"/>
    <n v="0"/>
    <n v="184.03"/>
  </r>
  <r>
    <s v="CUST0055"/>
    <s v="Sneha"/>
    <s v="Rao"/>
    <d v="1967-07-21T00:00:00"/>
    <n v="3681.92"/>
    <n v="2023"/>
    <s v="Large"/>
    <s v="Tier 2"/>
    <s v="Bakery"/>
    <s v="East"/>
    <s v="India"/>
    <s v="Consumer"/>
    <x v="217"/>
    <s v="ORD00247"/>
    <d v="2023-05-10T00:00:00"/>
    <d v="2023-05-15T00:00:00"/>
    <s v="Standard Class"/>
    <s v="Bihar"/>
    <n v="217984"/>
    <s v="PROD0018"/>
    <s v="Buns"/>
    <s v="Buns - 632"/>
    <n v="8"/>
    <n v="0"/>
    <n v="1052.9000000000001"/>
  </r>
  <r>
    <s v="CUST0055"/>
    <s v="Sneha"/>
    <s v="Rao"/>
    <d v="1967-07-21T00:00:00"/>
    <n v="2417.6799999999998"/>
    <n v="2023"/>
    <s v="Large"/>
    <s v="Tier 2"/>
    <s v="Beverages"/>
    <s v="East"/>
    <s v="India"/>
    <s v="Consumer"/>
    <x v="182"/>
    <s v="ORD00248"/>
    <d v="2023-06-21T00:00:00"/>
    <d v="2023-06-22T00:00:00"/>
    <s v="Same Day"/>
    <s v="Bihar"/>
    <n v="923914"/>
    <s v="PROD0017"/>
    <s v="Coffee"/>
    <s v="Coffee - 251"/>
    <n v="10"/>
    <n v="0.2"/>
    <n v="820.68"/>
  </r>
  <r>
    <s v="CUST0055"/>
    <s v="Sneha"/>
    <s v="Rao"/>
    <d v="1967-07-21T00:00:00"/>
    <n v="873.4"/>
    <n v="2023"/>
    <s v="Small"/>
    <s v="Tier 2"/>
    <s v="Bakery"/>
    <s v="East"/>
    <s v="India"/>
    <s v="Consumer"/>
    <x v="218"/>
    <s v="ORD00249"/>
    <d v="2023-07-17T00:00:00"/>
    <d v="2023-07-22T00:00:00"/>
    <s v="First Class"/>
    <s v="Bihar"/>
    <n v="388792"/>
    <s v="PROD0006"/>
    <s v="Cookies"/>
    <s v="Cookies - 452"/>
    <n v="7"/>
    <n v="0.15"/>
    <n v="170.9"/>
  </r>
  <r>
    <s v="CUST0055"/>
    <s v="Sneha"/>
    <s v="Rao"/>
    <d v="1967-07-21T00:00:00"/>
    <n v="3294.51"/>
    <n v="2023"/>
    <s v="Small"/>
    <s v="Tier 2"/>
    <s v="Beverages"/>
    <s v="East"/>
    <s v="India"/>
    <s v="Consumer"/>
    <x v="219"/>
    <s v="ORD00250"/>
    <d v="2023-08-05T00:00:00"/>
    <d v="2023-08-08T00:00:00"/>
    <s v="Standard Class"/>
    <s v="Bihar"/>
    <n v="381631"/>
    <s v="PROD0017"/>
    <s v="Coffee"/>
    <s v="Coffee - 733"/>
    <n v="10"/>
    <n v="0.05"/>
    <n v="203.06"/>
  </r>
  <r>
    <s v="CUST0055"/>
    <s v="Sneha"/>
    <s v="Rao"/>
    <d v="1967-07-21T00:00:00"/>
    <n v="677.04"/>
    <n v="2024"/>
    <s v="Small"/>
    <s v="Tier 2"/>
    <s v="Bakery"/>
    <s v="East"/>
    <s v="India"/>
    <s v="Consumer"/>
    <x v="220"/>
    <s v="ORD00251"/>
    <d v="2024-03-09T00:00:00"/>
    <d v="2024-03-10T00:00:00"/>
    <s v="Second Class"/>
    <s v="Bihar"/>
    <n v="879850"/>
    <s v="PROD0002"/>
    <s v="Bread"/>
    <s v="Bread - 445"/>
    <n v="5"/>
    <n v="0.2"/>
    <n v="133.71"/>
  </r>
  <r>
    <s v="CUST0055"/>
    <s v="Sneha"/>
    <s v="Rao"/>
    <d v="1967-07-21T00:00:00"/>
    <n v="2172.73"/>
    <n v="2025"/>
    <s v="Large"/>
    <s v="Tier 2"/>
    <s v="Beverages"/>
    <s v="East"/>
    <s v="India"/>
    <s v="Consumer"/>
    <x v="221"/>
    <s v="ORD00252"/>
    <d v="2025-04-07T00:00:00"/>
    <d v="2025-04-09T00:00:00"/>
    <s v="Standard Class"/>
    <s v="Bihar"/>
    <n v="896386"/>
    <s v="PROD0011"/>
    <s v="Juice"/>
    <s v="Juice - 375"/>
    <n v="7"/>
    <n v="0"/>
    <n v="231.14"/>
  </r>
  <r>
    <s v="CUST0056"/>
    <s v="Arjun"/>
    <s v="Shetty"/>
    <d v="1968-01-19T00:00:00"/>
    <n v="1538.06"/>
    <n v="2023"/>
    <s v="Small"/>
    <s v="Tier 2"/>
    <s v="Dairy"/>
    <s v="West"/>
    <s v="India"/>
    <s v="Consumer"/>
    <x v="89"/>
    <s v="ORD00253"/>
    <d v="2023-02-27T00:00:00"/>
    <d v="2023-03-04T00:00:00"/>
    <s v="First Class"/>
    <s v="Rajasthan"/>
    <n v="973390"/>
    <s v="PROD0021"/>
    <s v="Milk"/>
    <s v="Milk - 418"/>
    <n v="9"/>
    <n v="0.2"/>
    <n v="469.71"/>
  </r>
  <r>
    <s v="CUST0056"/>
    <s v="Arjun"/>
    <s v="Shetty"/>
    <d v="1968-01-19T00:00:00"/>
    <n v="239.1"/>
    <n v="2024"/>
    <s v="Medium"/>
    <s v="Tier 2"/>
    <s v="Dairy"/>
    <s v="West"/>
    <s v="India"/>
    <s v="Consumer"/>
    <x v="222"/>
    <s v="ORD00254"/>
    <d v="2024-01-18T00:00:00"/>
    <d v="2024-01-21T00:00:00"/>
    <s v="Standard Class"/>
    <s v="Rajasthan"/>
    <n v="766275"/>
    <s v="PROD0021"/>
    <s v="Milk"/>
    <s v="Milk - 355"/>
    <n v="1"/>
    <n v="0"/>
    <n v="62.5"/>
  </r>
  <r>
    <s v="CUST0056"/>
    <s v="Arjun"/>
    <s v="Shetty"/>
    <d v="1968-01-19T00:00:00"/>
    <n v="1451.33"/>
    <n v="2024"/>
    <s v="Large"/>
    <s v="Tier 2"/>
    <s v="Fruits &amp; Vegetables"/>
    <s v="West"/>
    <s v="India"/>
    <s v="Consumer"/>
    <x v="223"/>
    <s v="ORD00255"/>
    <d v="2024-06-11T00:00:00"/>
    <d v="2024-06-15T00:00:00"/>
    <s v="Second Class"/>
    <s v="Rajasthan"/>
    <n v="460971"/>
    <s v="PROD0016"/>
    <s v="Apples"/>
    <s v="Apples - 347"/>
    <n v="6"/>
    <n v="0.05"/>
    <n v="149.88999999999999"/>
  </r>
  <r>
    <s v="CUST0056"/>
    <s v="Arjun"/>
    <s v="Shetty"/>
    <d v="1968-01-19T00:00:00"/>
    <n v="297.98"/>
    <n v="2025"/>
    <s v="Small"/>
    <s v="Tier 2"/>
    <s v="Dairy"/>
    <s v="West"/>
    <s v="India"/>
    <s v="Consumer"/>
    <x v="224"/>
    <s v="ORD00256"/>
    <d v="2025-04-20T00:00:00"/>
    <d v="2025-04-25T00:00:00"/>
    <s v="First Class"/>
    <s v="Rajasthan"/>
    <n v="810614"/>
    <s v="PROD0020"/>
    <s v="Paneer"/>
    <s v="Paneer - 866"/>
    <n v="2"/>
    <n v="0.05"/>
    <n v="19.34"/>
  </r>
  <r>
    <s v="CUST0057"/>
    <s v="Swathi"/>
    <s v="Menon"/>
    <d v="1990-12-21T00:00:00"/>
    <n v="247.57"/>
    <n v="2024"/>
    <s v="Small"/>
    <s v="Tier 2"/>
    <s v="Snacks"/>
    <s v="Central"/>
    <s v="India"/>
    <s v="Home Office"/>
    <x v="225"/>
    <s v="ORD00257"/>
    <d v="2024-02-24T00:00:00"/>
    <d v="2024-02-29T00:00:00"/>
    <s v="Second Class"/>
    <s v="Chhattisgarh"/>
    <n v="737894"/>
    <s v="PROD0007"/>
    <s v="Chips"/>
    <s v="Chips - 985"/>
    <n v="1"/>
    <n v="0"/>
    <n v="60.46"/>
  </r>
  <r>
    <s v="CUST0057"/>
    <s v="Swathi"/>
    <s v="Menon"/>
    <d v="1990-12-21T00:00:00"/>
    <n v="1061.29"/>
    <n v="2024"/>
    <s v="Small"/>
    <s v="Tier 2"/>
    <s v="Bakery"/>
    <s v="Central"/>
    <s v="India"/>
    <s v="Home Office"/>
    <x v="226"/>
    <s v="ORD00258"/>
    <d v="2024-10-29T00:00:00"/>
    <d v="2024-11-02T00:00:00"/>
    <s v="Standard Class"/>
    <s v="Chhattisgarh"/>
    <n v="416822"/>
    <s v="PROD0006"/>
    <s v="Cookies"/>
    <s v="Cookies - 826"/>
    <n v="5"/>
    <n v="0.05"/>
    <n v="324.2"/>
  </r>
  <r>
    <s v="CUST0058"/>
    <s v="Sai"/>
    <s v="Chatterjee"/>
    <d v="1994-06-28T00:00:00"/>
    <n v="3123.4"/>
    <n v="2023"/>
    <s v="Medium"/>
    <s v="Tier 2"/>
    <s v="Fruits &amp; Vegetables"/>
    <s v="Central"/>
    <s v="India"/>
    <s v="Corporate"/>
    <x v="200"/>
    <s v="ORD00259"/>
    <d v="2023-04-15T00:00:00"/>
    <d v="2023-04-19T00:00:00"/>
    <s v="Second Class"/>
    <s v="Madhya Pradesh"/>
    <n v="771712"/>
    <s v="PROD0014"/>
    <s v="Tomatoes"/>
    <s v="Tomatoes - 674"/>
    <n v="10"/>
    <n v="0"/>
    <n v="797.48"/>
  </r>
  <r>
    <s v="CUST0058"/>
    <s v="Sai"/>
    <s v="Chatterjee"/>
    <d v="1994-06-28T00:00:00"/>
    <n v="496.84"/>
    <n v="2024"/>
    <s v="Large"/>
    <s v="Tier 2"/>
    <s v="Bakery"/>
    <s v="Central"/>
    <s v="India"/>
    <s v="Corporate"/>
    <x v="56"/>
    <s v="ORD00260"/>
    <d v="2024-02-11T00:00:00"/>
    <d v="2024-02-12T00:00:00"/>
    <s v="Second Class"/>
    <s v="Madhya Pradesh"/>
    <n v="813824"/>
    <s v="PROD0018"/>
    <s v="Buns"/>
    <s v="Buns - 367"/>
    <n v="5"/>
    <n v="0.1"/>
    <n v="138.94"/>
  </r>
  <r>
    <s v="CUST0058"/>
    <s v="Sai"/>
    <s v="Chatterjee"/>
    <d v="1994-06-28T00:00:00"/>
    <n v="3990.32"/>
    <n v="2024"/>
    <s v="Large"/>
    <s v="Tier 2"/>
    <s v="Dairy"/>
    <s v="Central"/>
    <s v="India"/>
    <s v="Corporate"/>
    <x v="227"/>
    <s v="ORD00261"/>
    <d v="2024-08-21T00:00:00"/>
    <d v="2024-08-25T00:00:00"/>
    <s v="Same Day"/>
    <s v="Madhya Pradesh"/>
    <n v="711344"/>
    <s v="PROD0021"/>
    <s v="Milk"/>
    <s v="Milk - 771"/>
    <n v="8"/>
    <n v="0"/>
    <n v="1285.18"/>
  </r>
  <r>
    <s v="CUST0058"/>
    <s v="Sai"/>
    <s v="Chatterjee"/>
    <d v="1994-06-28T00:00:00"/>
    <n v="628.04999999999995"/>
    <n v="2024"/>
    <s v="Medium"/>
    <s v="Tier 2"/>
    <s v="Staples"/>
    <s v="Central"/>
    <s v="India"/>
    <s v="Corporate"/>
    <x v="10"/>
    <s v="ORD00262"/>
    <d v="2024-09-30T00:00:00"/>
    <d v="2024-10-05T00:00:00"/>
    <s v="Second Class"/>
    <s v="Madhya Pradesh"/>
    <n v="631958"/>
    <s v="PROD0003"/>
    <s v="Pulses"/>
    <s v="Pulses - 935"/>
    <n v="4"/>
    <n v="0.15"/>
    <n v="73.3"/>
  </r>
  <r>
    <s v="CUST0058"/>
    <s v="Sai"/>
    <s v="Chatterjee"/>
    <d v="1994-06-28T00:00:00"/>
    <n v="962.55"/>
    <n v="2025"/>
    <s v="Large"/>
    <s v="Tier 2"/>
    <s v="Bakery"/>
    <s v="Central"/>
    <s v="India"/>
    <s v="Corporate"/>
    <x v="228"/>
    <s v="ORD00263"/>
    <d v="2025-04-24T00:00:00"/>
    <d v="2025-04-27T00:00:00"/>
    <s v="Second Class"/>
    <s v="Madhya Pradesh"/>
    <n v="786224"/>
    <s v="PROD0002"/>
    <s v="Bread"/>
    <s v="Bread - 960"/>
    <n v="9"/>
    <n v="0"/>
    <n v="184.07"/>
  </r>
  <r>
    <s v="CUST0059"/>
    <s v="Aadhya"/>
    <s v="Subramaniam"/>
    <d v="1997-02-16T00:00:00"/>
    <n v="1071.4100000000001"/>
    <n v="2023"/>
    <s v="Small"/>
    <s v="Tier 2"/>
    <s v="Dairy"/>
    <s v="North"/>
    <s v="India"/>
    <s v="Corporate"/>
    <x v="229"/>
    <s v="ORD00264"/>
    <d v="2023-12-30T00:00:00"/>
    <d v="2023-12-31T00:00:00"/>
    <s v="Same Day"/>
    <s v="Punjab"/>
    <n v="595158"/>
    <s v="PROD0020"/>
    <s v="Paneer"/>
    <s v="Paneer - 530"/>
    <n v="6"/>
    <n v="0.1"/>
    <n v="148.09"/>
  </r>
  <r>
    <s v="CUST0060"/>
    <s v="Vijay"/>
    <s v="Reddy"/>
    <d v="1995-02-17T00:00:00"/>
    <n v="257.82"/>
    <n v="2023"/>
    <s v="Small"/>
    <s v="Tier 1"/>
    <s v="Bakery"/>
    <s v="North"/>
    <s v="India"/>
    <s v="Corporate"/>
    <x v="230"/>
    <s v="ORD00265"/>
    <d v="2023-05-03T00:00:00"/>
    <d v="2023-05-08T00:00:00"/>
    <s v="Second Class"/>
    <s v="Delhi"/>
    <n v="850432"/>
    <s v="PROD0018"/>
    <s v="Buns"/>
    <s v="Buns - 155"/>
    <n v="3"/>
    <n v="0"/>
    <n v="39.4"/>
  </r>
  <r>
    <s v="CUST0060"/>
    <s v="Vijay"/>
    <s v="Reddy"/>
    <d v="1995-02-17T00:00:00"/>
    <n v="1937.4"/>
    <n v="2024"/>
    <s v="Medium"/>
    <s v="Tier 1"/>
    <s v="Dairy"/>
    <s v="North"/>
    <s v="India"/>
    <s v="Corporate"/>
    <x v="231"/>
    <s v="ORD00266"/>
    <d v="2024-01-26T00:00:00"/>
    <d v="2024-01-27T00:00:00"/>
    <s v="Second Class"/>
    <s v="Delhi"/>
    <n v="319553"/>
    <s v="PROD0021"/>
    <s v="Milk"/>
    <s v="Milk - 599"/>
    <n v="6"/>
    <n v="0"/>
    <n v="279.02999999999997"/>
  </r>
  <r>
    <s v="CUST0060"/>
    <s v="Vijay"/>
    <s v="Reddy"/>
    <d v="1995-02-17T00:00:00"/>
    <n v="156.01"/>
    <n v="2024"/>
    <s v="Medium"/>
    <s v="Tier 1"/>
    <s v="Dairy"/>
    <s v="North"/>
    <s v="India"/>
    <s v="Corporate"/>
    <x v="232"/>
    <s v="ORD00267"/>
    <d v="2024-05-27T00:00:00"/>
    <d v="2024-05-31T00:00:00"/>
    <s v="Standard Class"/>
    <s v="Delhi"/>
    <n v="104895"/>
    <s v="PROD0005"/>
    <s v="Yogurt"/>
    <s v="Yogurt - 601"/>
    <n v="2"/>
    <n v="0.05"/>
    <n v="37.450000000000003"/>
  </r>
  <r>
    <s v="CUST0060"/>
    <s v="Vijay"/>
    <s v="Reddy"/>
    <d v="1995-02-17T00:00:00"/>
    <n v="2856.18"/>
    <n v="2024"/>
    <s v="Small"/>
    <s v="Tier 1"/>
    <s v="Fruits &amp; Vegetables"/>
    <s v="North"/>
    <s v="India"/>
    <s v="Corporate"/>
    <x v="233"/>
    <s v="ORD00268"/>
    <d v="2024-06-26T00:00:00"/>
    <d v="2024-07-01T00:00:00"/>
    <s v="Same Day"/>
    <s v="Delhi"/>
    <n v="757128"/>
    <s v="PROD0010"/>
    <s v="Bananas"/>
    <s v="Bananas - 848"/>
    <n v="6"/>
    <n v="0"/>
    <n v="791.32"/>
  </r>
  <r>
    <s v="CUST0060"/>
    <s v="Vijay"/>
    <s v="Reddy"/>
    <d v="1995-02-17T00:00:00"/>
    <n v="1018.8"/>
    <n v="2024"/>
    <s v="Small"/>
    <s v="Tier 1"/>
    <s v="Staples"/>
    <s v="North"/>
    <s v="India"/>
    <s v="Corporate"/>
    <x v="143"/>
    <s v="ORD00269"/>
    <d v="2024-11-28T00:00:00"/>
    <d v="2024-12-03T00:00:00"/>
    <s v="Same Day"/>
    <s v="Delhi"/>
    <n v="963862"/>
    <s v="PROD0012"/>
    <s v="Rice"/>
    <s v="Rice - 331"/>
    <n v="6"/>
    <n v="0"/>
    <n v="168.17"/>
  </r>
  <r>
    <s v="CUST0060"/>
    <s v="Vijay"/>
    <s v="Reddy"/>
    <d v="1995-02-17T00:00:00"/>
    <n v="2659.39"/>
    <n v="2025"/>
    <s v="Medium"/>
    <s v="Tier 1"/>
    <s v="Fruits &amp; Vegetables"/>
    <s v="North"/>
    <s v="India"/>
    <s v="Corporate"/>
    <x v="234"/>
    <s v="ORD00270"/>
    <d v="2025-06-07T00:00:00"/>
    <d v="2025-06-11T00:00:00"/>
    <s v="Standard Class"/>
    <s v="Delhi"/>
    <n v="476701"/>
    <s v="PROD0014"/>
    <s v="Tomatoes"/>
    <s v="Tomatoes - 397"/>
    <n v="8"/>
    <n v="0.1"/>
    <n v="551.12"/>
  </r>
  <r>
    <s v="CUST0061"/>
    <s v="Ganesh"/>
    <s v="Yadav"/>
    <d v="1968-04-03T00:00:00"/>
    <n v="303.05"/>
    <n v="2023"/>
    <s v="Large"/>
    <s v="Tier 2"/>
    <s v="Dairy"/>
    <s v="South"/>
    <s v="India"/>
    <s v="Home Office"/>
    <x v="235"/>
    <s v="ORD00271"/>
    <d v="2023-01-20T00:00:00"/>
    <d v="2023-01-21T00:00:00"/>
    <s v="Second Class"/>
    <s v="Tamil Nadu"/>
    <n v="908713"/>
    <s v="PROD0005"/>
    <s v="Yogurt"/>
    <s v="Yogurt - 316"/>
    <n v="1"/>
    <n v="0"/>
    <n v="26.35"/>
  </r>
  <r>
    <s v="CUST0061"/>
    <s v="Ganesh"/>
    <s v="Yadav"/>
    <d v="1968-04-03T00:00:00"/>
    <n v="4228.32"/>
    <n v="2023"/>
    <s v="Large"/>
    <s v="Tier 2"/>
    <s v="Snacks"/>
    <s v="South"/>
    <s v="India"/>
    <s v="Home Office"/>
    <x v="236"/>
    <s v="ORD00272"/>
    <d v="2023-06-18T00:00:00"/>
    <d v="2023-06-19T00:00:00"/>
    <s v="Same Day"/>
    <s v="Tamil Nadu"/>
    <n v="537020"/>
    <s v="PROD0004"/>
    <s v="Biscuits"/>
    <s v="Biscuits - 149"/>
    <n v="10"/>
    <n v="0.15"/>
    <n v="348.56"/>
  </r>
  <r>
    <s v="CUST0061"/>
    <s v="Ganesh"/>
    <s v="Yadav"/>
    <d v="1968-04-03T00:00:00"/>
    <n v="1081.02"/>
    <n v="2023"/>
    <s v="Medium"/>
    <s v="Tier 2"/>
    <s v="Beverages"/>
    <s v="South"/>
    <s v="India"/>
    <s v="Home Office"/>
    <x v="214"/>
    <s v="ORD00273"/>
    <d v="2023-08-22T00:00:00"/>
    <d v="2023-08-23T00:00:00"/>
    <s v="Same Day"/>
    <s v="Tamil Nadu"/>
    <n v="794663"/>
    <s v="PROD0015"/>
    <s v="Soft Drinks"/>
    <s v="Soft Drinks - 226"/>
    <n v="9"/>
    <n v="0.15"/>
    <n v="103.71"/>
  </r>
  <r>
    <s v="CUST0061"/>
    <s v="Ganesh"/>
    <s v="Yadav"/>
    <d v="1968-04-03T00:00:00"/>
    <n v="3385.32"/>
    <n v="2024"/>
    <s v="Medium"/>
    <s v="Tier 2"/>
    <s v="Snacks"/>
    <s v="South"/>
    <s v="India"/>
    <s v="Home Office"/>
    <x v="237"/>
    <s v="ORD00274"/>
    <d v="2024-02-18T00:00:00"/>
    <d v="2024-02-19T00:00:00"/>
    <s v="Same Day"/>
    <s v="Tamil Nadu"/>
    <n v="922880"/>
    <s v="PROD0001"/>
    <s v="Namkeen"/>
    <s v="Namkeen - 737"/>
    <n v="10"/>
    <n v="0.05"/>
    <n v="1012.87"/>
  </r>
  <r>
    <s v="CUST0061"/>
    <s v="Ganesh"/>
    <s v="Yadav"/>
    <d v="1968-04-03T00:00:00"/>
    <n v="1158.8"/>
    <n v="2025"/>
    <s v="Large"/>
    <s v="Tier 2"/>
    <s v="Fruits &amp; Vegetables"/>
    <s v="South"/>
    <s v="India"/>
    <s v="Home Office"/>
    <x v="238"/>
    <s v="ORD00275"/>
    <d v="2025-04-11T00:00:00"/>
    <d v="2025-04-13T00:00:00"/>
    <s v="Standard Class"/>
    <s v="Tamil Nadu"/>
    <n v="409698"/>
    <s v="PROD0008"/>
    <s v="Onions"/>
    <s v="Onions - 303"/>
    <n v="10"/>
    <n v="0"/>
    <n v="347"/>
  </r>
  <r>
    <s v="CUST0062"/>
    <s v="Swathi"/>
    <s v="Nair"/>
    <d v="1968-04-15T00:00:00"/>
    <n v="72.45"/>
    <n v="2024"/>
    <s v="Small"/>
    <s v="Tier 2"/>
    <s v="Dairy"/>
    <s v="East"/>
    <s v="India"/>
    <s v="Home Office"/>
    <x v="239"/>
    <s v="ORD00276"/>
    <d v="2024-05-23T00:00:00"/>
    <d v="2024-05-24T00:00:00"/>
    <s v="Same Day"/>
    <s v="Jharkhand"/>
    <n v="917392"/>
    <s v="PROD0013"/>
    <s v="Butter"/>
    <s v="Butter - 438"/>
    <n v="4"/>
    <n v="0.15"/>
    <n v="5.56"/>
  </r>
  <r>
    <s v="CUST0062"/>
    <s v="Swathi"/>
    <s v="Nair"/>
    <d v="1968-04-15T00:00:00"/>
    <n v="772.29"/>
    <n v="2024"/>
    <s v="Medium"/>
    <s v="Tier 2"/>
    <s v="Snacks"/>
    <s v="East"/>
    <s v="India"/>
    <s v="Home Office"/>
    <x v="240"/>
    <s v="ORD00277"/>
    <d v="2024-07-15T00:00:00"/>
    <d v="2024-07-18T00:00:00"/>
    <s v="Same Day"/>
    <s v="Jharkhand"/>
    <n v="204657"/>
    <s v="PROD0007"/>
    <s v="Chips"/>
    <s v="Chips - 840"/>
    <n v="2"/>
    <n v="0.15"/>
    <n v="92.17"/>
  </r>
  <r>
    <s v="CUST0063"/>
    <s v="Ira"/>
    <s v="Reddy"/>
    <d v="1980-08-28T00:00:00"/>
    <n v="104.96"/>
    <n v="2023"/>
    <s v="Large"/>
    <s v="Tier 2"/>
    <s v="Staples"/>
    <s v="South"/>
    <s v="India"/>
    <s v="Corporate"/>
    <x v="241"/>
    <s v="ORD00278"/>
    <d v="2023-02-10T00:00:00"/>
    <d v="2023-02-11T00:00:00"/>
    <s v="First Class"/>
    <s v="Kerala"/>
    <n v="444625"/>
    <s v="PROD0009"/>
    <s v="Wheat Flour"/>
    <s v="Wheat Flour - 536"/>
    <n v="2"/>
    <n v="0.2"/>
    <n v="33.28"/>
  </r>
  <r>
    <s v="CUST0063"/>
    <s v="Ira"/>
    <s v="Reddy"/>
    <d v="1980-08-28T00:00:00"/>
    <n v="2208.35"/>
    <n v="2023"/>
    <s v="Small"/>
    <s v="Tier 2"/>
    <s v="Bakery"/>
    <s v="South"/>
    <s v="India"/>
    <s v="Corporate"/>
    <x v="163"/>
    <s v="ORD00279"/>
    <d v="2023-10-25T00:00:00"/>
    <d v="2023-10-28T00:00:00"/>
    <s v="Standard Class"/>
    <s v="Kerala"/>
    <n v="519692"/>
    <s v="PROD0018"/>
    <s v="Buns"/>
    <s v="Buns - 736"/>
    <n v="5"/>
    <n v="0"/>
    <n v="357.28"/>
  </r>
  <r>
    <s v="CUST0063"/>
    <s v="Ira"/>
    <s v="Reddy"/>
    <d v="1980-08-28T00:00:00"/>
    <n v="2335.15"/>
    <n v="2024"/>
    <s v="Small"/>
    <s v="Tier 2"/>
    <s v="Beverages"/>
    <s v="South"/>
    <s v="India"/>
    <s v="Corporate"/>
    <x v="242"/>
    <s v="ORD00280"/>
    <d v="2024-01-04T00:00:00"/>
    <d v="2024-01-06T00:00:00"/>
    <s v="Same Day"/>
    <s v="Kerala"/>
    <n v="985364"/>
    <s v="PROD0011"/>
    <s v="Juice"/>
    <s v="Juice - 955"/>
    <n v="7"/>
    <n v="0.05"/>
    <n v="677.12"/>
  </r>
  <r>
    <s v="CUST0063"/>
    <s v="Ira"/>
    <s v="Reddy"/>
    <d v="1980-08-28T00:00:00"/>
    <n v="2265.12"/>
    <n v="2025"/>
    <s v="Medium"/>
    <s v="Tier 2"/>
    <s v="Dairy"/>
    <s v="South"/>
    <s v="India"/>
    <s v="Corporate"/>
    <x v="243"/>
    <s v="ORD00281"/>
    <d v="2025-03-31T00:00:00"/>
    <d v="2025-04-02T00:00:00"/>
    <s v="Second Class"/>
    <s v="Kerala"/>
    <n v="741055"/>
    <s v="PROD0021"/>
    <s v="Milk"/>
    <s v="Milk - 526"/>
    <n v="10"/>
    <n v="0.1"/>
    <n v="574.25"/>
  </r>
  <r>
    <s v="CUST0063"/>
    <s v="Ira"/>
    <s v="Reddy"/>
    <d v="1980-08-28T00:00:00"/>
    <n v="564"/>
    <n v="2025"/>
    <s v="Large"/>
    <s v="Tier 2"/>
    <s v="Fruits &amp; Vegetables"/>
    <s v="South"/>
    <s v="India"/>
    <s v="Corporate"/>
    <x v="65"/>
    <s v="ORD00282"/>
    <d v="2025-05-22T00:00:00"/>
    <d v="2025-05-23T00:00:00"/>
    <s v="Second Class"/>
    <s v="Kerala"/>
    <n v="112960"/>
    <s v="PROD0010"/>
    <s v="Bananas"/>
    <s v="Bananas - 594"/>
    <n v="8"/>
    <n v="0.05"/>
    <n v="102.76"/>
  </r>
  <r>
    <s v="CUST0063"/>
    <s v="Ira"/>
    <s v="Reddy"/>
    <d v="1980-08-28T00:00:00"/>
    <n v="3674.1"/>
    <n v="2025"/>
    <s v="Medium"/>
    <s v="Tier 2"/>
    <s v="Staples"/>
    <s v="South"/>
    <s v="India"/>
    <s v="Corporate"/>
    <x v="127"/>
    <s v="ORD00283"/>
    <d v="2025-06-14T00:00:00"/>
    <d v="2025-06-17T00:00:00"/>
    <s v="First Class"/>
    <s v="Kerala"/>
    <n v="605339"/>
    <s v="PROD0003"/>
    <s v="Pulses"/>
    <s v="Pulses - 637"/>
    <n v="10"/>
    <n v="0"/>
    <n v="1261.57"/>
  </r>
  <r>
    <s v="CUST0064"/>
    <s v="Meera"/>
    <s v="Rao"/>
    <d v="1984-08-28T00:00:00"/>
    <n v="748.61"/>
    <n v="2024"/>
    <s v="Medium"/>
    <s v="Tier 2"/>
    <s v="Dairy"/>
    <s v="East"/>
    <s v="India"/>
    <s v="Home Office"/>
    <x v="244"/>
    <s v="ORD00284"/>
    <d v="2024-01-30T00:00:00"/>
    <d v="2024-02-01T00:00:00"/>
    <s v="Second Class"/>
    <s v="Jharkhand"/>
    <n v="352593"/>
    <s v="PROD0021"/>
    <s v="Milk"/>
    <s v="Milk - 111"/>
    <n v="3"/>
    <n v="0.05"/>
    <n v="228.75"/>
  </r>
  <r>
    <s v="CUST0064"/>
    <s v="Meera"/>
    <s v="Rao"/>
    <d v="1984-08-28T00:00:00"/>
    <n v="970.79"/>
    <n v="2024"/>
    <s v="Medium"/>
    <s v="Tier 2"/>
    <s v="Bakery"/>
    <s v="East"/>
    <s v="India"/>
    <s v="Home Office"/>
    <x v="245"/>
    <s v="ORD00285"/>
    <d v="2024-10-18T00:00:00"/>
    <d v="2024-10-20T00:00:00"/>
    <s v="Standard Class"/>
    <s v="Jharkhand"/>
    <n v="940183"/>
    <s v="PROD0018"/>
    <s v="Buns"/>
    <s v="Buns - 151"/>
    <n v="9"/>
    <n v="0.15"/>
    <n v="158.81"/>
  </r>
  <r>
    <s v="CUST0064"/>
    <s v="Meera"/>
    <s v="Rao"/>
    <d v="1984-08-28T00:00:00"/>
    <n v="1876.72"/>
    <n v="2024"/>
    <s v="Medium"/>
    <s v="Tier 2"/>
    <s v="Snacks"/>
    <s v="East"/>
    <s v="India"/>
    <s v="Home Office"/>
    <x v="246"/>
    <s v="ORD00286"/>
    <d v="2024-11-23T00:00:00"/>
    <d v="2024-11-24T00:00:00"/>
    <s v="Standard Class"/>
    <s v="Jharkhand"/>
    <n v="137572"/>
    <s v="PROD0001"/>
    <s v="Namkeen"/>
    <s v="Namkeen - 190"/>
    <n v="8"/>
    <n v="0"/>
    <n v="645.97"/>
  </r>
  <r>
    <s v="CUST0065"/>
    <s v="Farhan"/>
    <s v="Naidu"/>
    <d v="1965-05-09T00:00:00"/>
    <n v="2012.62"/>
    <n v="2023"/>
    <s v="Medium"/>
    <s v="Tier 2"/>
    <s v="Snacks"/>
    <s v="East"/>
    <s v="India"/>
    <s v="Home Office"/>
    <x v="247"/>
    <s v="ORD00287"/>
    <d v="2023-01-01T00:00:00"/>
    <d v="2023-01-05T00:00:00"/>
    <s v="Same Day"/>
    <s v="Jharkhand"/>
    <n v="956255"/>
    <s v="PROD0004"/>
    <s v="Biscuits"/>
    <s v="Biscuits - 752"/>
    <n v="5"/>
    <n v="0.1"/>
    <n v="225.52"/>
  </r>
  <r>
    <s v="CUST0065"/>
    <s v="Farhan"/>
    <s v="Naidu"/>
    <d v="1965-05-09T00:00:00"/>
    <n v="3145.72"/>
    <n v="2023"/>
    <s v="Small"/>
    <s v="Tier 2"/>
    <s v="Dairy"/>
    <s v="East"/>
    <s v="India"/>
    <s v="Home Office"/>
    <x v="248"/>
    <s v="ORD00288"/>
    <d v="2023-04-04T00:00:00"/>
    <d v="2023-04-07T00:00:00"/>
    <s v="Same Day"/>
    <s v="Jharkhand"/>
    <n v="896204"/>
    <s v="PROD0013"/>
    <s v="Butter"/>
    <s v="Butter - 439"/>
    <n v="9"/>
    <n v="0.1"/>
    <n v="603.79"/>
  </r>
  <r>
    <s v="CUST0065"/>
    <s v="Farhan"/>
    <s v="Naidu"/>
    <d v="1965-05-09T00:00:00"/>
    <n v="971.4"/>
    <n v="2025"/>
    <s v="Large"/>
    <s v="Tier 2"/>
    <s v="Staples"/>
    <s v="East"/>
    <s v="India"/>
    <s v="Home Office"/>
    <x v="249"/>
    <s v="ORD00289"/>
    <d v="2025-03-21T00:00:00"/>
    <d v="2025-03-24T00:00:00"/>
    <s v="Same Day"/>
    <s v="Jharkhand"/>
    <n v="148001"/>
    <s v="PROD0012"/>
    <s v="Rice"/>
    <s v="Rice - 102"/>
    <n v="6"/>
    <n v="0.15"/>
    <n v="329.63"/>
  </r>
  <r>
    <s v="CUST0065"/>
    <s v="Farhan"/>
    <s v="Naidu"/>
    <d v="1965-05-09T00:00:00"/>
    <n v="449.44"/>
    <n v="2025"/>
    <s v="Small"/>
    <s v="Tier 2"/>
    <s v="Dairy"/>
    <s v="East"/>
    <s v="India"/>
    <s v="Home Office"/>
    <x v="250"/>
    <s v="ORD00290"/>
    <d v="2025-04-25T00:00:00"/>
    <d v="2025-04-26T00:00:00"/>
    <s v="Standard Class"/>
    <s v="Jharkhand"/>
    <n v="964607"/>
    <s v="PROD0013"/>
    <s v="Butter"/>
    <s v="Butter - 243"/>
    <n v="7"/>
    <n v="0.1"/>
    <n v="48.89"/>
  </r>
  <r>
    <s v="CUST0066"/>
    <s v="Reyansh"/>
    <s v="Mishra"/>
    <d v="1971-01-10T00:00:00"/>
    <n v="1724.76"/>
    <n v="2023"/>
    <s v="Small"/>
    <s v="Tier 2"/>
    <s v="Fruits &amp; Vegetables"/>
    <s v="West"/>
    <s v="India"/>
    <s v="Consumer"/>
    <x v="251"/>
    <s v="ORD00291"/>
    <d v="2023-04-21T00:00:00"/>
    <d v="2023-04-23T00:00:00"/>
    <s v="Same Day"/>
    <s v="Goa"/>
    <n v="680099"/>
    <s v="PROD0016"/>
    <s v="Apples"/>
    <s v="Apples - 890"/>
    <n v="8"/>
    <n v="0.1"/>
    <n v="581"/>
  </r>
  <r>
    <s v="CUST0066"/>
    <s v="Reyansh"/>
    <s v="Mishra"/>
    <d v="1971-01-10T00:00:00"/>
    <n v="1056.21"/>
    <n v="2023"/>
    <s v="Medium"/>
    <s v="Tier 2"/>
    <s v="Beverages"/>
    <s v="West"/>
    <s v="India"/>
    <s v="Consumer"/>
    <x v="252"/>
    <s v="ORD00292"/>
    <d v="2023-12-13T00:00:00"/>
    <d v="2023-12-15T00:00:00"/>
    <s v="Second Class"/>
    <s v="Goa"/>
    <n v="628597"/>
    <s v="PROD0015"/>
    <s v="Soft Drinks"/>
    <s v="Soft Drinks - 620"/>
    <n v="3"/>
    <n v="0"/>
    <n v="284.27999999999997"/>
  </r>
  <r>
    <s v="CUST0066"/>
    <s v="Reyansh"/>
    <s v="Mishra"/>
    <d v="1971-01-10T00:00:00"/>
    <n v="605.32000000000005"/>
    <n v="2024"/>
    <s v="Small"/>
    <s v="Tier 2"/>
    <s v="Beverages"/>
    <s v="West"/>
    <s v="India"/>
    <s v="Consumer"/>
    <x v="45"/>
    <s v="ORD00293"/>
    <d v="2024-02-29T00:00:00"/>
    <d v="2024-03-04T00:00:00"/>
    <s v="Standard Class"/>
    <s v="Goa"/>
    <n v="731792"/>
    <s v="PROD0015"/>
    <s v="Soft Drinks"/>
    <s v="Soft Drinks - 723"/>
    <n v="4"/>
    <n v="0"/>
    <n v="206.5"/>
  </r>
  <r>
    <s v="CUST0066"/>
    <s v="Reyansh"/>
    <s v="Mishra"/>
    <d v="1971-01-10T00:00:00"/>
    <n v="1911.06"/>
    <n v="2025"/>
    <s v="Small"/>
    <s v="Tier 2"/>
    <s v="Staples"/>
    <s v="West"/>
    <s v="India"/>
    <s v="Consumer"/>
    <x v="253"/>
    <s v="ORD00294"/>
    <d v="2025-01-03T00:00:00"/>
    <d v="2025-01-08T00:00:00"/>
    <s v="First Class"/>
    <s v="Goa"/>
    <n v="319899"/>
    <s v="PROD0003"/>
    <s v="Pulses"/>
    <s v="Pulses - 624"/>
    <n v="5"/>
    <n v="0.1"/>
    <n v="589.01"/>
  </r>
  <r>
    <s v="CUST0066"/>
    <s v="Reyansh"/>
    <s v="Mishra"/>
    <d v="1971-01-10T00:00:00"/>
    <n v="2773.02"/>
    <n v="2025"/>
    <s v="Large"/>
    <s v="Tier 2"/>
    <s v="Snacks"/>
    <s v="West"/>
    <s v="India"/>
    <s v="Consumer"/>
    <x v="254"/>
    <s v="ORD00295"/>
    <d v="2025-02-14T00:00:00"/>
    <d v="2025-02-16T00:00:00"/>
    <s v="Second Class"/>
    <s v="Goa"/>
    <n v="844858"/>
    <s v="PROD0004"/>
    <s v="Biscuits"/>
    <s v="Biscuits - 397"/>
    <n v="6"/>
    <n v="0"/>
    <n v="955.03"/>
  </r>
  <r>
    <s v="CUST0067"/>
    <s v="Praveen"/>
    <s v="Chowdhury"/>
    <d v="1971-12-22T00:00:00"/>
    <n v="1132.2"/>
    <n v="2023"/>
    <s v="Small"/>
    <s v="Tier 2"/>
    <s v="Beverages"/>
    <s v="West"/>
    <s v="India"/>
    <s v="Home Office"/>
    <x v="255"/>
    <s v="ORD00296"/>
    <d v="2023-12-27T00:00:00"/>
    <d v="2023-12-28T00:00:00"/>
    <s v="Standard Class"/>
    <s v="Goa"/>
    <n v="252386"/>
    <s v="PROD0015"/>
    <s v="Soft Drinks"/>
    <s v="Soft Drinks - 790"/>
    <n v="9"/>
    <n v="0.2"/>
    <n v="200.08"/>
  </r>
  <r>
    <s v="CUST0067"/>
    <s v="Praveen"/>
    <s v="Chowdhury"/>
    <d v="1971-12-22T00:00:00"/>
    <n v="1900.45"/>
    <n v="2024"/>
    <s v="Small"/>
    <s v="Tier 2"/>
    <s v="Fruits &amp; Vegetables"/>
    <s v="West"/>
    <s v="India"/>
    <s v="Home Office"/>
    <x v="204"/>
    <s v="ORD00297"/>
    <d v="2024-07-29T00:00:00"/>
    <d v="2024-08-01T00:00:00"/>
    <s v="Second Class"/>
    <s v="Goa"/>
    <n v="313910"/>
    <s v="PROD0016"/>
    <s v="Apples"/>
    <s v="Apples - 304"/>
    <n v="5"/>
    <n v="0"/>
    <n v="655.77"/>
  </r>
  <r>
    <s v="CUST0068"/>
    <s v="Aadhya"/>
    <s v="Raghavan"/>
    <d v="1980-05-19T00:00:00"/>
    <n v="3328.67"/>
    <n v="2023"/>
    <s v="Large"/>
    <s v="Tier 2"/>
    <s v="Snacks"/>
    <s v="West"/>
    <s v="India"/>
    <s v="Home Office"/>
    <x v="256"/>
    <s v="ORD00298"/>
    <d v="2023-02-03T00:00:00"/>
    <d v="2023-02-07T00:00:00"/>
    <s v="Second Class"/>
    <s v="Gujarat"/>
    <n v="826596"/>
    <s v="PROD0004"/>
    <s v="Biscuits"/>
    <s v="Biscuits - 857"/>
    <n v="9"/>
    <n v="0.15"/>
    <n v="812.65"/>
  </r>
  <r>
    <s v="CUST0068"/>
    <s v="Aadhya"/>
    <s v="Raghavan"/>
    <d v="1980-05-19T00:00:00"/>
    <n v="1231.72"/>
    <n v="2023"/>
    <s v="Small"/>
    <s v="Tier 2"/>
    <s v="Staples"/>
    <s v="West"/>
    <s v="India"/>
    <s v="Home Office"/>
    <x v="200"/>
    <s v="ORD00299"/>
    <d v="2023-04-15T00:00:00"/>
    <d v="2023-04-18T00:00:00"/>
    <s v="Second Class"/>
    <s v="Gujarat"/>
    <n v="312952"/>
    <s v="PROD0012"/>
    <s v="Rice"/>
    <s v="Rice - 490"/>
    <n v="7"/>
    <n v="0.2"/>
    <n v="422.17"/>
  </r>
  <r>
    <s v="CUST0068"/>
    <s v="Aadhya"/>
    <s v="Raghavan"/>
    <d v="1980-05-19T00:00:00"/>
    <n v="1555.53"/>
    <n v="2024"/>
    <s v="Large"/>
    <s v="Tier 2"/>
    <s v="Snacks"/>
    <s v="West"/>
    <s v="India"/>
    <s v="Home Office"/>
    <x v="242"/>
    <s v="ORD00300"/>
    <d v="2024-01-03T00:00:00"/>
    <d v="2024-01-06T00:00:00"/>
    <s v="First Class"/>
    <s v="Gujarat"/>
    <n v="408467"/>
    <s v="PROD0001"/>
    <s v="Namkeen"/>
    <s v="Namkeen - 949"/>
    <n v="4"/>
    <n v="0.15"/>
    <n v="408.89"/>
  </r>
  <r>
    <s v="CUST0068"/>
    <s v="Aadhya"/>
    <s v="Raghavan"/>
    <d v="1980-05-19T00:00:00"/>
    <n v="219.5"/>
    <n v="2024"/>
    <s v="Small"/>
    <s v="Tier 2"/>
    <s v="Beverages"/>
    <s v="West"/>
    <s v="India"/>
    <s v="Home Office"/>
    <x v="47"/>
    <s v="ORD00301"/>
    <d v="2024-04-08T00:00:00"/>
    <d v="2024-04-09T00:00:00"/>
    <s v="Standard Class"/>
    <s v="Gujarat"/>
    <n v="392670"/>
    <s v="PROD0017"/>
    <s v="Coffee"/>
    <s v="Coffee - 799"/>
    <n v="2"/>
    <n v="0"/>
    <n v="59.38"/>
  </r>
  <r>
    <s v="CUST0068"/>
    <s v="Aadhya"/>
    <s v="Raghavan"/>
    <d v="1980-05-19T00:00:00"/>
    <n v="900.93"/>
    <n v="2025"/>
    <s v="Small"/>
    <s v="Tier 2"/>
    <s v="Snacks"/>
    <s v="West"/>
    <s v="India"/>
    <s v="Home Office"/>
    <x v="257"/>
    <s v="ORD00302"/>
    <d v="2025-04-13T00:00:00"/>
    <d v="2025-04-17T00:00:00"/>
    <s v="First Class"/>
    <s v="Gujarat"/>
    <n v="438302"/>
    <s v="PROD0001"/>
    <s v="Namkeen"/>
    <s v="Namkeen - 233"/>
    <n v="3"/>
    <n v="0"/>
    <n v="46.57"/>
  </r>
  <r>
    <s v="CUST0069"/>
    <s v="Neha"/>
    <s v="Pillai"/>
    <d v="2002-12-15T00:00:00"/>
    <n v="2840.8"/>
    <n v="2024"/>
    <s v="Small"/>
    <s v="Tier 1"/>
    <s v="Staples"/>
    <s v="South"/>
    <s v="India"/>
    <s v="Home Office"/>
    <x v="258"/>
    <s v="ORD00303"/>
    <d v="2024-09-22T00:00:00"/>
    <d v="2024-09-25T00:00:00"/>
    <s v="Same Day"/>
    <s v="Karnataka"/>
    <n v="924451"/>
    <s v="PROD0009"/>
    <s v="Wheat Flour"/>
    <s v="Wheat Flour - 602"/>
    <n v="10"/>
    <n v="0"/>
    <n v="810.22"/>
  </r>
  <r>
    <s v="CUST0069"/>
    <s v="Neha"/>
    <s v="Pillai"/>
    <d v="2002-12-15T00:00:00"/>
    <n v="2500.02"/>
    <n v="2024"/>
    <s v="Medium"/>
    <s v="Tier 1"/>
    <s v="Snacks"/>
    <s v="South"/>
    <s v="India"/>
    <s v="Home Office"/>
    <x v="259"/>
    <s v="ORD00304"/>
    <d v="2024-10-02T00:00:00"/>
    <d v="2024-10-04T00:00:00"/>
    <s v="Second Class"/>
    <s v="Karnataka"/>
    <n v="478323"/>
    <s v="PROD0007"/>
    <s v="Chips"/>
    <s v="Chips - 525"/>
    <n v="9"/>
    <n v="0"/>
    <n v="387.06"/>
  </r>
  <r>
    <s v="CUST0069"/>
    <s v="Neha"/>
    <s v="Pillai"/>
    <d v="2002-12-15T00:00:00"/>
    <n v="2471.7600000000002"/>
    <n v="2025"/>
    <s v="Large"/>
    <s v="Tier 1"/>
    <s v="Bakery"/>
    <s v="South"/>
    <s v="India"/>
    <s v="Home Office"/>
    <x v="79"/>
    <s v="ORD00305"/>
    <d v="2025-03-03T00:00:00"/>
    <d v="2025-03-04T00:00:00"/>
    <s v="Second Class"/>
    <s v="Karnataka"/>
    <n v="567315"/>
    <s v="PROD0002"/>
    <s v="Bread"/>
    <s v="Bread - 870"/>
    <n v="10"/>
    <n v="0.1"/>
    <n v="734.38"/>
  </r>
  <r>
    <s v="CUST0069"/>
    <s v="Neha"/>
    <s v="Pillai"/>
    <d v="2002-12-15T00:00:00"/>
    <n v="974.69"/>
    <n v="2025"/>
    <s v="Large"/>
    <s v="Tier 1"/>
    <s v="Dairy"/>
    <s v="South"/>
    <s v="India"/>
    <s v="Home Office"/>
    <x v="260"/>
    <s v="ORD00306"/>
    <d v="2025-05-13T00:00:00"/>
    <d v="2025-05-17T00:00:00"/>
    <s v="Second Class"/>
    <s v="Karnataka"/>
    <n v="125905"/>
    <s v="PROD0005"/>
    <s v="Yogurt"/>
    <s v="Yogurt - 140"/>
    <n v="6"/>
    <n v="0.2"/>
    <n v="325.06"/>
  </r>
  <r>
    <s v="CUST0070"/>
    <s v="Manoj"/>
    <s v="Kulkarni"/>
    <d v="1977-05-31T00:00:00"/>
    <n v="695"/>
    <n v="2024"/>
    <s v="Large"/>
    <s v="Tier 1"/>
    <s v="Beverages"/>
    <s v="South"/>
    <s v="India"/>
    <s v="Corporate"/>
    <x v="261"/>
    <s v="ORD00307"/>
    <d v="2024-01-19T00:00:00"/>
    <d v="2024-01-21T00:00:00"/>
    <s v="Same Day"/>
    <s v="Karnataka"/>
    <n v="757386"/>
    <s v="PROD0019"/>
    <s v="Tea"/>
    <s v="Tea - 403"/>
    <n v="4"/>
    <n v="0"/>
    <n v="232.45"/>
  </r>
  <r>
    <s v="CUST0070"/>
    <s v="Manoj"/>
    <s v="Kulkarni"/>
    <d v="1977-05-31T00:00:00"/>
    <n v="1653.68"/>
    <n v="2024"/>
    <s v="Large"/>
    <s v="Tier 1"/>
    <s v="Fruits &amp; Vegetables"/>
    <s v="South"/>
    <s v="India"/>
    <s v="Corporate"/>
    <x v="262"/>
    <s v="ORD00308"/>
    <d v="2024-04-01T00:00:00"/>
    <d v="2024-04-03T00:00:00"/>
    <s v="Standard Class"/>
    <s v="Karnataka"/>
    <n v="777968"/>
    <s v="PROD0010"/>
    <s v="Bananas"/>
    <s v="Bananas - 786"/>
    <n v="4"/>
    <n v="0.05"/>
    <n v="497.26"/>
  </r>
  <r>
    <s v="CUST0070"/>
    <s v="Manoj"/>
    <s v="Kulkarni"/>
    <d v="1977-05-31T00:00:00"/>
    <n v="2912.8"/>
    <n v="2024"/>
    <s v="Medium"/>
    <s v="Tier 1"/>
    <s v="Fruits &amp; Vegetables"/>
    <s v="South"/>
    <s v="India"/>
    <s v="Corporate"/>
    <x v="193"/>
    <s v="ORD00309"/>
    <d v="2024-06-04T00:00:00"/>
    <d v="2024-06-05T00:00:00"/>
    <s v="Same Day"/>
    <s v="Karnataka"/>
    <n v="702891"/>
    <s v="PROD0010"/>
    <s v="Bananas"/>
    <s v="Bananas - 124"/>
    <n v="8"/>
    <n v="0"/>
    <n v="222.12"/>
  </r>
  <r>
    <s v="CUST0070"/>
    <s v="Manoj"/>
    <s v="Kulkarni"/>
    <d v="1977-05-31T00:00:00"/>
    <n v="1572.99"/>
    <n v="2024"/>
    <s v="Large"/>
    <s v="Tier 1"/>
    <s v="Dairy"/>
    <s v="South"/>
    <s v="India"/>
    <s v="Corporate"/>
    <x v="97"/>
    <s v="ORD00310"/>
    <d v="2024-06-10T00:00:00"/>
    <d v="2024-06-11T00:00:00"/>
    <s v="Same Day"/>
    <s v="Karnataka"/>
    <n v="660814"/>
    <s v="PROD0020"/>
    <s v="Paneer"/>
    <s v="Paneer - 517"/>
    <n v="7"/>
    <n v="0.05"/>
    <n v="282.99"/>
  </r>
  <r>
    <s v="CUST0070"/>
    <s v="Manoj"/>
    <s v="Kulkarni"/>
    <d v="1977-05-31T00:00:00"/>
    <n v="334.8"/>
    <n v="2025"/>
    <s v="Medium"/>
    <s v="Tier 1"/>
    <s v="Fruits &amp; Vegetables"/>
    <s v="South"/>
    <s v="India"/>
    <s v="Corporate"/>
    <x v="263"/>
    <s v="ORD00311"/>
    <d v="2025-02-27T00:00:00"/>
    <d v="2025-03-04T00:00:00"/>
    <s v="Second Class"/>
    <s v="Karnataka"/>
    <n v="736030"/>
    <s v="PROD0016"/>
    <s v="Apples"/>
    <s v="Apples - 874"/>
    <n v="10"/>
    <n v="0.2"/>
    <n v="24.03"/>
  </r>
  <r>
    <s v="CUST0070"/>
    <s v="Manoj"/>
    <s v="Kulkarni"/>
    <d v="1977-05-31T00:00:00"/>
    <n v="1299.71"/>
    <n v="2025"/>
    <s v="Large"/>
    <s v="Tier 1"/>
    <s v="Fruits &amp; Vegetables"/>
    <s v="South"/>
    <s v="India"/>
    <s v="Corporate"/>
    <x v="264"/>
    <s v="ORD00312"/>
    <d v="2025-04-02T00:00:00"/>
    <d v="2025-04-06T00:00:00"/>
    <s v="First Class"/>
    <s v="Karnataka"/>
    <n v="243006"/>
    <s v="PROD0014"/>
    <s v="Tomatoes"/>
    <s v="Tomatoes - 883"/>
    <n v="8"/>
    <n v="0.2"/>
    <n v="322.61"/>
  </r>
  <r>
    <s v="CUST0070"/>
    <s v="Manoj"/>
    <s v="Kulkarni"/>
    <d v="1977-05-31T00:00:00"/>
    <n v="1236.1600000000001"/>
    <n v="2025"/>
    <s v="Large"/>
    <s v="Tier 1"/>
    <s v="Staples"/>
    <s v="South"/>
    <s v="India"/>
    <s v="Corporate"/>
    <x v="224"/>
    <s v="ORD00313"/>
    <d v="2025-04-21T00:00:00"/>
    <d v="2025-04-24T00:00:00"/>
    <s v="First Class"/>
    <s v="Karnataka"/>
    <n v="229221"/>
    <s v="PROD0009"/>
    <s v="Wheat Flour"/>
    <s v="Wheat Flour - 915"/>
    <n v="9"/>
    <n v="0.15"/>
    <n v="115.24"/>
  </r>
  <r>
    <s v="CUST0071"/>
    <s v="Suresh"/>
    <s v="Reddy"/>
    <d v="1993-07-31T00:00:00"/>
    <n v="4270.95"/>
    <n v="2024"/>
    <s v="Medium"/>
    <s v="Tier 2"/>
    <s v="Snacks"/>
    <s v="West"/>
    <s v="India"/>
    <s v="Home Office"/>
    <x v="166"/>
    <s v="ORD00314"/>
    <d v="2024-08-09T00:00:00"/>
    <d v="2024-08-12T00:00:00"/>
    <s v="First Class"/>
    <s v="Goa"/>
    <n v="268772"/>
    <s v="PROD0001"/>
    <s v="Namkeen"/>
    <s v="Namkeen - 650"/>
    <n v="9"/>
    <n v="0"/>
    <n v="482.69"/>
  </r>
  <r>
    <s v="CUST0072"/>
    <s v="Deepak"/>
    <s v="Chowdhury"/>
    <d v="1996-08-27T00:00:00"/>
    <n v="923.59"/>
    <n v="2024"/>
    <s v="Large"/>
    <s v="Tier 2"/>
    <s v="Bakery"/>
    <s v="North"/>
    <s v="India"/>
    <s v="Consumer"/>
    <x v="265"/>
    <s v="ORD00315"/>
    <d v="2024-09-23T00:00:00"/>
    <d v="2024-09-28T00:00:00"/>
    <s v="Same Day"/>
    <s v="Uttarakhand"/>
    <n v="404771"/>
    <s v="PROD0002"/>
    <s v="Bread"/>
    <s v="Bread - 217"/>
    <n v="3"/>
    <n v="0.1"/>
    <n v="282.32"/>
  </r>
  <r>
    <s v="CUST0072"/>
    <s v="Deepak"/>
    <s v="Chowdhury"/>
    <d v="1996-08-27T00:00:00"/>
    <n v="206.57"/>
    <n v="2025"/>
    <s v="Small"/>
    <s v="Tier 2"/>
    <s v="Staples"/>
    <s v="North"/>
    <s v="India"/>
    <s v="Consumer"/>
    <x v="266"/>
    <s v="ORD00316"/>
    <d v="2025-05-04T00:00:00"/>
    <d v="2025-05-07T00:00:00"/>
    <s v="First Class"/>
    <s v="Uttarakhand"/>
    <n v="204904"/>
    <s v="PROD0012"/>
    <s v="Rice"/>
    <s v="Rice - 356"/>
    <n v="2"/>
    <n v="0.1"/>
    <n v="40.520000000000003"/>
  </r>
  <r>
    <s v="CUST0073"/>
    <s v="Arjun"/>
    <s v="Mishra"/>
    <d v="1995-12-31T00:00:00"/>
    <n v="2860.42"/>
    <n v="2023"/>
    <s v="Medium"/>
    <s v="Tier 1"/>
    <s v="Beverages"/>
    <s v="South"/>
    <s v="India"/>
    <s v="Corporate"/>
    <x v="125"/>
    <s v="ORD00317"/>
    <d v="2023-03-13T00:00:00"/>
    <d v="2023-03-18T00:00:00"/>
    <s v="Second Class"/>
    <s v="Telangana"/>
    <n v="549112"/>
    <s v="PROD0015"/>
    <s v="Soft Drinks"/>
    <s v="Soft Drinks - 436"/>
    <n v="10"/>
    <n v="0.15"/>
    <n v="644.30999999999995"/>
  </r>
  <r>
    <s v="CUST0073"/>
    <s v="Arjun"/>
    <s v="Mishra"/>
    <d v="1995-12-31T00:00:00"/>
    <n v="1350.21"/>
    <n v="2023"/>
    <s v="Medium"/>
    <s v="Tier 1"/>
    <s v="Dairy"/>
    <s v="South"/>
    <s v="India"/>
    <s v="Corporate"/>
    <x v="218"/>
    <s v="ORD00318"/>
    <d v="2023-07-18T00:00:00"/>
    <d v="2023-07-22T00:00:00"/>
    <s v="First Class"/>
    <s v="Telangana"/>
    <n v="812591"/>
    <s v="PROD0021"/>
    <s v="Milk"/>
    <s v="Milk - 420"/>
    <n v="4"/>
    <n v="0.15"/>
    <n v="367.18"/>
  </r>
  <r>
    <s v="CUST0073"/>
    <s v="Arjun"/>
    <s v="Mishra"/>
    <d v="1995-12-31T00:00:00"/>
    <n v="1937.36"/>
    <n v="2023"/>
    <s v="Small"/>
    <s v="Tier 1"/>
    <s v="Staples"/>
    <s v="South"/>
    <s v="India"/>
    <s v="Corporate"/>
    <x v="187"/>
    <s v="ORD00319"/>
    <d v="2023-11-22T00:00:00"/>
    <d v="2023-11-26T00:00:00"/>
    <s v="First Class"/>
    <s v="Telangana"/>
    <n v="776909"/>
    <s v="PROD0009"/>
    <s v="Wheat Flour"/>
    <s v="Wheat Flour - 998"/>
    <n v="8"/>
    <n v="0"/>
    <n v="547.16999999999996"/>
  </r>
  <r>
    <s v="CUST0074"/>
    <s v="Lakshmi"/>
    <s v="Chowdhury"/>
    <d v="1971-08-24T00:00:00"/>
    <n v="738.32"/>
    <n v="2023"/>
    <s v="Large"/>
    <s v="Tier 2"/>
    <s v="Dairy"/>
    <s v="North"/>
    <s v="India"/>
    <s v="Consumer"/>
    <x v="267"/>
    <s v="ORD00320"/>
    <d v="2023-10-15T00:00:00"/>
    <d v="2023-10-16T00:00:00"/>
    <s v="First Class"/>
    <s v="Uttarakhand"/>
    <n v="138436"/>
    <s v="PROD0005"/>
    <s v="Yogurt"/>
    <s v="Yogurt - 369"/>
    <n v="2"/>
    <n v="0"/>
    <n v="225.1"/>
  </r>
  <r>
    <s v="CUST0074"/>
    <s v="Lakshmi"/>
    <s v="Chowdhury"/>
    <d v="1971-08-24T00:00:00"/>
    <n v="1775.59"/>
    <n v="2025"/>
    <s v="Large"/>
    <s v="Tier 2"/>
    <s v="Snacks"/>
    <s v="North"/>
    <s v="India"/>
    <s v="Consumer"/>
    <x v="268"/>
    <s v="ORD00321"/>
    <d v="2025-04-26T00:00:00"/>
    <d v="2025-04-30T00:00:00"/>
    <s v="Second Class"/>
    <s v="Uttarakhand"/>
    <n v="240384"/>
    <s v="PROD0001"/>
    <s v="Namkeen"/>
    <s v="Namkeen - 656"/>
    <n v="9"/>
    <n v="0.2"/>
    <n v="167.95"/>
  </r>
  <r>
    <s v="CUST0074"/>
    <s v="Lakshmi"/>
    <s v="Chowdhury"/>
    <d v="1971-08-24T00:00:00"/>
    <n v="1331.3"/>
    <n v="2025"/>
    <s v="Small"/>
    <s v="Tier 2"/>
    <s v="Beverages"/>
    <s v="North"/>
    <s v="India"/>
    <s v="Consumer"/>
    <x v="269"/>
    <s v="ORD00322"/>
    <d v="2025-05-11T00:00:00"/>
    <d v="2025-05-16T00:00:00"/>
    <s v="First Class"/>
    <s v="Uttarakhand"/>
    <n v="567896"/>
    <s v="PROD0019"/>
    <s v="Tea"/>
    <s v="Tea - 506"/>
    <n v="6"/>
    <n v="0.15"/>
    <n v="161.97"/>
  </r>
  <r>
    <s v="CUST0074"/>
    <s v="Lakshmi"/>
    <s v="Chowdhury"/>
    <d v="1971-08-24T00:00:00"/>
    <n v="3365.2"/>
    <n v="2025"/>
    <s v="Small"/>
    <s v="Tier 2"/>
    <s v="Dairy"/>
    <s v="North"/>
    <s v="India"/>
    <s v="Consumer"/>
    <x v="270"/>
    <s v="ORD00323"/>
    <d v="2025-05-29T00:00:00"/>
    <d v="2025-06-02T00:00:00"/>
    <s v="First Class"/>
    <s v="Uttarakhand"/>
    <n v="898461"/>
    <s v="PROD0005"/>
    <s v="Yogurt"/>
    <s v="Yogurt - 679"/>
    <n v="10"/>
    <n v="0"/>
    <n v="911.22"/>
  </r>
  <r>
    <s v="CUST0075"/>
    <s v="Riya"/>
    <s v="Singh"/>
    <d v="2000-09-17T00:00:00"/>
    <n v="1175.8"/>
    <n v="2023"/>
    <s v="Small"/>
    <s v="Tier 2"/>
    <s v="Fruits &amp; Vegetables"/>
    <s v="South"/>
    <s v="India"/>
    <s v="Consumer"/>
    <x v="271"/>
    <s v="ORD00324"/>
    <d v="2023-03-06T00:00:00"/>
    <d v="2023-03-07T00:00:00"/>
    <s v="Second Class"/>
    <s v="Karnataka"/>
    <n v="975427"/>
    <s v="PROD0010"/>
    <s v="Bananas"/>
    <s v="Bananas - 630"/>
    <n v="6"/>
    <n v="0.05"/>
    <n v="369.75"/>
  </r>
  <r>
    <s v="CUST0075"/>
    <s v="Riya"/>
    <s v="Singh"/>
    <d v="2000-09-17T00:00:00"/>
    <n v="2510.96"/>
    <n v="2023"/>
    <s v="Large"/>
    <s v="Tier 2"/>
    <s v="Staples"/>
    <s v="South"/>
    <s v="India"/>
    <s v="Consumer"/>
    <x v="272"/>
    <s v="ORD00325"/>
    <d v="2023-08-28T00:00:00"/>
    <d v="2023-08-31T00:00:00"/>
    <s v="Second Class"/>
    <s v="Karnataka"/>
    <n v="494609"/>
    <s v="PROD0009"/>
    <s v="Wheat Flour"/>
    <s v="Wheat Flour - 692"/>
    <n v="9"/>
    <n v="0.05"/>
    <n v="617.95000000000005"/>
  </r>
  <r>
    <s v="CUST0075"/>
    <s v="Riya"/>
    <s v="Singh"/>
    <d v="2000-09-17T00:00:00"/>
    <n v="1446.03"/>
    <n v="2023"/>
    <s v="Medium"/>
    <s v="Tier 2"/>
    <s v="Dairy"/>
    <s v="South"/>
    <s v="India"/>
    <s v="Consumer"/>
    <x v="212"/>
    <s v="ORD00326"/>
    <d v="2023-09-28T00:00:00"/>
    <d v="2023-09-29T00:00:00"/>
    <s v="First Class"/>
    <s v="Karnataka"/>
    <n v="341162"/>
    <s v="PROD0013"/>
    <s v="Butter"/>
    <s v="Butter - 461"/>
    <n v="6"/>
    <n v="0.05"/>
    <n v="457.16"/>
  </r>
  <r>
    <s v="CUST0075"/>
    <s v="Riya"/>
    <s v="Singh"/>
    <d v="2000-09-17T00:00:00"/>
    <n v="329.13"/>
    <n v="2024"/>
    <s v="Medium"/>
    <s v="Tier 2"/>
    <s v="Fruits &amp; Vegetables"/>
    <s v="South"/>
    <s v="India"/>
    <s v="Consumer"/>
    <x v="61"/>
    <s v="ORD00327"/>
    <d v="2024-01-14T00:00:00"/>
    <d v="2024-01-15T00:00:00"/>
    <s v="Second Class"/>
    <s v="Karnataka"/>
    <n v="855242"/>
    <s v="PROD0014"/>
    <s v="Tomatoes"/>
    <s v="Tomatoes - 316"/>
    <n v="3"/>
    <n v="0"/>
    <n v="75.900000000000006"/>
  </r>
  <r>
    <s v="CUST0076"/>
    <s v="Zainab"/>
    <s v="Menon"/>
    <d v="1994-12-02T00:00:00"/>
    <n v="942.44"/>
    <n v="2024"/>
    <s v="Large"/>
    <s v="Tier 2"/>
    <s v="Beverages"/>
    <s v="South"/>
    <s v="India"/>
    <s v="Home Office"/>
    <x v="273"/>
    <s v="ORD00328"/>
    <d v="2024-05-05T00:00:00"/>
    <d v="2024-05-06T00:00:00"/>
    <s v="First Class"/>
    <s v="Andhra Pradesh"/>
    <n v="241268"/>
    <s v="PROD0017"/>
    <s v="Coffee"/>
    <s v="Coffee - 704"/>
    <n v="3"/>
    <n v="0.05"/>
    <n v="53.47"/>
  </r>
  <r>
    <s v="CUST0076"/>
    <s v="Zainab"/>
    <s v="Menon"/>
    <d v="1994-12-02T00:00:00"/>
    <n v="905"/>
    <n v="2024"/>
    <s v="Medium"/>
    <s v="Tier 2"/>
    <s v="Staples"/>
    <s v="South"/>
    <s v="India"/>
    <s v="Home Office"/>
    <x v="67"/>
    <s v="ORD00329"/>
    <d v="2024-11-22T00:00:00"/>
    <d v="2024-11-24T00:00:00"/>
    <s v="Same Day"/>
    <s v="Andhra Pradesh"/>
    <n v="854500"/>
    <s v="PROD0003"/>
    <s v="Pulses"/>
    <s v="Pulses - 140"/>
    <n v="10"/>
    <n v="0"/>
    <n v="115.37"/>
  </r>
  <r>
    <s v="CUST0077"/>
    <s v="Sandeep"/>
    <s v="Shetty"/>
    <d v="1998-08-15T00:00:00"/>
    <n v="651.97"/>
    <n v="2023"/>
    <s v="Small"/>
    <s v="Tier 1"/>
    <s v="Snacks"/>
    <s v="South"/>
    <s v="India"/>
    <s v="Consumer"/>
    <x v="111"/>
    <s v="ORD00330"/>
    <d v="2023-03-29T00:00:00"/>
    <d v="2023-03-31T00:00:00"/>
    <s v="Second Class"/>
    <s v="Telangana"/>
    <n v="275868"/>
    <s v="PROD0001"/>
    <s v="Namkeen"/>
    <s v="Namkeen - 988"/>
    <n v="8"/>
    <n v="0.2"/>
    <n v="112.94"/>
  </r>
  <r>
    <s v="CUST0077"/>
    <s v="Sandeep"/>
    <s v="Shetty"/>
    <d v="1998-08-15T00:00:00"/>
    <n v="2450.7199999999998"/>
    <n v="2023"/>
    <s v="Small"/>
    <s v="Tier 1"/>
    <s v="Staples"/>
    <s v="South"/>
    <s v="India"/>
    <s v="Consumer"/>
    <x v="274"/>
    <s v="ORD00331"/>
    <d v="2023-08-10T00:00:00"/>
    <d v="2023-08-14T00:00:00"/>
    <s v="Same Day"/>
    <s v="Telangana"/>
    <n v="312177"/>
    <s v="PROD0003"/>
    <s v="Pulses"/>
    <s v="Pulses - 450"/>
    <n v="8"/>
    <n v="0"/>
    <n v="291.5"/>
  </r>
  <r>
    <s v="CUST0077"/>
    <s v="Sandeep"/>
    <s v="Shetty"/>
    <d v="1998-08-15T00:00:00"/>
    <n v="2625.4"/>
    <n v="2023"/>
    <s v="Large"/>
    <s v="Tier 1"/>
    <s v="Snacks"/>
    <s v="South"/>
    <s v="India"/>
    <s v="Consumer"/>
    <x v="275"/>
    <s v="ORD00332"/>
    <d v="2023-10-18T00:00:00"/>
    <d v="2023-10-22T00:00:00"/>
    <s v="Same Day"/>
    <s v="Telangana"/>
    <n v="921945"/>
    <s v="PROD0004"/>
    <s v="Biscuits"/>
    <s v="Biscuits - 800"/>
    <n v="7"/>
    <n v="0.1"/>
    <n v="207.12"/>
  </r>
  <r>
    <s v="CUST0077"/>
    <s v="Sandeep"/>
    <s v="Shetty"/>
    <d v="1998-08-15T00:00:00"/>
    <n v="110.04"/>
    <n v="2024"/>
    <s v="Small"/>
    <s v="Tier 1"/>
    <s v="Snacks"/>
    <s v="South"/>
    <s v="India"/>
    <s v="Consumer"/>
    <x v="276"/>
    <s v="ORD00333"/>
    <d v="2024-04-04T00:00:00"/>
    <d v="2024-04-09T00:00:00"/>
    <s v="Standard Class"/>
    <s v="Telangana"/>
    <n v="647403"/>
    <s v="PROD0004"/>
    <s v="Biscuits"/>
    <s v="Biscuits - 870"/>
    <n v="2"/>
    <n v="0.15"/>
    <n v="9.8000000000000007"/>
  </r>
  <r>
    <s v="CUST0077"/>
    <s v="Sandeep"/>
    <s v="Shetty"/>
    <d v="1998-08-15T00:00:00"/>
    <n v="337.13"/>
    <n v="2025"/>
    <s v="Medium"/>
    <s v="Tier 1"/>
    <s v="Beverages"/>
    <s v="South"/>
    <s v="India"/>
    <s v="Consumer"/>
    <x v="277"/>
    <s v="ORD00334"/>
    <d v="2025-04-21T00:00:00"/>
    <d v="2025-04-25T00:00:00"/>
    <s v="Same Day"/>
    <s v="Telangana"/>
    <n v="546157"/>
    <s v="PROD0011"/>
    <s v="Juice"/>
    <s v="Juice - 995"/>
    <n v="1"/>
    <n v="0.05"/>
    <n v="40.07"/>
  </r>
  <r>
    <s v="CUST0078"/>
    <s v="Diya"/>
    <s v="Mishra"/>
    <d v="1983-07-01T00:00:00"/>
    <n v="4188.07"/>
    <n v="2024"/>
    <s v="Large"/>
    <s v="Tier 1"/>
    <s v="Dairy"/>
    <s v="South"/>
    <s v="India"/>
    <s v="Home Office"/>
    <x v="173"/>
    <s v="ORD00335"/>
    <d v="2024-05-03T00:00:00"/>
    <d v="2024-05-04T00:00:00"/>
    <s v="Same Day"/>
    <s v="Tamil Nadu"/>
    <n v="645009"/>
    <s v="PROD0021"/>
    <s v="Milk"/>
    <s v="Milk - 390"/>
    <n v="10"/>
    <n v="0.05"/>
    <n v="533.32000000000005"/>
  </r>
  <r>
    <s v="CUST0078"/>
    <s v="Diya"/>
    <s v="Mishra"/>
    <d v="1983-07-01T00:00:00"/>
    <n v="1400.52"/>
    <n v="2025"/>
    <s v="Medium"/>
    <s v="Tier 1"/>
    <s v="Fruits &amp; Vegetables"/>
    <s v="South"/>
    <s v="India"/>
    <s v="Home Office"/>
    <x v="278"/>
    <s v="ORD00336"/>
    <d v="2025-02-23T00:00:00"/>
    <d v="2025-02-24T00:00:00"/>
    <s v="Second Class"/>
    <s v="Tamil Nadu"/>
    <n v="373995"/>
    <s v="PROD0008"/>
    <s v="Onions"/>
    <s v="Onions - 770"/>
    <n v="4"/>
    <n v="0"/>
    <n v="241.8"/>
  </r>
  <r>
    <s v="CUST0079"/>
    <s v="Amit"/>
    <s v="Deshmukh"/>
    <d v="1983-06-21T00:00:00"/>
    <n v="3387.68"/>
    <n v="2023"/>
    <s v="Medium"/>
    <s v="Tier 2"/>
    <s v="Beverages"/>
    <s v="West"/>
    <s v="India"/>
    <s v="Consumer"/>
    <x v="279"/>
    <s v="ORD00337"/>
    <d v="2023-10-10T00:00:00"/>
    <d v="2023-10-15T00:00:00"/>
    <s v="Second Class"/>
    <s v="Rajasthan"/>
    <n v="421549"/>
    <s v="PROD0017"/>
    <s v="Coffee"/>
    <s v="Coffee - 523"/>
    <n v="9"/>
    <n v="0.05"/>
    <n v="351.02"/>
  </r>
  <r>
    <s v="CUST0079"/>
    <s v="Amit"/>
    <s v="Deshmukh"/>
    <d v="1983-06-21T00:00:00"/>
    <n v="2089.81"/>
    <n v="2024"/>
    <s v="Medium"/>
    <s v="Tier 2"/>
    <s v="Snacks"/>
    <s v="West"/>
    <s v="India"/>
    <s v="Consumer"/>
    <x v="280"/>
    <s v="ORD00338"/>
    <d v="2024-01-10T00:00:00"/>
    <d v="2024-01-11T00:00:00"/>
    <s v="First Class"/>
    <s v="Rajasthan"/>
    <n v="205149"/>
    <s v="PROD0001"/>
    <s v="Namkeen"/>
    <s v="Namkeen - 892"/>
    <n v="7"/>
    <n v="0.2"/>
    <n v="646.05999999999995"/>
  </r>
  <r>
    <s v="CUST0079"/>
    <s v="Amit"/>
    <s v="Deshmukh"/>
    <d v="1983-06-21T00:00:00"/>
    <n v="2183.81"/>
    <n v="2024"/>
    <s v="Medium"/>
    <s v="Tier 2"/>
    <s v="Dairy"/>
    <s v="West"/>
    <s v="India"/>
    <s v="Consumer"/>
    <x v="220"/>
    <s v="ORD00339"/>
    <d v="2024-03-09T00:00:00"/>
    <d v="2024-03-10T00:00:00"/>
    <s v="Same Day"/>
    <s v="Rajasthan"/>
    <n v="943442"/>
    <s v="PROD0013"/>
    <s v="Butter"/>
    <s v="Butter - 904"/>
    <n v="6"/>
    <n v="0.1"/>
    <n v="565.86"/>
  </r>
  <r>
    <s v="CUST0079"/>
    <s v="Amit"/>
    <s v="Deshmukh"/>
    <d v="1983-06-21T00:00:00"/>
    <n v="2289.8000000000002"/>
    <n v="2024"/>
    <s v="Large"/>
    <s v="Tier 2"/>
    <s v="Fruits &amp; Vegetables"/>
    <s v="West"/>
    <s v="India"/>
    <s v="Consumer"/>
    <x v="281"/>
    <s v="ORD00340"/>
    <d v="2024-08-01T00:00:00"/>
    <d v="2024-08-04T00:00:00"/>
    <s v="Same Day"/>
    <s v="Rajasthan"/>
    <n v="859687"/>
    <s v="PROD0010"/>
    <s v="Bananas"/>
    <s v="Bananas - 582"/>
    <n v="10"/>
    <n v="0"/>
    <n v="295.22000000000003"/>
  </r>
  <r>
    <s v="CUST0079"/>
    <s v="Amit"/>
    <s v="Deshmukh"/>
    <d v="1983-06-21T00:00:00"/>
    <n v="1275.83"/>
    <n v="2024"/>
    <s v="Medium"/>
    <s v="Tier 2"/>
    <s v="Beverages"/>
    <s v="West"/>
    <s v="India"/>
    <s v="Consumer"/>
    <x v="282"/>
    <s v="ORD00341"/>
    <d v="2024-09-18T00:00:00"/>
    <d v="2024-09-20T00:00:00"/>
    <s v="Standard Class"/>
    <s v="Rajasthan"/>
    <n v="111230"/>
    <s v="PROD0015"/>
    <s v="Soft Drinks"/>
    <s v="Soft Drinks - 728"/>
    <n v="9"/>
    <n v="0.1"/>
    <n v="85.79"/>
  </r>
  <r>
    <s v="CUST0079"/>
    <s v="Amit"/>
    <s v="Deshmukh"/>
    <d v="1983-06-21T00:00:00"/>
    <n v="356.67"/>
    <n v="2024"/>
    <s v="Small"/>
    <s v="Tier 2"/>
    <s v="Dairy"/>
    <s v="West"/>
    <s v="India"/>
    <s v="Consumer"/>
    <x v="283"/>
    <s v="ORD00342"/>
    <d v="2024-11-27T00:00:00"/>
    <d v="2024-11-29T00:00:00"/>
    <s v="Same Day"/>
    <s v="Rajasthan"/>
    <n v="477214"/>
    <s v="PROD0020"/>
    <s v="Paneer"/>
    <s v="Paneer - 299"/>
    <n v="1"/>
    <n v="0.1"/>
    <n v="73.03"/>
  </r>
  <r>
    <s v="CUST0080"/>
    <s v="Ayesha"/>
    <s v="Nair"/>
    <d v="1982-02-28T00:00:00"/>
    <n v="1260.17"/>
    <n v="2023"/>
    <s v="Small"/>
    <s v="Tier 2"/>
    <s v="Fruits &amp; Vegetables"/>
    <s v="South"/>
    <s v="India"/>
    <s v="Consumer"/>
    <x v="247"/>
    <s v="ORD00343"/>
    <d v="2023-01-01T00:00:00"/>
    <d v="2023-01-03T00:00:00"/>
    <s v="Same Day"/>
    <s v="Karnataka"/>
    <n v="194545"/>
    <s v="PROD0014"/>
    <s v="Tomatoes"/>
    <s v="Tomatoes - 898"/>
    <n v="7"/>
    <n v="0.05"/>
    <n v="216.29"/>
  </r>
  <r>
    <s v="CUST0080"/>
    <s v="Ayesha"/>
    <s v="Nair"/>
    <d v="1982-02-28T00:00:00"/>
    <n v="4132.8"/>
    <n v="2023"/>
    <s v="Large"/>
    <s v="Tier 2"/>
    <s v="Snacks"/>
    <s v="South"/>
    <s v="India"/>
    <s v="Consumer"/>
    <x v="284"/>
    <s v="ORD00344"/>
    <d v="2023-06-11T00:00:00"/>
    <d v="2023-06-14T00:00:00"/>
    <s v="First Class"/>
    <s v="Karnataka"/>
    <n v="576849"/>
    <s v="PROD0001"/>
    <s v="Namkeen"/>
    <s v="Namkeen - 843"/>
    <n v="9"/>
    <n v="0"/>
    <n v="637.45000000000005"/>
  </r>
  <r>
    <s v="CUST0081"/>
    <s v="Saanvi"/>
    <s v="Kulkarni"/>
    <d v="1985-08-25T00:00:00"/>
    <n v="915.9"/>
    <n v="2023"/>
    <s v="Large"/>
    <s v="Tier 2"/>
    <s v="Snacks"/>
    <s v="North"/>
    <s v="India"/>
    <s v="Consumer"/>
    <x v="285"/>
    <s v="ORD00345"/>
    <d v="2023-01-05T00:00:00"/>
    <d v="2023-01-08T00:00:00"/>
    <s v="Standard Class"/>
    <s v="Haryana"/>
    <n v="495397"/>
    <s v="PROD0007"/>
    <s v="Chips"/>
    <s v="Chips - 615"/>
    <n v="5"/>
    <n v="0"/>
    <n v="266.42"/>
  </r>
  <r>
    <s v="CUST0081"/>
    <s v="Saanvi"/>
    <s v="Kulkarni"/>
    <d v="1985-08-25T00:00:00"/>
    <n v="1227.49"/>
    <n v="2023"/>
    <s v="Small"/>
    <s v="Tier 2"/>
    <s v="Snacks"/>
    <s v="North"/>
    <s v="India"/>
    <s v="Consumer"/>
    <x v="101"/>
    <s v="ORD00346"/>
    <d v="2023-04-20T00:00:00"/>
    <d v="2023-04-24T00:00:00"/>
    <s v="Standard Class"/>
    <s v="Haryana"/>
    <n v="221916"/>
    <s v="PROD0001"/>
    <s v="Namkeen"/>
    <s v="Namkeen - 888"/>
    <n v="4"/>
    <n v="0.2"/>
    <n v="230.34"/>
  </r>
  <r>
    <s v="CUST0081"/>
    <s v="Saanvi"/>
    <s v="Kulkarni"/>
    <d v="1985-08-25T00:00:00"/>
    <n v="1379.68"/>
    <n v="2023"/>
    <s v="Large"/>
    <s v="Tier 2"/>
    <s v="Bakery"/>
    <s v="North"/>
    <s v="India"/>
    <s v="Consumer"/>
    <x v="39"/>
    <s v="ORD00347"/>
    <d v="2023-06-29T00:00:00"/>
    <d v="2023-07-03T00:00:00"/>
    <s v="Same Day"/>
    <s v="Haryana"/>
    <n v="834861"/>
    <s v="PROD0002"/>
    <s v="Bread"/>
    <s v="Bread - 491"/>
    <n v="4"/>
    <n v="0"/>
    <n v="400.17"/>
  </r>
  <r>
    <s v="CUST0081"/>
    <s v="Saanvi"/>
    <s v="Kulkarni"/>
    <d v="1985-08-25T00:00:00"/>
    <n v="359.53"/>
    <n v="2023"/>
    <s v="Medium"/>
    <s v="Tier 2"/>
    <s v="Bakery"/>
    <s v="North"/>
    <s v="India"/>
    <s v="Consumer"/>
    <x v="286"/>
    <s v="ORD00348"/>
    <d v="2023-09-25T00:00:00"/>
    <d v="2023-09-26T00:00:00"/>
    <s v="Second Class"/>
    <s v="Haryana"/>
    <n v="470711"/>
    <s v="PROD0002"/>
    <s v="Bread"/>
    <s v="Bread - 394"/>
    <n v="2"/>
    <n v="0.15"/>
    <n v="106.54"/>
  </r>
  <r>
    <s v="CUST0081"/>
    <s v="Saanvi"/>
    <s v="Kulkarni"/>
    <d v="1985-08-25T00:00:00"/>
    <n v="1038.08"/>
    <n v="2024"/>
    <s v="Small"/>
    <s v="Tier 2"/>
    <s v="Dairy"/>
    <s v="North"/>
    <s v="India"/>
    <s v="Consumer"/>
    <x v="83"/>
    <s v="ORD00349"/>
    <d v="2024-02-21T00:00:00"/>
    <d v="2024-02-23T00:00:00"/>
    <s v="First Class"/>
    <s v="Haryana"/>
    <n v="312616"/>
    <s v="PROD0020"/>
    <s v="Paneer"/>
    <s v="Paneer - 287"/>
    <n v="4"/>
    <n v="0"/>
    <n v="125.05"/>
  </r>
  <r>
    <s v="CUST0081"/>
    <s v="Saanvi"/>
    <s v="Kulkarni"/>
    <d v="1985-08-25T00:00:00"/>
    <n v="155.08000000000001"/>
    <n v="2024"/>
    <s v="Small"/>
    <s v="Tier 2"/>
    <s v="Dairy"/>
    <s v="North"/>
    <s v="India"/>
    <s v="Consumer"/>
    <x v="287"/>
    <s v="ORD00350"/>
    <d v="2024-06-02T00:00:00"/>
    <d v="2024-06-06T00:00:00"/>
    <s v="Same Day"/>
    <s v="Haryana"/>
    <n v="989203"/>
    <s v="PROD0020"/>
    <s v="Paneer"/>
    <s v="Paneer - 259"/>
    <n v="2"/>
    <n v="0"/>
    <n v="39.200000000000003"/>
  </r>
  <r>
    <s v="CUST0081"/>
    <s v="Saanvi"/>
    <s v="Kulkarni"/>
    <d v="1985-08-25T00:00:00"/>
    <n v="1384.13"/>
    <n v="2024"/>
    <s v="Large"/>
    <s v="Tier 2"/>
    <s v="Beverages"/>
    <s v="North"/>
    <s v="India"/>
    <s v="Consumer"/>
    <x v="288"/>
    <s v="ORD00351"/>
    <d v="2024-08-11T00:00:00"/>
    <d v="2024-08-15T00:00:00"/>
    <s v="Second Class"/>
    <s v="Haryana"/>
    <n v="517206"/>
    <s v="PROD0011"/>
    <s v="Juice"/>
    <s v="Juice - 735"/>
    <n v="6"/>
    <n v="0.1"/>
    <n v="429.95"/>
  </r>
  <r>
    <s v="CUST0082"/>
    <s v="Kavya"/>
    <s v="Sharma"/>
    <d v="1994-08-10T00:00:00"/>
    <n v="320.67"/>
    <n v="2023"/>
    <s v="Small"/>
    <s v="Tier 2"/>
    <s v="Fruits &amp; Vegetables"/>
    <s v="West"/>
    <s v="India"/>
    <s v="Corporate"/>
    <x v="289"/>
    <s v="ORD00352"/>
    <d v="2023-05-12T00:00:00"/>
    <d v="2023-05-14T00:00:00"/>
    <s v="Standard Class"/>
    <s v="Gujarat"/>
    <n v="430984"/>
    <s v="PROD0008"/>
    <s v="Onions"/>
    <s v="Onions - 589"/>
    <n v="9"/>
    <n v="0"/>
    <n v="53.91"/>
  </r>
  <r>
    <s v="CUST0082"/>
    <s v="Kavya"/>
    <s v="Sharma"/>
    <d v="1994-08-10T00:00:00"/>
    <n v="808.52"/>
    <n v="2024"/>
    <s v="Small"/>
    <s v="Tier 2"/>
    <s v="Staples"/>
    <s v="West"/>
    <s v="India"/>
    <s v="Corporate"/>
    <x v="290"/>
    <s v="ORD00353"/>
    <d v="2024-08-13T00:00:00"/>
    <d v="2024-08-18T00:00:00"/>
    <s v="Second Class"/>
    <s v="Gujarat"/>
    <n v="348658"/>
    <s v="PROD0012"/>
    <s v="Rice"/>
    <s v="Rice - 112"/>
    <n v="4"/>
    <n v="0"/>
    <n v="119.36"/>
  </r>
  <r>
    <s v="CUST0083"/>
    <s v="Anika"/>
    <s v="Pandey"/>
    <d v="1968-02-12T00:00:00"/>
    <n v="707.71"/>
    <n v="2023"/>
    <s v="Medium"/>
    <s v="Tier 2"/>
    <s v="Dairy"/>
    <s v="West"/>
    <s v="India"/>
    <s v="Home Office"/>
    <x v="291"/>
    <s v="ORD00354"/>
    <d v="2023-12-18T00:00:00"/>
    <d v="2023-12-22T00:00:00"/>
    <s v="First Class"/>
    <s v="Goa"/>
    <n v="699166"/>
    <s v="PROD0013"/>
    <s v="Butter"/>
    <s v="Butter - 534"/>
    <n v="4"/>
    <n v="0.2"/>
    <n v="114.43"/>
  </r>
  <r>
    <s v="CUST0083"/>
    <s v="Anika"/>
    <s v="Pandey"/>
    <d v="1968-02-12T00:00:00"/>
    <n v="585.58000000000004"/>
    <n v="2024"/>
    <s v="Small"/>
    <s v="Tier 2"/>
    <s v="Dairy"/>
    <s v="West"/>
    <s v="India"/>
    <s v="Home Office"/>
    <x v="292"/>
    <s v="ORD00355"/>
    <d v="2024-01-10T00:00:00"/>
    <d v="2024-01-14T00:00:00"/>
    <s v="First Class"/>
    <s v="Goa"/>
    <n v="938900"/>
    <s v="PROD0005"/>
    <s v="Yogurt"/>
    <s v="Yogurt - 933"/>
    <n v="2"/>
    <n v="0.2"/>
    <n v="70.7"/>
  </r>
  <r>
    <s v="CUST0083"/>
    <s v="Anika"/>
    <s v="Pandey"/>
    <d v="1968-02-12T00:00:00"/>
    <n v="99.53"/>
    <n v="2024"/>
    <s v="Large"/>
    <s v="Tier 2"/>
    <s v="Staples"/>
    <s v="West"/>
    <s v="India"/>
    <s v="Home Office"/>
    <x v="258"/>
    <s v="ORD00356"/>
    <d v="2024-09-19T00:00:00"/>
    <d v="2024-09-24T00:00:00"/>
    <s v="Second Class"/>
    <s v="Goa"/>
    <n v="923481"/>
    <s v="PROD0012"/>
    <s v="Rice"/>
    <s v="Rice - 584"/>
    <n v="1"/>
    <n v="0.05"/>
    <n v="8.99"/>
  </r>
  <r>
    <s v="CUST0084"/>
    <s v="Pooja"/>
    <s v="Das"/>
    <d v="1995-06-26T00:00:00"/>
    <n v="117.17"/>
    <n v="2023"/>
    <s v="Large"/>
    <s v="Tier 2"/>
    <s v="Fruits &amp; Vegetables"/>
    <s v="East"/>
    <s v="India"/>
    <s v="Consumer"/>
    <x v="293"/>
    <s v="ORD00357"/>
    <d v="2023-09-14T00:00:00"/>
    <d v="2023-09-15T00:00:00"/>
    <s v="Second Class"/>
    <s v="Jharkhand"/>
    <n v="372387"/>
    <s v="PROD0008"/>
    <s v="Onions"/>
    <s v="Onions - 201"/>
    <n v="3"/>
    <n v="0.2"/>
    <n v="14.8"/>
  </r>
  <r>
    <s v="CUST0084"/>
    <s v="Pooja"/>
    <s v="Das"/>
    <d v="1995-06-26T00:00:00"/>
    <n v="4205.6099999999997"/>
    <n v="2024"/>
    <s v="Medium"/>
    <s v="Tier 2"/>
    <s v="Bakery"/>
    <s v="East"/>
    <s v="India"/>
    <s v="Consumer"/>
    <x v="294"/>
    <s v="ORD00358"/>
    <d v="2024-07-29T00:00:00"/>
    <d v="2024-08-02T00:00:00"/>
    <s v="First Class"/>
    <s v="Jharkhand"/>
    <n v="704875"/>
    <s v="PROD0018"/>
    <s v="Buns"/>
    <s v="Buns - 673"/>
    <n v="9"/>
    <n v="0"/>
    <n v="644.48"/>
  </r>
  <r>
    <s v="CUST0084"/>
    <s v="Pooja"/>
    <s v="Das"/>
    <d v="1995-06-26T00:00:00"/>
    <n v="747.22"/>
    <n v="2024"/>
    <s v="Large"/>
    <s v="Tier 2"/>
    <s v="Snacks"/>
    <s v="East"/>
    <s v="India"/>
    <s v="Consumer"/>
    <x v="160"/>
    <s v="ORD00359"/>
    <d v="2024-08-04T00:00:00"/>
    <d v="2024-08-07T00:00:00"/>
    <s v="Standard Class"/>
    <s v="Jharkhand"/>
    <n v="182216"/>
    <s v="PROD0004"/>
    <s v="Biscuits"/>
    <s v="Biscuits - 764"/>
    <n v="9"/>
    <n v="0.2"/>
    <n v="101.16"/>
  </r>
  <r>
    <s v="CUST0084"/>
    <s v="Pooja"/>
    <s v="Das"/>
    <d v="1995-06-26T00:00:00"/>
    <n v="1113.74"/>
    <n v="2025"/>
    <s v="Large"/>
    <s v="Tier 2"/>
    <s v="Beverages"/>
    <s v="East"/>
    <s v="India"/>
    <s v="Consumer"/>
    <x v="295"/>
    <s v="ORD00360"/>
    <d v="2025-05-29T00:00:00"/>
    <d v="2025-06-01T00:00:00"/>
    <s v="Standard Class"/>
    <s v="Jharkhand"/>
    <n v="990136"/>
    <s v="PROD0011"/>
    <s v="Juice"/>
    <s v="Juice - 574"/>
    <n v="3"/>
    <n v="0.15"/>
    <n v="325.56"/>
  </r>
  <r>
    <s v="CUST0085"/>
    <s v="Krishna"/>
    <s v="Mishra"/>
    <d v="1976-09-19T00:00:00"/>
    <n v="3294.3"/>
    <n v="2023"/>
    <s v="Medium"/>
    <s v="Tier 2"/>
    <s v="Bakery"/>
    <s v="West"/>
    <s v="India"/>
    <s v="Corporate"/>
    <x v="296"/>
    <s v="ORD00361"/>
    <d v="2023-03-23T00:00:00"/>
    <d v="2023-03-26T00:00:00"/>
    <s v="First Class"/>
    <s v="Maharashtra"/>
    <n v="292818"/>
    <s v="PROD0006"/>
    <s v="Cookies"/>
    <s v="Cookies - 373"/>
    <n v="10"/>
    <n v="0"/>
    <n v="1042.01"/>
  </r>
  <r>
    <s v="CUST0085"/>
    <s v="Krishna"/>
    <s v="Mishra"/>
    <d v="1976-09-19T00:00:00"/>
    <n v="1148.42"/>
    <n v="2023"/>
    <s v="Small"/>
    <s v="Tier 2"/>
    <s v="Fruits &amp; Vegetables"/>
    <s v="West"/>
    <s v="India"/>
    <s v="Corporate"/>
    <x v="297"/>
    <s v="ORD00362"/>
    <d v="2023-06-15T00:00:00"/>
    <d v="2023-06-16T00:00:00"/>
    <s v="Standard Class"/>
    <s v="Maharashtra"/>
    <n v="208013"/>
    <s v="PROD0010"/>
    <s v="Bananas"/>
    <s v="Bananas - 845"/>
    <n v="4"/>
    <n v="0.15"/>
    <n v="298.83"/>
  </r>
  <r>
    <s v="CUST0085"/>
    <s v="Krishna"/>
    <s v="Mishra"/>
    <d v="1976-09-19T00:00:00"/>
    <n v="2266"/>
    <n v="2023"/>
    <s v="Small"/>
    <s v="Tier 2"/>
    <s v="Fruits &amp; Vegetables"/>
    <s v="West"/>
    <s v="India"/>
    <s v="Corporate"/>
    <x v="298"/>
    <s v="ORD00363"/>
    <d v="2023-08-22T00:00:00"/>
    <d v="2023-08-27T00:00:00"/>
    <s v="Second Class"/>
    <s v="Maharashtra"/>
    <n v="748127"/>
    <s v="PROD0016"/>
    <s v="Apples"/>
    <s v="Apples - 999"/>
    <n v="8"/>
    <n v="0"/>
    <n v="637.38"/>
  </r>
  <r>
    <s v="CUST0085"/>
    <s v="Krishna"/>
    <s v="Mishra"/>
    <d v="1976-09-19T00:00:00"/>
    <n v="1179.5"/>
    <n v="2023"/>
    <s v="Small"/>
    <s v="Tier 2"/>
    <s v="Dairy"/>
    <s v="West"/>
    <s v="India"/>
    <s v="Corporate"/>
    <x v="299"/>
    <s v="ORD00364"/>
    <d v="2023-11-18T00:00:00"/>
    <d v="2023-11-22T00:00:00"/>
    <s v="First Class"/>
    <s v="Maharashtra"/>
    <n v="129959"/>
    <s v="PROD0021"/>
    <s v="Milk"/>
    <s v="Milk - 770"/>
    <n v="7"/>
    <n v="0"/>
    <n v="319.97000000000003"/>
  </r>
  <r>
    <s v="CUST0085"/>
    <s v="Krishna"/>
    <s v="Mishra"/>
    <d v="1976-09-19T00:00:00"/>
    <n v="2478.59"/>
    <n v="2023"/>
    <s v="Large"/>
    <s v="Tier 2"/>
    <s v="Fruits &amp; Vegetables"/>
    <s v="West"/>
    <s v="India"/>
    <s v="Corporate"/>
    <x v="19"/>
    <s v="ORD00365"/>
    <d v="2023-11-21T00:00:00"/>
    <d v="2023-11-26T00:00:00"/>
    <s v="Standard Class"/>
    <s v="Maharashtra"/>
    <n v="241678"/>
    <s v="PROD0014"/>
    <s v="Tomatoes"/>
    <s v="Tomatoes - 981"/>
    <n v="6"/>
    <n v="0.05"/>
    <n v="848.9"/>
  </r>
  <r>
    <s v="CUST0085"/>
    <s v="Krishna"/>
    <s v="Mishra"/>
    <d v="1976-09-19T00:00:00"/>
    <n v="2608.14"/>
    <n v="2023"/>
    <s v="Large"/>
    <s v="Tier 2"/>
    <s v="Staples"/>
    <s v="West"/>
    <s v="India"/>
    <s v="Corporate"/>
    <x v="189"/>
    <s v="ORD00366"/>
    <d v="2023-12-18T00:00:00"/>
    <d v="2023-12-23T00:00:00"/>
    <s v="Second Class"/>
    <s v="Maharashtra"/>
    <n v="464032"/>
    <s v="PROD0003"/>
    <s v="Pulses"/>
    <s v="Pulses - 281"/>
    <n v="10"/>
    <n v="0.15"/>
    <n v="716.39"/>
  </r>
  <r>
    <s v="CUST0085"/>
    <s v="Krishna"/>
    <s v="Mishra"/>
    <d v="1976-09-19T00:00:00"/>
    <n v="464.18"/>
    <n v="2024"/>
    <s v="Small"/>
    <s v="Tier 2"/>
    <s v="Beverages"/>
    <s v="West"/>
    <s v="India"/>
    <s v="Corporate"/>
    <x v="226"/>
    <s v="ORD00367"/>
    <d v="2024-10-30T00:00:00"/>
    <d v="2024-11-01T00:00:00"/>
    <s v="Same Day"/>
    <s v="Maharashtra"/>
    <n v="648736"/>
    <s v="PROD0017"/>
    <s v="Coffee"/>
    <s v="Coffee - 924"/>
    <n v="2"/>
    <n v="0"/>
    <n v="80.61"/>
  </r>
  <r>
    <s v="CUST0086"/>
    <s v="Aditya"/>
    <s v="Nair"/>
    <d v="1991-10-06T00:00:00"/>
    <n v="1048.3800000000001"/>
    <n v="2023"/>
    <s v="Small"/>
    <s v="Tier 2"/>
    <s v="Fruits &amp; Vegetables"/>
    <s v="North"/>
    <s v="India"/>
    <s v="Home Office"/>
    <x v="300"/>
    <s v="ORD00368"/>
    <d v="2023-05-20T00:00:00"/>
    <d v="2023-05-23T00:00:00"/>
    <s v="Second Class"/>
    <s v="Uttarakhand"/>
    <n v="297731"/>
    <s v="PROD0008"/>
    <s v="Onions"/>
    <s v="Onions - 873"/>
    <n v="8"/>
    <n v="0.2"/>
    <n v="187.8"/>
  </r>
  <r>
    <s v="CUST0086"/>
    <s v="Aditya"/>
    <s v="Nair"/>
    <d v="1991-10-06T00:00:00"/>
    <n v="334.46"/>
    <n v="2023"/>
    <s v="Medium"/>
    <s v="Tier 2"/>
    <s v="Beverages"/>
    <s v="North"/>
    <s v="India"/>
    <s v="Home Office"/>
    <x v="275"/>
    <s v="ORD00369"/>
    <d v="2023-10-21T00:00:00"/>
    <d v="2023-10-25T00:00:00"/>
    <s v="Same Day"/>
    <s v="Uttarakhand"/>
    <n v="542750"/>
    <s v="PROD0015"/>
    <s v="Soft Drinks"/>
    <s v="Soft Drinks - 504"/>
    <n v="4"/>
    <n v="0.15"/>
    <n v="81.540000000000006"/>
  </r>
  <r>
    <s v="CUST0086"/>
    <s v="Aditya"/>
    <s v="Nair"/>
    <d v="1991-10-06T00:00:00"/>
    <n v="3464.94"/>
    <n v="2023"/>
    <s v="Medium"/>
    <s v="Tier 2"/>
    <s v="Staples"/>
    <s v="North"/>
    <s v="India"/>
    <s v="Home Office"/>
    <x v="189"/>
    <s v="ORD00370"/>
    <d v="2023-12-19T00:00:00"/>
    <d v="2023-12-24T00:00:00"/>
    <s v="First Class"/>
    <s v="Uttarakhand"/>
    <n v="994940"/>
    <s v="PROD0012"/>
    <s v="Rice"/>
    <s v="Rice - 629"/>
    <n v="10"/>
    <n v="0.15"/>
    <n v="455.85"/>
  </r>
  <r>
    <s v="CUST0086"/>
    <s v="Aditya"/>
    <s v="Nair"/>
    <d v="1991-10-06T00:00:00"/>
    <n v="346.61"/>
    <n v="2024"/>
    <s v="Small"/>
    <s v="Tier 2"/>
    <s v="Fruits &amp; Vegetables"/>
    <s v="North"/>
    <s v="India"/>
    <s v="Home Office"/>
    <x v="301"/>
    <s v="ORD00371"/>
    <d v="2024-04-25T00:00:00"/>
    <d v="2024-04-28T00:00:00"/>
    <s v="Second Class"/>
    <s v="Uttarakhand"/>
    <n v="120337"/>
    <s v="PROD0010"/>
    <s v="Bananas"/>
    <s v="Bananas - 239"/>
    <n v="5"/>
    <n v="0.05"/>
    <n v="81.56"/>
  </r>
  <r>
    <s v="CUST0086"/>
    <s v="Aditya"/>
    <s v="Nair"/>
    <d v="1991-10-06T00:00:00"/>
    <n v="109.25"/>
    <n v="2024"/>
    <s v="Medium"/>
    <s v="Tier 2"/>
    <s v="Dairy"/>
    <s v="North"/>
    <s v="India"/>
    <s v="Home Office"/>
    <x v="302"/>
    <s v="ORD00372"/>
    <d v="2024-07-01T00:00:00"/>
    <d v="2024-07-03T00:00:00"/>
    <s v="Same Day"/>
    <s v="Uttarakhand"/>
    <n v="344119"/>
    <s v="PROD0021"/>
    <s v="Milk"/>
    <s v="Milk - 647"/>
    <n v="1"/>
    <n v="0"/>
    <n v="14.71"/>
  </r>
  <r>
    <s v="CUST0086"/>
    <s v="Aditya"/>
    <s v="Nair"/>
    <d v="1991-10-06T00:00:00"/>
    <n v="944.3"/>
    <n v="2025"/>
    <s v="Medium"/>
    <s v="Tier 2"/>
    <s v="Fruits &amp; Vegetables"/>
    <s v="North"/>
    <s v="India"/>
    <s v="Home Office"/>
    <x v="179"/>
    <s v="ORD00373"/>
    <d v="2025-05-18T00:00:00"/>
    <d v="2025-05-22T00:00:00"/>
    <s v="Same Day"/>
    <s v="Uttarakhand"/>
    <n v="446290"/>
    <s v="PROD0010"/>
    <s v="Bananas"/>
    <s v="Bananas - 115"/>
    <n v="8"/>
    <n v="0.05"/>
    <n v="135.47999999999999"/>
  </r>
  <r>
    <s v="CUST0087"/>
    <s v="Rahul"/>
    <s v="Chatterjee"/>
    <d v="1992-03-12T00:00:00"/>
    <n v="360.83"/>
    <n v="2025"/>
    <s v="Small"/>
    <s v="Tier 2"/>
    <s v="Dairy"/>
    <s v="East"/>
    <s v="India"/>
    <s v="Corporate"/>
    <x v="303"/>
    <s v="ORD00374"/>
    <d v="2025-02-07T00:00:00"/>
    <d v="2025-02-10T00:00:00"/>
    <s v="Same Day"/>
    <s v="Bihar"/>
    <n v="905459"/>
    <s v="PROD0021"/>
    <s v="Milk"/>
    <s v="Milk - 372"/>
    <n v="7"/>
    <n v="0.05"/>
    <n v="37.700000000000003"/>
  </r>
  <r>
    <s v="CUST0088"/>
    <s v="Swathi"/>
    <s v="Gupta"/>
    <d v="1976-06-05T00:00:00"/>
    <n v="540.29999999999995"/>
    <n v="2023"/>
    <s v="Small"/>
    <s v="Tier 2"/>
    <s v="Fruits &amp; Vegetables"/>
    <s v="South"/>
    <s v="India"/>
    <s v="Consumer"/>
    <x v="304"/>
    <s v="ORD00375"/>
    <d v="2023-09-11T00:00:00"/>
    <d v="2023-09-14T00:00:00"/>
    <s v="Same Day"/>
    <s v="Karnataka"/>
    <n v="880900"/>
    <s v="PROD0010"/>
    <s v="Bananas"/>
    <s v="Bananas - 571"/>
    <n v="2"/>
    <n v="0"/>
    <n v="103.66"/>
  </r>
  <r>
    <s v="CUST0088"/>
    <s v="Swathi"/>
    <s v="Gupta"/>
    <d v="1976-06-05T00:00:00"/>
    <n v="1254.95"/>
    <n v="2024"/>
    <s v="Small"/>
    <s v="Tier 2"/>
    <s v="Snacks"/>
    <s v="South"/>
    <s v="India"/>
    <s v="Consumer"/>
    <x v="244"/>
    <s v="ORD00376"/>
    <d v="2024-01-30T00:00:00"/>
    <d v="2024-01-31T00:00:00"/>
    <s v="First Class"/>
    <s v="Karnataka"/>
    <n v="763653"/>
    <s v="PROD0004"/>
    <s v="Biscuits"/>
    <s v="Biscuits - 225"/>
    <n v="5"/>
    <n v="0"/>
    <n v="137.56"/>
  </r>
  <r>
    <s v="CUST0088"/>
    <s v="Swathi"/>
    <s v="Gupta"/>
    <d v="1976-06-05T00:00:00"/>
    <n v="1083.54"/>
    <n v="2024"/>
    <s v="Small"/>
    <s v="Tier 2"/>
    <s v="Beverages"/>
    <s v="South"/>
    <s v="India"/>
    <s v="Consumer"/>
    <x v="305"/>
    <s v="ORD00377"/>
    <d v="2024-03-29T00:00:00"/>
    <d v="2024-03-31T00:00:00"/>
    <s v="Standard Class"/>
    <s v="Karnataka"/>
    <n v="821846"/>
    <s v="PROD0011"/>
    <s v="Juice"/>
    <s v="Juice - 115"/>
    <n v="3"/>
    <n v="0.1"/>
    <n v="93.07"/>
  </r>
  <r>
    <s v="CUST0088"/>
    <s v="Swathi"/>
    <s v="Gupta"/>
    <d v="1976-06-05T00:00:00"/>
    <n v="264.83999999999997"/>
    <n v="2025"/>
    <s v="Large"/>
    <s v="Tier 2"/>
    <s v="Snacks"/>
    <s v="South"/>
    <s v="India"/>
    <s v="Consumer"/>
    <x v="306"/>
    <s v="ORD00378"/>
    <d v="2025-01-25T00:00:00"/>
    <d v="2025-01-30T00:00:00"/>
    <s v="Same Day"/>
    <s v="Karnataka"/>
    <n v="162678"/>
    <s v="PROD0007"/>
    <s v="Chips"/>
    <s v="Chips - 480"/>
    <n v="2"/>
    <n v="0.05"/>
    <n v="20.5"/>
  </r>
  <r>
    <s v="CUST0088"/>
    <s v="Swathi"/>
    <s v="Gupta"/>
    <d v="1976-06-05T00:00:00"/>
    <n v="3599.1"/>
    <n v="2025"/>
    <s v="Medium"/>
    <s v="Tier 2"/>
    <s v="Bakery"/>
    <s v="South"/>
    <s v="India"/>
    <s v="Consumer"/>
    <x v="307"/>
    <s v="ORD00379"/>
    <d v="2025-02-28T00:00:00"/>
    <d v="2025-03-03T00:00:00"/>
    <s v="First Class"/>
    <s v="Karnataka"/>
    <n v="122390"/>
    <s v="PROD0006"/>
    <s v="Cookies"/>
    <s v="Cookies - 257"/>
    <n v="9"/>
    <n v="0"/>
    <n v="706.69"/>
  </r>
  <r>
    <s v="CUST0089"/>
    <s v="Sneha"/>
    <s v="Yadav"/>
    <d v="2001-03-06T00:00:00"/>
    <n v="1332.42"/>
    <n v="2023"/>
    <s v="Medium"/>
    <s v="Tier 2"/>
    <s v="Beverages"/>
    <s v="East"/>
    <s v="India"/>
    <s v="Corporate"/>
    <x v="59"/>
    <s v="ORD00380"/>
    <d v="2023-02-10T00:00:00"/>
    <d v="2023-02-12T00:00:00"/>
    <s v="Second Class"/>
    <s v="Jharkhand"/>
    <n v="867979"/>
    <s v="PROD0015"/>
    <s v="Soft Drinks"/>
    <s v="Soft Drinks - 672"/>
    <n v="5"/>
    <n v="0.05"/>
    <n v="142.47999999999999"/>
  </r>
  <r>
    <s v="CUST0089"/>
    <s v="Sneha"/>
    <s v="Yadav"/>
    <d v="2001-03-06T00:00:00"/>
    <n v="4130.55"/>
    <n v="2023"/>
    <s v="Medium"/>
    <s v="Tier 2"/>
    <s v="Beverages"/>
    <s v="East"/>
    <s v="India"/>
    <s v="Corporate"/>
    <x v="33"/>
    <s v="ORD00381"/>
    <d v="2023-05-18T00:00:00"/>
    <d v="2023-05-23T00:00:00"/>
    <s v="Second Class"/>
    <s v="Jharkhand"/>
    <n v="959222"/>
    <s v="PROD0011"/>
    <s v="Juice"/>
    <s v="Juice - 988"/>
    <n v="10"/>
    <n v="0.1"/>
    <n v="405.22"/>
  </r>
  <r>
    <s v="CUST0089"/>
    <s v="Sneha"/>
    <s v="Yadav"/>
    <d v="2001-03-06T00:00:00"/>
    <n v="138.38"/>
    <n v="2023"/>
    <s v="Large"/>
    <s v="Tier 2"/>
    <s v="Bakery"/>
    <s v="East"/>
    <s v="India"/>
    <s v="Corporate"/>
    <x v="308"/>
    <s v="ORD00382"/>
    <d v="2023-09-14T00:00:00"/>
    <d v="2023-09-16T00:00:00"/>
    <s v="Second Class"/>
    <s v="Jharkhand"/>
    <n v="913712"/>
    <s v="PROD0006"/>
    <s v="Cookies"/>
    <s v="Cookies - 475"/>
    <n v="8"/>
    <n v="0.15"/>
    <n v="27.92"/>
  </r>
  <r>
    <s v="CUST0089"/>
    <s v="Sneha"/>
    <s v="Yadav"/>
    <d v="2001-03-06T00:00:00"/>
    <n v="604.76"/>
    <n v="2024"/>
    <s v="Large"/>
    <s v="Tier 2"/>
    <s v="Snacks"/>
    <s v="East"/>
    <s v="India"/>
    <s v="Corporate"/>
    <x v="242"/>
    <s v="ORD00383"/>
    <d v="2024-01-02T00:00:00"/>
    <d v="2024-01-04T00:00:00"/>
    <s v="Standard Class"/>
    <s v="Jharkhand"/>
    <n v="902930"/>
    <s v="PROD0007"/>
    <s v="Chips"/>
    <s v="Chips - 428"/>
    <n v="2"/>
    <n v="0.1"/>
    <n v="178.84"/>
  </r>
  <r>
    <s v="CUST0089"/>
    <s v="Sneha"/>
    <s v="Yadav"/>
    <d v="2001-03-06T00:00:00"/>
    <n v="743.11"/>
    <n v="2025"/>
    <s v="Small"/>
    <s v="Tier 2"/>
    <s v="Snacks"/>
    <s v="East"/>
    <s v="India"/>
    <s v="Corporate"/>
    <x v="3"/>
    <s v="ORD00384"/>
    <d v="2025-01-11T00:00:00"/>
    <d v="2025-01-12T00:00:00"/>
    <s v="First Class"/>
    <s v="Jharkhand"/>
    <n v="287316"/>
    <s v="PROD0007"/>
    <s v="Chips"/>
    <s v="Chips - 727"/>
    <n v="5"/>
    <n v="0.15"/>
    <n v="108.95"/>
  </r>
  <r>
    <s v="CUST0090"/>
    <s v="Manoj"/>
    <s v="Iyer"/>
    <d v="1994-10-18T00:00:00"/>
    <n v="2115.54"/>
    <n v="2023"/>
    <s v="Small"/>
    <s v="Tier 2"/>
    <s v="Snacks"/>
    <s v="North"/>
    <s v="India"/>
    <s v="Home Office"/>
    <x v="256"/>
    <s v="ORD00385"/>
    <d v="2023-02-02T00:00:00"/>
    <d v="2023-02-07T00:00:00"/>
    <s v="Second Class"/>
    <s v="Punjab"/>
    <n v="331444"/>
    <s v="PROD0004"/>
    <s v="Biscuits"/>
    <s v="Biscuits - 956"/>
    <n v="7"/>
    <n v="0.1"/>
    <n v="501.79"/>
  </r>
  <r>
    <s v="CUST0090"/>
    <s v="Manoj"/>
    <s v="Iyer"/>
    <d v="1994-10-18T00:00:00"/>
    <n v="466.5"/>
    <n v="2023"/>
    <s v="Large"/>
    <s v="Tier 2"/>
    <s v="Snacks"/>
    <s v="North"/>
    <s v="India"/>
    <s v="Home Office"/>
    <x v="309"/>
    <s v="ORD00386"/>
    <d v="2023-04-12T00:00:00"/>
    <d v="2023-04-13T00:00:00"/>
    <s v="Same Day"/>
    <s v="Punjab"/>
    <n v="478458"/>
    <s v="PROD0004"/>
    <s v="Biscuits"/>
    <s v="Biscuits - 172"/>
    <n v="1"/>
    <n v="0"/>
    <n v="115.1"/>
  </r>
  <r>
    <s v="CUST0090"/>
    <s v="Manoj"/>
    <s v="Iyer"/>
    <d v="1994-10-18T00:00:00"/>
    <n v="2407.44"/>
    <n v="2023"/>
    <s v="Large"/>
    <s v="Tier 2"/>
    <s v="Snacks"/>
    <s v="North"/>
    <s v="India"/>
    <s v="Home Office"/>
    <x v="76"/>
    <s v="ORD00387"/>
    <d v="2023-04-20T00:00:00"/>
    <d v="2023-04-23T00:00:00"/>
    <s v="Same Day"/>
    <s v="Punjab"/>
    <n v="974991"/>
    <s v="PROD0004"/>
    <s v="Biscuits"/>
    <s v="Biscuits - 525"/>
    <n v="6"/>
    <n v="0"/>
    <n v="715.23"/>
  </r>
  <r>
    <s v="CUST0090"/>
    <s v="Manoj"/>
    <s v="Iyer"/>
    <d v="1994-10-18T00:00:00"/>
    <n v="509.64"/>
    <n v="2023"/>
    <s v="Small"/>
    <s v="Tier 2"/>
    <s v="Bakery"/>
    <s v="North"/>
    <s v="India"/>
    <s v="Home Office"/>
    <x v="102"/>
    <s v="ORD00388"/>
    <d v="2023-07-16T00:00:00"/>
    <d v="2023-07-20T00:00:00"/>
    <s v="First Class"/>
    <s v="Punjab"/>
    <n v="697717"/>
    <s v="PROD0002"/>
    <s v="Bread"/>
    <s v="Bread - 321"/>
    <n v="9"/>
    <n v="0.15"/>
    <n v="60.8"/>
  </r>
  <r>
    <s v="CUST0090"/>
    <s v="Manoj"/>
    <s v="Iyer"/>
    <d v="1994-10-18T00:00:00"/>
    <n v="1973.61"/>
    <n v="2023"/>
    <s v="Large"/>
    <s v="Tier 2"/>
    <s v="Staples"/>
    <s v="North"/>
    <s v="India"/>
    <s v="Home Office"/>
    <x v="310"/>
    <s v="ORD00389"/>
    <d v="2023-07-26T00:00:00"/>
    <d v="2023-07-31T00:00:00"/>
    <s v="Standard Class"/>
    <s v="Punjab"/>
    <n v="836677"/>
    <s v="PROD0012"/>
    <s v="Rice"/>
    <s v="Rice - 671"/>
    <n v="9"/>
    <n v="0"/>
    <n v="552.38"/>
  </r>
  <r>
    <s v="CUST0090"/>
    <s v="Manoj"/>
    <s v="Iyer"/>
    <d v="1994-10-18T00:00:00"/>
    <n v="1081.03"/>
    <n v="2024"/>
    <s v="Large"/>
    <s v="Tier 2"/>
    <s v="Staples"/>
    <s v="North"/>
    <s v="India"/>
    <s v="Home Office"/>
    <x v="311"/>
    <s v="ORD00390"/>
    <d v="2024-05-12T00:00:00"/>
    <d v="2024-05-15T00:00:00"/>
    <s v="Standard Class"/>
    <s v="Punjab"/>
    <n v="469438"/>
    <s v="PROD0009"/>
    <s v="Wheat Flour"/>
    <s v="Wheat Flour - 206"/>
    <n v="3"/>
    <n v="0.1"/>
    <n v="184.28"/>
  </r>
  <r>
    <s v="CUST0091"/>
    <s v="Krishna"/>
    <s v="Venkatesh"/>
    <d v="1978-06-22T00:00:00"/>
    <n v="1161.24"/>
    <n v="2023"/>
    <s v="Medium"/>
    <s v="Tier 2"/>
    <s v="Beverages"/>
    <s v="East"/>
    <s v="India"/>
    <s v="Home Office"/>
    <x v="312"/>
    <s v="ORD00391"/>
    <d v="2023-11-29T00:00:00"/>
    <d v="2023-12-04T00:00:00"/>
    <s v="Second Class"/>
    <s v="Bihar"/>
    <n v="574379"/>
    <s v="PROD0011"/>
    <s v="Juice"/>
    <s v="Juice - 723"/>
    <n v="4"/>
    <n v="0"/>
    <n v="188.72"/>
  </r>
  <r>
    <s v="CUST0091"/>
    <s v="Krishna"/>
    <s v="Venkatesh"/>
    <d v="1978-06-22T00:00:00"/>
    <n v="442.64"/>
    <n v="2024"/>
    <s v="Small"/>
    <s v="Tier 2"/>
    <s v="Beverages"/>
    <s v="East"/>
    <s v="India"/>
    <s v="Home Office"/>
    <x v="313"/>
    <s v="ORD00392"/>
    <d v="2024-01-16T00:00:00"/>
    <d v="2024-01-18T00:00:00"/>
    <s v="Second Class"/>
    <s v="Bihar"/>
    <n v="332665"/>
    <s v="PROD0015"/>
    <s v="Soft Drinks"/>
    <s v="Soft Drinks - 100"/>
    <n v="1"/>
    <n v="0.1"/>
    <n v="24.3"/>
  </r>
  <r>
    <s v="CUST0091"/>
    <s v="Krishna"/>
    <s v="Venkatesh"/>
    <d v="1978-06-22T00:00:00"/>
    <n v="2075.2600000000002"/>
    <n v="2024"/>
    <s v="Small"/>
    <s v="Tier 2"/>
    <s v="Dairy"/>
    <s v="East"/>
    <s v="India"/>
    <s v="Home Office"/>
    <x v="107"/>
    <s v="ORD00393"/>
    <d v="2024-02-27T00:00:00"/>
    <d v="2024-03-03T00:00:00"/>
    <s v="Same Day"/>
    <s v="Bihar"/>
    <n v="582732"/>
    <s v="PROD0020"/>
    <s v="Paneer"/>
    <s v="Paneer - 122"/>
    <n v="5"/>
    <n v="0.1"/>
    <n v="450.12"/>
  </r>
  <r>
    <s v="CUST0091"/>
    <s v="Krishna"/>
    <s v="Venkatesh"/>
    <d v="1978-06-22T00:00:00"/>
    <n v="882.9"/>
    <n v="2024"/>
    <s v="Small"/>
    <s v="Tier 2"/>
    <s v="Bakery"/>
    <s v="East"/>
    <s v="India"/>
    <s v="Home Office"/>
    <x v="198"/>
    <s v="ORD00394"/>
    <d v="2024-07-17T00:00:00"/>
    <d v="2024-07-20T00:00:00"/>
    <s v="Standard Class"/>
    <s v="Bihar"/>
    <n v="696707"/>
    <s v="PROD0002"/>
    <s v="Bread"/>
    <s v="Bread - 241"/>
    <n v="5"/>
    <n v="0.1"/>
    <n v="110.32"/>
  </r>
  <r>
    <s v="CUST0091"/>
    <s v="Krishna"/>
    <s v="Venkatesh"/>
    <d v="1978-06-22T00:00:00"/>
    <n v="2403.54"/>
    <n v="2024"/>
    <s v="Large"/>
    <s v="Tier 2"/>
    <s v="Dairy"/>
    <s v="East"/>
    <s v="India"/>
    <s v="Home Office"/>
    <x v="314"/>
    <s v="ORD00395"/>
    <d v="2024-10-10T00:00:00"/>
    <d v="2024-10-15T00:00:00"/>
    <s v="Second Class"/>
    <s v="Bihar"/>
    <n v="139186"/>
    <s v="PROD0021"/>
    <s v="Milk"/>
    <s v="Milk - 840"/>
    <n v="6"/>
    <n v="0"/>
    <n v="472.25"/>
  </r>
  <r>
    <s v="CUST0091"/>
    <s v="Krishna"/>
    <s v="Venkatesh"/>
    <d v="1978-06-22T00:00:00"/>
    <n v="631.14"/>
    <n v="2025"/>
    <s v="Small"/>
    <s v="Tier 2"/>
    <s v="Staples"/>
    <s v="East"/>
    <s v="India"/>
    <s v="Home Office"/>
    <x v="315"/>
    <s v="ORD00396"/>
    <d v="2025-02-21T00:00:00"/>
    <d v="2025-02-25T00:00:00"/>
    <s v="First Class"/>
    <s v="Bihar"/>
    <n v="883997"/>
    <s v="PROD0003"/>
    <s v="Pulses"/>
    <s v="Pulses - 490"/>
    <n v="2"/>
    <n v="0.2"/>
    <n v="94.87"/>
  </r>
  <r>
    <s v="CUST0091"/>
    <s v="Krishna"/>
    <s v="Venkatesh"/>
    <d v="1978-06-22T00:00:00"/>
    <n v="289.67"/>
    <n v="2025"/>
    <s v="Small"/>
    <s v="Tier 2"/>
    <s v="Staples"/>
    <s v="East"/>
    <s v="India"/>
    <s v="Home Office"/>
    <x v="180"/>
    <s v="ORD00397"/>
    <d v="2025-05-15T00:00:00"/>
    <d v="2025-05-20T00:00:00"/>
    <s v="Second Class"/>
    <s v="Bihar"/>
    <n v="626806"/>
    <s v="PROD0003"/>
    <s v="Pulses"/>
    <s v="Pulses - 111"/>
    <n v="7"/>
    <n v="0.1"/>
    <n v="18.059999999999999"/>
  </r>
  <r>
    <s v="CUST0092"/>
    <s v="Sandeep"/>
    <s v="Kumar"/>
    <d v="1983-01-19T00:00:00"/>
    <n v="1058.02"/>
    <n v="2023"/>
    <s v="Medium"/>
    <s v="Tier 1"/>
    <s v="Beverages"/>
    <s v="North"/>
    <s v="India"/>
    <s v="Consumer"/>
    <x v="316"/>
    <s v="ORD00398"/>
    <d v="2023-02-21T00:00:00"/>
    <d v="2023-02-24T00:00:00"/>
    <s v="Same Day"/>
    <s v="Delhi"/>
    <n v="674779"/>
    <s v="PROD0019"/>
    <s v="Tea"/>
    <s v="Tea - 327"/>
    <n v="7"/>
    <n v="0.05"/>
    <n v="99.88"/>
  </r>
  <r>
    <s v="CUST0092"/>
    <s v="Sandeep"/>
    <s v="Kumar"/>
    <d v="1983-01-19T00:00:00"/>
    <n v="1460.93"/>
    <n v="2023"/>
    <s v="Large"/>
    <s v="Tier 1"/>
    <s v="Beverages"/>
    <s v="North"/>
    <s v="India"/>
    <s v="Consumer"/>
    <x v="91"/>
    <s v="ORD00399"/>
    <d v="2023-06-06T00:00:00"/>
    <d v="2023-06-08T00:00:00"/>
    <s v="First Class"/>
    <s v="Delhi"/>
    <n v="611559"/>
    <s v="PROD0011"/>
    <s v="Juice"/>
    <s v="Juice - 187"/>
    <n v="7"/>
    <n v="0.2"/>
    <n v="378.91"/>
  </r>
  <r>
    <s v="CUST0092"/>
    <s v="Sandeep"/>
    <s v="Kumar"/>
    <d v="1983-01-19T00:00:00"/>
    <n v="4487.3999999999996"/>
    <n v="2024"/>
    <s v="Medium"/>
    <s v="Tier 1"/>
    <s v="Beverages"/>
    <s v="North"/>
    <s v="India"/>
    <s v="Consumer"/>
    <x v="192"/>
    <s v="ORD00400"/>
    <d v="2024-02-07T00:00:00"/>
    <d v="2024-02-08T00:00:00"/>
    <s v="Second Class"/>
    <s v="Delhi"/>
    <n v="817999"/>
    <s v="PROD0017"/>
    <s v="Coffee"/>
    <s v="Coffee - 674"/>
    <n v="10"/>
    <n v="0.1"/>
    <n v="555.87"/>
  </r>
  <r>
    <s v="CUST0092"/>
    <s v="Sandeep"/>
    <s v="Kumar"/>
    <d v="1983-01-19T00:00:00"/>
    <n v="1563.1"/>
    <n v="2024"/>
    <s v="Medium"/>
    <s v="Tier 1"/>
    <s v="Snacks"/>
    <s v="North"/>
    <s v="India"/>
    <s v="Consumer"/>
    <x v="317"/>
    <s v="ORD00401"/>
    <d v="2024-11-20T00:00:00"/>
    <d v="2024-11-23T00:00:00"/>
    <s v="First Class"/>
    <s v="Delhi"/>
    <n v="466704"/>
    <s v="PROD0007"/>
    <s v="Chips"/>
    <s v="Chips - 215"/>
    <n v="7"/>
    <n v="0"/>
    <n v="167.48"/>
  </r>
  <r>
    <s v="CUST0092"/>
    <s v="Sandeep"/>
    <s v="Kumar"/>
    <d v="1983-01-19T00:00:00"/>
    <n v="555.41"/>
    <n v="2025"/>
    <s v="Large"/>
    <s v="Tier 1"/>
    <s v="Snacks"/>
    <s v="North"/>
    <s v="India"/>
    <s v="Consumer"/>
    <x v="32"/>
    <s v="ORD00402"/>
    <d v="2025-01-19T00:00:00"/>
    <d v="2025-01-22T00:00:00"/>
    <s v="Same Day"/>
    <s v="Delhi"/>
    <n v="217830"/>
    <s v="PROD0001"/>
    <s v="Namkeen"/>
    <s v="Namkeen - 738"/>
    <n v="3"/>
    <n v="0.2"/>
    <n v="66.680000000000007"/>
  </r>
  <r>
    <s v="CUST0093"/>
    <s v="Sandeep"/>
    <s v="Subramaniam"/>
    <d v="1982-01-03T00:00:00"/>
    <n v="316.27"/>
    <n v="2023"/>
    <s v="Large"/>
    <s v="Tier 2"/>
    <s v="Bakery"/>
    <s v="West"/>
    <s v="India"/>
    <s v="Home Office"/>
    <x v="318"/>
    <s v="ORD00403"/>
    <d v="2023-06-01T00:00:00"/>
    <d v="2023-06-03T00:00:00"/>
    <s v="First Class"/>
    <s v="Maharashtra"/>
    <n v="313701"/>
    <s v="PROD0002"/>
    <s v="Bread"/>
    <s v="Bread - 451"/>
    <n v="2"/>
    <n v="0.05"/>
    <n v="17.97"/>
  </r>
  <r>
    <s v="CUST0093"/>
    <s v="Sandeep"/>
    <s v="Subramaniam"/>
    <d v="1982-01-03T00:00:00"/>
    <n v="1275.3900000000001"/>
    <n v="2023"/>
    <s v="Large"/>
    <s v="Tier 2"/>
    <s v="Snacks"/>
    <s v="West"/>
    <s v="India"/>
    <s v="Home Office"/>
    <x v="103"/>
    <s v="ORD00404"/>
    <d v="2023-09-06T00:00:00"/>
    <d v="2023-09-08T00:00:00"/>
    <s v="Same Day"/>
    <s v="Maharashtra"/>
    <n v="494900"/>
    <s v="PROD0004"/>
    <s v="Biscuits"/>
    <s v="Biscuits - 868"/>
    <n v="5"/>
    <n v="0.1"/>
    <n v="343.05"/>
  </r>
  <r>
    <s v="CUST0093"/>
    <s v="Sandeep"/>
    <s v="Subramaniam"/>
    <d v="1982-01-03T00:00:00"/>
    <n v="142.62"/>
    <n v="2024"/>
    <s v="Small"/>
    <s v="Tier 2"/>
    <s v="Snacks"/>
    <s v="West"/>
    <s v="India"/>
    <s v="Home Office"/>
    <x v="319"/>
    <s v="ORD00405"/>
    <d v="2024-09-27T00:00:00"/>
    <d v="2024-10-02T00:00:00"/>
    <s v="Standard Class"/>
    <s v="Maharashtra"/>
    <n v="786563"/>
    <s v="PROD0004"/>
    <s v="Biscuits"/>
    <s v="Biscuits - 639"/>
    <n v="1"/>
    <n v="0"/>
    <n v="19.28"/>
  </r>
  <r>
    <s v="CUST0093"/>
    <s v="Sandeep"/>
    <s v="Subramaniam"/>
    <d v="1982-01-03T00:00:00"/>
    <n v="1437.48"/>
    <n v="2025"/>
    <s v="Medium"/>
    <s v="Tier 2"/>
    <s v="Fruits &amp; Vegetables"/>
    <s v="West"/>
    <s v="India"/>
    <s v="Home Office"/>
    <x v="320"/>
    <s v="ORD00406"/>
    <d v="2025-05-02T00:00:00"/>
    <d v="2025-05-03T00:00:00"/>
    <s v="Standard Class"/>
    <s v="Maharashtra"/>
    <n v="342397"/>
    <s v="PROD0016"/>
    <s v="Apples"/>
    <s v="Apples - 497"/>
    <n v="5"/>
    <n v="0.15"/>
    <n v="227.22"/>
  </r>
  <r>
    <s v="CUST0093"/>
    <s v="Sandeep"/>
    <s v="Subramaniam"/>
    <d v="1982-01-03T00:00:00"/>
    <n v="3139.56"/>
    <n v="2025"/>
    <s v="Medium"/>
    <s v="Tier 2"/>
    <s v="Beverages"/>
    <s v="West"/>
    <s v="India"/>
    <s v="Home Office"/>
    <x v="58"/>
    <s v="ORD00407"/>
    <d v="2025-06-08T00:00:00"/>
    <d v="2025-06-10T00:00:00"/>
    <s v="Same Day"/>
    <s v="Maharashtra"/>
    <n v="141683"/>
    <s v="PROD0019"/>
    <s v="Tea"/>
    <s v="Tea - 423"/>
    <n v="8"/>
    <n v="0.1"/>
    <n v="239.88"/>
  </r>
  <r>
    <s v="CUST0094"/>
    <s v="Riya"/>
    <s v="Das"/>
    <d v="1989-07-31T00:00:00"/>
    <n v="73.489999999999995"/>
    <n v="2023"/>
    <s v="Large"/>
    <s v="Tier 2"/>
    <s v="Bakery"/>
    <s v="South"/>
    <s v="India"/>
    <s v="Corporate"/>
    <x v="321"/>
    <s v="ORD00408"/>
    <d v="2023-11-09T00:00:00"/>
    <d v="2023-11-12T00:00:00"/>
    <s v="Second Class"/>
    <s v="Tamil Nadu"/>
    <n v="951331"/>
    <s v="PROD0018"/>
    <s v="Buns"/>
    <s v="Buns - 502"/>
    <n v="3"/>
    <n v="0.15"/>
    <n v="11.43"/>
  </r>
  <r>
    <s v="CUST0094"/>
    <s v="Riya"/>
    <s v="Das"/>
    <d v="1989-07-31T00:00:00"/>
    <n v="2505.38"/>
    <n v="2024"/>
    <s v="Small"/>
    <s v="Tier 2"/>
    <s v="Fruits &amp; Vegetables"/>
    <s v="South"/>
    <s v="India"/>
    <s v="Corporate"/>
    <x v="322"/>
    <s v="ORD00409"/>
    <d v="2024-06-26T00:00:00"/>
    <d v="2024-07-01T00:00:00"/>
    <s v="First Class"/>
    <s v="Tamil Nadu"/>
    <n v="458388"/>
    <s v="PROD0014"/>
    <s v="Tomatoes"/>
    <s v="Tomatoes - 999"/>
    <n v="7"/>
    <n v="0.2"/>
    <n v="869.64"/>
  </r>
  <r>
    <s v="CUST0095"/>
    <s v="Aadhya"/>
    <s v="Chatterjee"/>
    <d v="2000-03-31T00:00:00"/>
    <n v="793.15"/>
    <n v="2023"/>
    <s v="Medium"/>
    <s v="Tier 2"/>
    <s v="Staples"/>
    <s v="Central"/>
    <s v="India"/>
    <s v="Corporate"/>
    <x v="323"/>
    <s v="ORD00410"/>
    <d v="2023-03-31T00:00:00"/>
    <d v="2023-04-03T00:00:00"/>
    <s v="First Class"/>
    <s v="Madhya Pradesh"/>
    <n v="316800"/>
    <s v="PROD0003"/>
    <s v="Pulses"/>
    <s v="Pulses - 993"/>
    <n v="4"/>
    <n v="0.1"/>
    <n v="76"/>
  </r>
  <r>
    <s v="CUST0095"/>
    <s v="Aadhya"/>
    <s v="Chatterjee"/>
    <d v="2000-03-31T00:00:00"/>
    <n v="3135.06"/>
    <n v="2023"/>
    <s v="Medium"/>
    <s v="Tier 2"/>
    <s v="Staples"/>
    <s v="Central"/>
    <s v="India"/>
    <s v="Corporate"/>
    <x v="324"/>
    <s v="ORD00411"/>
    <d v="2023-05-21T00:00:00"/>
    <d v="2023-05-24T00:00:00"/>
    <s v="First Class"/>
    <s v="Madhya Pradesh"/>
    <n v="788108"/>
    <s v="PROD0012"/>
    <s v="Rice"/>
    <s v="Rice - 694"/>
    <n v="9"/>
    <n v="0"/>
    <n v="968.03"/>
  </r>
  <r>
    <s v="CUST0095"/>
    <s v="Aadhya"/>
    <s v="Chatterjee"/>
    <d v="2000-03-31T00:00:00"/>
    <n v="488.78"/>
    <n v="2024"/>
    <s v="Large"/>
    <s v="Tier 2"/>
    <s v="Snacks"/>
    <s v="Central"/>
    <s v="India"/>
    <s v="Corporate"/>
    <x v="325"/>
    <s v="ORD00412"/>
    <d v="2024-01-27T00:00:00"/>
    <d v="2024-01-30T00:00:00"/>
    <s v="Same Day"/>
    <s v="Madhya Pradesh"/>
    <n v="902616"/>
    <s v="PROD0007"/>
    <s v="Chips"/>
    <s v="Chips - 425"/>
    <n v="2"/>
    <n v="0.15"/>
    <n v="41.8"/>
  </r>
  <r>
    <s v="CUST0095"/>
    <s v="Aadhya"/>
    <s v="Chatterjee"/>
    <d v="2000-03-31T00:00:00"/>
    <n v="930.56"/>
    <n v="2024"/>
    <s v="Small"/>
    <s v="Tier 2"/>
    <s v="Bakery"/>
    <s v="Central"/>
    <s v="India"/>
    <s v="Corporate"/>
    <x v="326"/>
    <s v="ORD00413"/>
    <d v="2024-06-17T00:00:00"/>
    <d v="2024-06-20T00:00:00"/>
    <s v="Same Day"/>
    <s v="Madhya Pradesh"/>
    <n v="237935"/>
    <s v="PROD0018"/>
    <s v="Buns"/>
    <s v="Buns - 521"/>
    <n v="5"/>
    <n v="0.2"/>
    <n v="296.14"/>
  </r>
  <r>
    <s v="CUST0095"/>
    <s v="Aadhya"/>
    <s v="Chatterjee"/>
    <d v="2000-03-31T00:00:00"/>
    <n v="2845.17"/>
    <n v="2024"/>
    <s v="Small"/>
    <s v="Tier 2"/>
    <s v="Dairy"/>
    <s v="Central"/>
    <s v="India"/>
    <s v="Corporate"/>
    <x v="327"/>
    <s v="ORD00414"/>
    <d v="2024-11-03T00:00:00"/>
    <d v="2024-11-05T00:00:00"/>
    <s v="First Class"/>
    <s v="Madhya Pradesh"/>
    <n v="820767"/>
    <s v="PROD0021"/>
    <s v="Milk"/>
    <s v="Milk - 880"/>
    <n v="10"/>
    <n v="0.1"/>
    <n v="626.26"/>
  </r>
  <r>
    <s v="CUST0095"/>
    <s v="Aadhya"/>
    <s v="Chatterjee"/>
    <d v="2000-03-31T00:00:00"/>
    <n v="539.9"/>
    <n v="2025"/>
    <s v="Medium"/>
    <s v="Tier 2"/>
    <s v="Fruits &amp; Vegetables"/>
    <s v="Central"/>
    <s v="India"/>
    <s v="Corporate"/>
    <x v="328"/>
    <s v="ORD00415"/>
    <d v="2025-01-17T00:00:00"/>
    <d v="2025-01-20T00:00:00"/>
    <s v="Standard Class"/>
    <s v="Madhya Pradesh"/>
    <n v="596864"/>
    <s v="PROD0014"/>
    <s v="Tomatoes"/>
    <s v="Tomatoes - 181"/>
    <n v="8"/>
    <n v="0.2"/>
    <n v="124.94"/>
  </r>
  <r>
    <s v="CUST0096"/>
    <s v="Deepak"/>
    <s v="Mukherjee"/>
    <d v="1995-04-23T00:00:00"/>
    <n v="441"/>
    <n v="2023"/>
    <s v="Small"/>
    <s v="Tier 2"/>
    <s v="Fruits &amp; Vegetables"/>
    <s v="West"/>
    <s v="India"/>
    <s v="Home Office"/>
    <x v="102"/>
    <s v="ORD00416"/>
    <d v="2023-07-17T00:00:00"/>
    <d v="2023-07-19T00:00:00"/>
    <s v="First Class"/>
    <s v="Gujarat"/>
    <n v="560623"/>
    <s v="PROD0008"/>
    <s v="Onions"/>
    <s v="Onions - 882"/>
    <n v="1"/>
    <n v="0.05"/>
    <n v="51.49"/>
  </r>
  <r>
    <s v="CUST0096"/>
    <s v="Deepak"/>
    <s v="Mukherjee"/>
    <d v="1995-04-23T00:00:00"/>
    <n v="2616.3000000000002"/>
    <n v="2023"/>
    <s v="Large"/>
    <s v="Tier 2"/>
    <s v="Snacks"/>
    <s v="West"/>
    <s v="India"/>
    <s v="Home Office"/>
    <x v="329"/>
    <s v="ORD00417"/>
    <d v="2023-08-20T00:00:00"/>
    <d v="2023-08-21T00:00:00"/>
    <s v="Second Class"/>
    <s v="Gujarat"/>
    <n v="513296"/>
    <s v="PROD0001"/>
    <s v="Namkeen"/>
    <s v="Namkeen - 804"/>
    <n v="6"/>
    <n v="0"/>
    <n v="466.4"/>
  </r>
  <r>
    <s v="CUST0097"/>
    <s v="Ananya"/>
    <s v="Subramaniam"/>
    <d v="1968-10-21T00:00:00"/>
    <n v="256.41000000000003"/>
    <n v="2024"/>
    <s v="Large"/>
    <s v="Tier 1"/>
    <s v="Snacks"/>
    <s v="North"/>
    <s v="India"/>
    <s v="Consumer"/>
    <x v="302"/>
    <s v="ORD00418"/>
    <d v="2024-07-03T00:00:00"/>
    <d v="2024-07-04T00:00:00"/>
    <s v="Standard Class"/>
    <s v="Delhi"/>
    <n v="870881"/>
    <s v="PROD0004"/>
    <s v="Biscuits"/>
    <s v="Biscuits - 996"/>
    <n v="1"/>
    <n v="0.05"/>
    <n v="47.97"/>
  </r>
  <r>
    <s v="CUST0097"/>
    <s v="Ananya"/>
    <s v="Subramaniam"/>
    <d v="1968-10-21T00:00:00"/>
    <n v="105.57"/>
    <n v="2024"/>
    <s v="Medium"/>
    <s v="Tier 1"/>
    <s v="Fruits &amp; Vegetables"/>
    <s v="North"/>
    <s v="India"/>
    <s v="Consumer"/>
    <x v="166"/>
    <s v="ORD00419"/>
    <d v="2024-08-08T00:00:00"/>
    <d v="2024-08-11T00:00:00"/>
    <s v="First Class"/>
    <s v="Delhi"/>
    <n v="542983"/>
    <s v="PROD0008"/>
    <s v="Onions"/>
    <s v="Onions - 628"/>
    <n v="1"/>
    <n v="0.05"/>
    <n v="17.88"/>
  </r>
  <r>
    <s v="CUST0097"/>
    <s v="Ananya"/>
    <s v="Subramaniam"/>
    <d v="1968-10-21T00:00:00"/>
    <n v="3879.65"/>
    <n v="2024"/>
    <s v="Large"/>
    <s v="Tier 1"/>
    <s v="Bakery"/>
    <s v="North"/>
    <s v="India"/>
    <s v="Consumer"/>
    <x v="330"/>
    <s v="ORD00420"/>
    <d v="2024-08-31T00:00:00"/>
    <d v="2024-09-04T00:00:00"/>
    <s v="Same Day"/>
    <s v="Delhi"/>
    <n v="288503"/>
    <s v="PROD0006"/>
    <s v="Cookies"/>
    <s v="Cookies - 155"/>
    <n v="9"/>
    <n v="0.05"/>
    <n v="1159.8900000000001"/>
  </r>
  <r>
    <s v="CUST0097"/>
    <s v="Ananya"/>
    <s v="Subramaniam"/>
    <d v="1968-10-21T00:00:00"/>
    <n v="626.01"/>
    <n v="2025"/>
    <s v="Large"/>
    <s v="Tier 1"/>
    <s v="Snacks"/>
    <s v="North"/>
    <s v="India"/>
    <s v="Consumer"/>
    <x v="331"/>
    <s v="ORD00421"/>
    <d v="2025-01-30T00:00:00"/>
    <d v="2025-02-01T00:00:00"/>
    <s v="First Class"/>
    <s v="Delhi"/>
    <n v="576769"/>
    <s v="PROD0004"/>
    <s v="Biscuits"/>
    <s v="Biscuits - 659"/>
    <n v="3"/>
    <n v="0"/>
    <n v="115.98"/>
  </r>
  <r>
    <s v="CUST0098"/>
    <s v="Ganesh"/>
    <s v="Menon"/>
    <d v="1995-03-08T00:00:00"/>
    <n v="1094.46"/>
    <n v="2023"/>
    <s v="Small"/>
    <s v="Tier 1"/>
    <s v="Staples"/>
    <s v="North"/>
    <s v="India"/>
    <s v="Consumer"/>
    <x v="332"/>
    <s v="ORD00422"/>
    <d v="2023-11-28T00:00:00"/>
    <d v="2023-12-02T00:00:00"/>
    <s v="Standard Class"/>
    <s v="Delhi"/>
    <n v="862182"/>
    <s v="PROD0003"/>
    <s v="Pulses"/>
    <s v="Pulses - 828"/>
    <n v="3"/>
    <n v="0"/>
    <n v="84.66"/>
  </r>
  <r>
    <s v="CUST0099"/>
    <s v="Rohan"/>
    <s v="Sharma"/>
    <d v="1967-01-28T00:00:00"/>
    <n v="1236.28"/>
    <n v="2023"/>
    <s v="Small"/>
    <s v="Tier 2"/>
    <s v="Beverages"/>
    <s v="West"/>
    <s v="India"/>
    <s v="Home Office"/>
    <x v="201"/>
    <s v="ORD00423"/>
    <d v="2023-06-13T00:00:00"/>
    <d v="2023-06-15T00:00:00"/>
    <s v="First Class"/>
    <s v="Rajasthan"/>
    <n v="906519"/>
    <s v="PROD0019"/>
    <s v="Tea"/>
    <s v="Tea - 886"/>
    <n v="3"/>
    <n v="0.1"/>
    <n v="384.97"/>
  </r>
  <r>
    <s v="CUST0099"/>
    <s v="Rohan"/>
    <s v="Sharma"/>
    <d v="1967-01-28T00:00:00"/>
    <n v="674.28"/>
    <n v="2024"/>
    <s v="Small"/>
    <s v="Tier 2"/>
    <s v="Staples"/>
    <s v="West"/>
    <s v="India"/>
    <s v="Home Office"/>
    <x v="333"/>
    <s v="ORD00424"/>
    <d v="2024-01-23T00:00:00"/>
    <d v="2024-01-26T00:00:00"/>
    <s v="First Class"/>
    <s v="Rajasthan"/>
    <n v="312705"/>
    <s v="PROD0012"/>
    <s v="Rice"/>
    <s v="Rice - 529"/>
    <n v="5"/>
    <n v="0.2"/>
    <n v="228.1"/>
  </r>
  <r>
    <s v="CUST0099"/>
    <s v="Rohan"/>
    <s v="Sharma"/>
    <d v="1967-01-28T00:00:00"/>
    <n v="1967.34"/>
    <n v="2024"/>
    <s v="Small"/>
    <s v="Tier 2"/>
    <s v="Fruits &amp; Vegetables"/>
    <s v="West"/>
    <s v="India"/>
    <s v="Home Office"/>
    <x v="334"/>
    <s v="ORD00425"/>
    <d v="2024-06-07T00:00:00"/>
    <d v="2024-06-08T00:00:00"/>
    <s v="First Class"/>
    <s v="Rajasthan"/>
    <n v="717466"/>
    <s v="PROD0014"/>
    <s v="Tomatoes"/>
    <s v="Tomatoes - 112"/>
    <n v="8"/>
    <n v="0.05"/>
    <n v="419.14"/>
  </r>
  <r>
    <s v="CUST0099"/>
    <s v="Rohan"/>
    <s v="Sharma"/>
    <d v="1967-01-28T00:00:00"/>
    <n v="1462.23"/>
    <n v="2024"/>
    <s v="Medium"/>
    <s v="Tier 2"/>
    <s v="Staples"/>
    <s v="West"/>
    <s v="India"/>
    <s v="Home Office"/>
    <x v="198"/>
    <s v="ORD00426"/>
    <d v="2024-07-17T00:00:00"/>
    <d v="2024-07-19T00:00:00"/>
    <s v="First Class"/>
    <s v="Rajasthan"/>
    <n v="151295"/>
    <s v="PROD0009"/>
    <s v="Wheat Flour"/>
    <s v="Wheat Flour - 564"/>
    <n v="7"/>
    <n v="0.1"/>
    <n v="336.36"/>
  </r>
  <r>
    <s v="CUST0099"/>
    <s v="Rohan"/>
    <s v="Sharma"/>
    <d v="1967-01-28T00:00:00"/>
    <n v="180.62"/>
    <n v="2024"/>
    <s v="Medium"/>
    <s v="Tier 2"/>
    <s v="Dairy"/>
    <s v="West"/>
    <s v="India"/>
    <s v="Home Office"/>
    <x v="335"/>
    <s v="ORD00427"/>
    <d v="2024-09-18T00:00:00"/>
    <d v="2024-09-23T00:00:00"/>
    <s v="Second Class"/>
    <s v="Rajasthan"/>
    <n v="191962"/>
    <s v="PROD0005"/>
    <s v="Yogurt"/>
    <s v="Yogurt - 156"/>
    <n v="6"/>
    <n v="0.2"/>
    <n v="10.79"/>
  </r>
  <r>
    <s v="CUST0100"/>
    <s v="Suresh"/>
    <s v="Iyer"/>
    <d v="1985-06-06T00:00:00"/>
    <n v="1331.61"/>
    <n v="2024"/>
    <s v="Small"/>
    <s v="Tier 2"/>
    <s v="Dairy"/>
    <s v="North"/>
    <s v="India"/>
    <s v="Home Office"/>
    <x v="336"/>
    <s v="ORD00428"/>
    <d v="2024-03-02T00:00:00"/>
    <d v="2024-03-07T00:00:00"/>
    <s v="Standard Class"/>
    <s v="Uttarakhand"/>
    <n v="885734"/>
    <s v="PROD0005"/>
    <s v="Yogurt"/>
    <s v="Yogurt - 788"/>
    <n v="5"/>
    <n v="0.15"/>
    <n v="346.16"/>
  </r>
  <r>
    <s v="CUST0101"/>
    <s v="Ayesha"/>
    <s v="Das"/>
    <d v="1987-03-06T00:00:00"/>
    <n v="614.48"/>
    <n v="2023"/>
    <s v="Small"/>
    <s v="Tier 2"/>
    <s v="Bakery"/>
    <s v="North"/>
    <s v="India"/>
    <s v="Consumer"/>
    <x v="337"/>
    <s v="ORD00429"/>
    <d v="2023-02-06T00:00:00"/>
    <d v="2023-02-09T00:00:00"/>
    <s v="Same Day"/>
    <s v="Uttar Pradesh"/>
    <n v="828361"/>
    <s v="PROD0018"/>
    <s v="Buns"/>
    <s v="Buns - 488"/>
    <n v="2"/>
    <n v="0.2"/>
    <n v="132.19999999999999"/>
  </r>
  <r>
    <s v="CUST0101"/>
    <s v="Ayesha"/>
    <s v="Das"/>
    <d v="1987-03-06T00:00:00"/>
    <n v="1617.39"/>
    <n v="2023"/>
    <s v="Large"/>
    <s v="Tier 2"/>
    <s v="Bakery"/>
    <s v="North"/>
    <s v="India"/>
    <s v="Consumer"/>
    <x v="338"/>
    <s v="ORD00430"/>
    <d v="2023-04-06T00:00:00"/>
    <d v="2023-04-07T00:00:00"/>
    <s v="Same Day"/>
    <s v="Uttar Pradesh"/>
    <n v="607157"/>
    <s v="PROD0018"/>
    <s v="Buns"/>
    <s v="Buns - 639"/>
    <n v="7"/>
    <n v="0.15"/>
    <n v="182.3"/>
  </r>
  <r>
    <s v="CUST0101"/>
    <s v="Ayesha"/>
    <s v="Das"/>
    <d v="1987-03-06T00:00:00"/>
    <n v="899.96"/>
    <n v="2023"/>
    <s v="Large"/>
    <s v="Tier 2"/>
    <s v="Staples"/>
    <s v="North"/>
    <s v="India"/>
    <s v="Consumer"/>
    <x v="339"/>
    <s v="ORD00431"/>
    <d v="2023-11-03T00:00:00"/>
    <d v="2023-11-08T00:00:00"/>
    <s v="Second Class"/>
    <s v="Uttar Pradesh"/>
    <n v="236014"/>
    <s v="PROD0003"/>
    <s v="Pulses"/>
    <s v="Pulses - 719"/>
    <n v="5"/>
    <n v="0.2"/>
    <n v="130.44999999999999"/>
  </r>
  <r>
    <s v="CUST0101"/>
    <s v="Ayesha"/>
    <s v="Das"/>
    <d v="1987-03-06T00:00:00"/>
    <n v="3163.59"/>
    <n v="2025"/>
    <s v="Small"/>
    <s v="Tier 2"/>
    <s v="Snacks"/>
    <s v="North"/>
    <s v="India"/>
    <s v="Consumer"/>
    <x v="263"/>
    <s v="ORD00432"/>
    <d v="2025-02-25T00:00:00"/>
    <d v="2025-02-27T00:00:00"/>
    <s v="Second Class"/>
    <s v="Uttar Pradesh"/>
    <n v="302957"/>
    <s v="PROD0004"/>
    <s v="Biscuits"/>
    <s v="Biscuits - 608"/>
    <n v="9"/>
    <n v="0.05"/>
    <n v="625.6"/>
  </r>
  <r>
    <s v="CUST0102"/>
    <s v="Farhan"/>
    <s v="Raghavan"/>
    <d v="1965-04-01T00:00:00"/>
    <n v="1534.4"/>
    <n v="2023"/>
    <s v="Large"/>
    <s v="Tier 2"/>
    <s v="Beverages"/>
    <s v="South"/>
    <s v="India"/>
    <s v="Consumer"/>
    <x v="340"/>
    <s v="ORD00433"/>
    <d v="2023-01-25T00:00:00"/>
    <d v="2023-01-28T00:00:00"/>
    <s v="First Class"/>
    <s v="Andhra Pradesh"/>
    <n v="111846"/>
    <s v="PROD0019"/>
    <s v="Tea"/>
    <s v="Tea - 855"/>
    <n v="4"/>
    <n v="0.05"/>
    <n v="267.31"/>
  </r>
  <r>
    <s v="CUST0103"/>
    <s v="Diya"/>
    <s v="Deshmukh"/>
    <d v="1996-03-20T00:00:00"/>
    <n v="2044.8"/>
    <n v="2023"/>
    <s v="Medium"/>
    <s v="Tier 2"/>
    <s v="Fruits &amp; Vegetables"/>
    <s v="East"/>
    <s v="India"/>
    <s v="Consumer"/>
    <x v="341"/>
    <s v="ORD00434"/>
    <d v="2023-09-18T00:00:00"/>
    <d v="2023-09-21T00:00:00"/>
    <s v="Same Day"/>
    <s v="Bihar"/>
    <n v="972460"/>
    <s v="PROD0014"/>
    <s v="Tomatoes"/>
    <s v="Tomatoes - 407"/>
    <n v="9"/>
    <n v="0.2"/>
    <n v="106"/>
  </r>
  <r>
    <s v="CUST0103"/>
    <s v="Diya"/>
    <s v="Deshmukh"/>
    <d v="1996-03-20T00:00:00"/>
    <n v="2637.33"/>
    <n v="2023"/>
    <s v="Medium"/>
    <s v="Tier 2"/>
    <s v="Dairy"/>
    <s v="East"/>
    <s v="India"/>
    <s v="Consumer"/>
    <x v="267"/>
    <s v="ORD00435"/>
    <d v="2023-10-16T00:00:00"/>
    <d v="2023-10-17T00:00:00"/>
    <s v="First Class"/>
    <s v="Bihar"/>
    <n v="757667"/>
    <s v="PROD0005"/>
    <s v="Yogurt"/>
    <s v="Yogurt - 438"/>
    <n v="6"/>
    <n v="0.05"/>
    <n v="856.73"/>
  </r>
  <r>
    <s v="CUST0103"/>
    <s v="Diya"/>
    <s v="Deshmukh"/>
    <d v="1996-03-20T00:00:00"/>
    <n v="3257.38"/>
    <n v="2024"/>
    <s v="Large"/>
    <s v="Tier 2"/>
    <s v="Beverages"/>
    <s v="East"/>
    <s v="India"/>
    <s v="Consumer"/>
    <x v="342"/>
    <s v="ORD00436"/>
    <d v="2024-12-07T00:00:00"/>
    <d v="2024-12-10T00:00:00"/>
    <s v="Same Day"/>
    <s v="Bihar"/>
    <n v="318379"/>
    <s v="PROD0011"/>
    <s v="Juice"/>
    <s v="Juice - 573"/>
    <n v="7"/>
    <n v="0"/>
    <n v="978.95"/>
  </r>
  <r>
    <s v="CUST0103"/>
    <s v="Diya"/>
    <s v="Deshmukh"/>
    <d v="1996-03-20T00:00:00"/>
    <n v="310.68"/>
    <n v="2025"/>
    <s v="Medium"/>
    <s v="Tier 2"/>
    <s v="Snacks"/>
    <s v="East"/>
    <s v="India"/>
    <s v="Consumer"/>
    <x v="87"/>
    <s v="ORD00437"/>
    <d v="2025-03-20T00:00:00"/>
    <d v="2025-03-21T00:00:00"/>
    <s v="First Class"/>
    <s v="Bihar"/>
    <n v="698717"/>
    <s v="PROD0004"/>
    <s v="Biscuits"/>
    <s v="Biscuits - 439"/>
    <n v="6"/>
    <n v="0"/>
    <n v="41.67"/>
  </r>
  <r>
    <s v="CUST0104"/>
    <s v="Divya"/>
    <s v="Menon"/>
    <d v="1970-06-12T00:00:00"/>
    <n v="2164.3200000000002"/>
    <n v="2023"/>
    <s v="Medium"/>
    <s v="Tier 1"/>
    <s v="Bakery"/>
    <s v="East"/>
    <s v="India"/>
    <s v="Corporate"/>
    <x v="343"/>
    <s v="ORD00438"/>
    <d v="2023-04-30T00:00:00"/>
    <d v="2023-05-04T00:00:00"/>
    <s v="Standard Class"/>
    <s v="West Bengal"/>
    <n v="969749"/>
    <s v="PROD0006"/>
    <s v="Cookies"/>
    <s v="Cookies - 978"/>
    <n v="6"/>
    <n v="0"/>
    <n v="376.94"/>
  </r>
  <r>
    <s v="CUST0104"/>
    <s v="Divya"/>
    <s v="Menon"/>
    <d v="1970-06-12T00:00:00"/>
    <n v="520.04999999999995"/>
    <n v="2023"/>
    <s v="Medium"/>
    <s v="Tier 1"/>
    <s v="Bakery"/>
    <s v="East"/>
    <s v="India"/>
    <s v="Corporate"/>
    <x v="157"/>
    <s v="ORD00439"/>
    <d v="2023-07-11T00:00:00"/>
    <d v="2023-07-13T00:00:00"/>
    <s v="Same Day"/>
    <s v="West Bengal"/>
    <n v="937838"/>
    <s v="PROD0002"/>
    <s v="Bread"/>
    <s v="Bread - 637"/>
    <n v="5"/>
    <n v="0"/>
    <n v="148.47"/>
  </r>
  <r>
    <s v="CUST0104"/>
    <s v="Divya"/>
    <s v="Menon"/>
    <d v="1970-06-12T00:00:00"/>
    <n v="2363.09"/>
    <n v="2024"/>
    <s v="Small"/>
    <s v="Tier 1"/>
    <s v="Beverages"/>
    <s v="East"/>
    <s v="India"/>
    <s v="Corporate"/>
    <x v="147"/>
    <s v="ORD00440"/>
    <d v="2024-09-01T00:00:00"/>
    <d v="2024-09-04T00:00:00"/>
    <s v="Same Day"/>
    <s v="West Bengal"/>
    <n v="962074"/>
    <s v="PROD0017"/>
    <s v="Coffee"/>
    <s v="Coffee - 294"/>
    <n v="6"/>
    <n v="0.15"/>
    <n v="737.67"/>
  </r>
  <r>
    <s v="CUST0104"/>
    <s v="Divya"/>
    <s v="Menon"/>
    <d v="1970-06-12T00:00:00"/>
    <n v="1397.6"/>
    <n v="2025"/>
    <s v="Small"/>
    <s v="Tier 1"/>
    <s v="Snacks"/>
    <s v="East"/>
    <s v="India"/>
    <s v="Corporate"/>
    <x v="344"/>
    <s v="ORD00441"/>
    <d v="2025-06-04T00:00:00"/>
    <d v="2025-06-09T00:00:00"/>
    <s v="Second Class"/>
    <s v="West Bengal"/>
    <n v="146168"/>
    <s v="PROD0004"/>
    <s v="Biscuits"/>
    <s v="Biscuits - 235"/>
    <n v="4"/>
    <n v="0.05"/>
    <n v="232.39"/>
  </r>
  <r>
    <s v="CUST0105"/>
    <s v="Imran"/>
    <s v="Naidu"/>
    <d v="1990-01-27T00:00:00"/>
    <n v="123.16"/>
    <n v="2023"/>
    <s v="Small"/>
    <s v="Tier 2"/>
    <s v="Fruits &amp; Vegetables"/>
    <s v="Central"/>
    <s v="India"/>
    <s v="Corporate"/>
    <x v="151"/>
    <s v="ORD00442"/>
    <d v="2023-03-31T00:00:00"/>
    <d v="2023-04-02T00:00:00"/>
    <s v="First Class"/>
    <s v="Chhattisgarh"/>
    <n v="400487"/>
    <s v="PROD0016"/>
    <s v="Apples"/>
    <s v="Apples - 633"/>
    <n v="5"/>
    <n v="0.2"/>
    <n v="17.690000000000001"/>
  </r>
  <r>
    <s v="CUST0105"/>
    <s v="Imran"/>
    <s v="Naidu"/>
    <d v="1990-01-27T00:00:00"/>
    <n v="2737.12"/>
    <n v="2023"/>
    <s v="Small"/>
    <s v="Tier 2"/>
    <s v="Bakery"/>
    <s v="Central"/>
    <s v="India"/>
    <s v="Corporate"/>
    <x v="345"/>
    <s v="ORD00443"/>
    <d v="2023-12-08T00:00:00"/>
    <d v="2023-12-11T00:00:00"/>
    <s v="Same Day"/>
    <s v="Chhattisgarh"/>
    <n v="316612"/>
    <s v="PROD0006"/>
    <s v="Cookies"/>
    <s v="Cookies - 426"/>
    <n v="8"/>
    <n v="0"/>
    <n v="259.47000000000003"/>
  </r>
  <r>
    <s v="CUST0105"/>
    <s v="Imran"/>
    <s v="Naidu"/>
    <d v="1990-01-27T00:00:00"/>
    <n v="765.56"/>
    <n v="2024"/>
    <s v="Small"/>
    <s v="Tier 2"/>
    <s v="Snacks"/>
    <s v="Central"/>
    <s v="India"/>
    <s v="Corporate"/>
    <x v="346"/>
    <s v="ORD00444"/>
    <d v="2024-04-23T00:00:00"/>
    <d v="2024-04-28T00:00:00"/>
    <s v="Same Day"/>
    <s v="Chhattisgarh"/>
    <n v="426503"/>
    <s v="PROD0001"/>
    <s v="Namkeen"/>
    <s v="Namkeen - 662"/>
    <n v="6"/>
    <n v="0.15"/>
    <n v="222.93"/>
  </r>
  <r>
    <s v="CUST0105"/>
    <s v="Imran"/>
    <s v="Naidu"/>
    <d v="1990-01-27T00:00:00"/>
    <n v="354.8"/>
    <n v="2024"/>
    <s v="Medium"/>
    <s v="Tier 2"/>
    <s v="Snacks"/>
    <s v="Central"/>
    <s v="India"/>
    <s v="Corporate"/>
    <x v="330"/>
    <s v="ORD00445"/>
    <d v="2024-08-31T00:00:00"/>
    <d v="2024-09-01T00:00:00"/>
    <s v="Same Day"/>
    <s v="Chhattisgarh"/>
    <n v="190302"/>
    <s v="PROD0001"/>
    <s v="Namkeen"/>
    <s v="Namkeen - 653"/>
    <n v="8"/>
    <n v="0"/>
    <n v="67.849999999999994"/>
  </r>
  <r>
    <s v="CUST0105"/>
    <s v="Imran"/>
    <s v="Naidu"/>
    <d v="1990-01-27T00:00:00"/>
    <n v="3806.39"/>
    <n v="2025"/>
    <s v="Medium"/>
    <s v="Tier 2"/>
    <s v="Beverages"/>
    <s v="Central"/>
    <s v="India"/>
    <s v="Corporate"/>
    <x v="181"/>
    <s v="ORD00446"/>
    <d v="2025-06-11T00:00:00"/>
    <d v="2025-06-15T00:00:00"/>
    <s v="Second Class"/>
    <s v="Chhattisgarh"/>
    <n v="448475"/>
    <s v="PROD0015"/>
    <s v="Soft Drinks"/>
    <s v="Soft Drinks - 283"/>
    <n v="10"/>
    <n v="0.15"/>
    <n v="1145.1600000000001"/>
  </r>
  <r>
    <s v="CUST0106"/>
    <s v="Kavitha"/>
    <s v="Kulkarni"/>
    <d v="1997-04-07T00:00:00"/>
    <n v="533.52"/>
    <n v="2023"/>
    <s v="Small"/>
    <s v="Tier 2"/>
    <s v="Beverages"/>
    <s v="East"/>
    <s v="India"/>
    <s v="Home Office"/>
    <x v="347"/>
    <s v="ORD00447"/>
    <d v="2023-03-22T00:00:00"/>
    <d v="2023-03-26T00:00:00"/>
    <s v="First Class"/>
    <s v="Bihar"/>
    <n v="250703"/>
    <s v="PROD0017"/>
    <s v="Coffee"/>
    <s v="Coffee - 195"/>
    <n v="8"/>
    <n v="0"/>
    <n v="136.22999999999999"/>
  </r>
  <r>
    <s v="CUST0106"/>
    <s v="Kavitha"/>
    <s v="Kulkarni"/>
    <d v="1997-04-07T00:00:00"/>
    <n v="642.66"/>
    <n v="2024"/>
    <s v="Medium"/>
    <s v="Tier 2"/>
    <s v="Snacks"/>
    <s v="East"/>
    <s v="India"/>
    <s v="Home Office"/>
    <x v="302"/>
    <s v="ORD00448"/>
    <d v="2024-06-30T00:00:00"/>
    <d v="2024-07-03T00:00:00"/>
    <s v="Same Day"/>
    <s v="Bihar"/>
    <n v="168540"/>
    <s v="PROD0001"/>
    <s v="Namkeen"/>
    <s v="Namkeen - 472"/>
    <n v="7"/>
    <n v="0.15"/>
    <n v="95.82"/>
  </r>
  <r>
    <s v="CUST0106"/>
    <s v="Kavitha"/>
    <s v="Kulkarni"/>
    <d v="1997-04-07T00:00:00"/>
    <n v="1931.2"/>
    <n v="2024"/>
    <s v="Large"/>
    <s v="Tier 2"/>
    <s v="Beverages"/>
    <s v="East"/>
    <s v="India"/>
    <s v="Home Office"/>
    <x v="348"/>
    <s v="ORD00449"/>
    <d v="2024-11-17T00:00:00"/>
    <d v="2024-11-20T00:00:00"/>
    <s v="Same Day"/>
    <s v="Bihar"/>
    <n v="525392"/>
    <s v="PROD0019"/>
    <s v="Tea"/>
    <s v="Tea - 459"/>
    <n v="8"/>
    <n v="0"/>
    <n v="260.08999999999997"/>
  </r>
  <r>
    <s v="CUST0106"/>
    <s v="Kavitha"/>
    <s v="Kulkarni"/>
    <d v="1997-04-07T00:00:00"/>
    <n v="2388.5300000000002"/>
    <n v="2024"/>
    <s v="Large"/>
    <s v="Tier 2"/>
    <s v="Staples"/>
    <s v="East"/>
    <s v="India"/>
    <s v="Home Office"/>
    <x v="349"/>
    <s v="ORD00450"/>
    <d v="2024-12-31T00:00:00"/>
    <d v="2025-01-04T00:00:00"/>
    <s v="Standard Class"/>
    <s v="Bihar"/>
    <n v="350164"/>
    <s v="PROD0012"/>
    <s v="Rice"/>
    <s v="Rice - 433"/>
    <n v="9"/>
    <n v="0.2"/>
    <n v="335.91"/>
  </r>
  <r>
    <s v="CUST0106"/>
    <s v="Kavitha"/>
    <s v="Kulkarni"/>
    <d v="1997-04-07T00:00:00"/>
    <n v="1389.29"/>
    <n v="2025"/>
    <s v="Large"/>
    <s v="Tier 2"/>
    <s v="Snacks"/>
    <s v="East"/>
    <s v="India"/>
    <s v="Home Office"/>
    <x v="123"/>
    <s v="ORD00451"/>
    <d v="2025-02-15T00:00:00"/>
    <d v="2025-02-17T00:00:00"/>
    <s v="Standard Class"/>
    <s v="Bihar"/>
    <n v="922412"/>
    <s v="PROD0007"/>
    <s v="Chips"/>
    <s v="Chips - 661"/>
    <n v="3"/>
    <n v="0.05"/>
    <n v="97"/>
  </r>
  <r>
    <s v="CUST0106"/>
    <s v="Kavitha"/>
    <s v="Kulkarni"/>
    <d v="1997-04-07T00:00:00"/>
    <n v="350.47"/>
    <n v="2025"/>
    <s v="Small"/>
    <s v="Tier 2"/>
    <s v="Beverages"/>
    <s v="East"/>
    <s v="India"/>
    <s v="Home Office"/>
    <x v="350"/>
    <s v="ORD00452"/>
    <d v="2025-04-08T00:00:00"/>
    <d v="2025-04-13T00:00:00"/>
    <s v="Standard Class"/>
    <s v="Bihar"/>
    <n v="441183"/>
    <s v="PROD0011"/>
    <s v="Juice"/>
    <s v="Juice - 657"/>
    <n v="4"/>
    <n v="0.15"/>
    <n v="25.71"/>
  </r>
  <r>
    <s v="CUST0107"/>
    <s v="Deepak"/>
    <s v="Mishra"/>
    <d v="1972-02-21T00:00:00"/>
    <n v="628.27"/>
    <n v="2023"/>
    <s v="Medium"/>
    <s v="Tier 2"/>
    <s v="Beverages"/>
    <s v="East"/>
    <s v="India"/>
    <s v="Corporate"/>
    <x v="109"/>
    <s v="ORD00453"/>
    <d v="2023-06-30T00:00:00"/>
    <d v="2023-07-04T00:00:00"/>
    <s v="Same Day"/>
    <s v="Odisha"/>
    <n v="194930"/>
    <s v="PROD0019"/>
    <s v="Tea"/>
    <s v="Tea - 712"/>
    <n v="2"/>
    <n v="0.1"/>
    <n v="176.8"/>
  </r>
  <r>
    <s v="CUST0107"/>
    <s v="Deepak"/>
    <s v="Mishra"/>
    <d v="1972-02-21T00:00:00"/>
    <n v="325.89"/>
    <n v="2023"/>
    <s v="Medium"/>
    <s v="Tier 2"/>
    <s v="Dairy"/>
    <s v="East"/>
    <s v="India"/>
    <s v="Corporate"/>
    <x v="351"/>
    <s v="ORD00454"/>
    <d v="2023-11-12T00:00:00"/>
    <d v="2023-11-17T00:00:00"/>
    <s v="Standard Class"/>
    <s v="Odisha"/>
    <n v="305171"/>
    <s v="PROD0005"/>
    <s v="Yogurt"/>
    <s v="Yogurt - 694"/>
    <n v="1"/>
    <n v="0.15"/>
    <n v="30.88"/>
  </r>
  <r>
    <s v="CUST0107"/>
    <s v="Deepak"/>
    <s v="Mishra"/>
    <d v="1972-02-21T00:00:00"/>
    <n v="3410.97"/>
    <n v="2024"/>
    <s v="Small"/>
    <s v="Tier 2"/>
    <s v="Dairy"/>
    <s v="East"/>
    <s v="India"/>
    <s v="Corporate"/>
    <x v="352"/>
    <s v="ORD00455"/>
    <d v="2024-03-31T00:00:00"/>
    <d v="2024-04-04T00:00:00"/>
    <s v="Same Day"/>
    <s v="Odisha"/>
    <n v="741194"/>
    <s v="PROD0020"/>
    <s v="Paneer"/>
    <s v="Paneer - 406"/>
    <n v="10"/>
    <n v="0.15"/>
    <n v="482.19"/>
  </r>
  <r>
    <s v="CUST0107"/>
    <s v="Deepak"/>
    <s v="Mishra"/>
    <d v="1972-02-21T00:00:00"/>
    <n v="1287.5999999999999"/>
    <n v="2025"/>
    <s v="Small"/>
    <s v="Tier 2"/>
    <s v="Snacks"/>
    <s v="East"/>
    <s v="India"/>
    <s v="Corporate"/>
    <x v="224"/>
    <s v="ORD00456"/>
    <d v="2025-04-21T00:00:00"/>
    <d v="2025-04-26T00:00:00"/>
    <s v="Second Class"/>
    <s v="Odisha"/>
    <n v="215027"/>
    <s v="PROD0001"/>
    <s v="Namkeen"/>
    <s v="Namkeen - 967"/>
    <n v="3"/>
    <n v="0"/>
    <n v="207"/>
  </r>
  <r>
    <s v="CUST0108"/>
    <s v="Ganesh"/>
    <s v="Menon"/>
    <d v="2002-09-04T00:00:00"/>
    <n v="1429.08"/>
    <n v="2023"/>
    <s v="Small"/>
    <s v="Tier 2"/>
    <s v="Beverages"/>
    <s v="West"/>
    <s v="India"/>
    <s v="Home Office"/>
    <x v="353"/>
    <s v="ORD00457"/>
    <d v="2023-02-01T00:00:00"/>
    <d v="2023-02-03T00:00:00"/>
    <s v="First Class"/>
    <s v="Goa"/>
    <n v="682401"/>
    <s v="PROD0011"/>
    <s v="Juice"/>
    <s v="Juice - 828"/>
    <n v="7"/>
    <n v="0.05"/>
    <n v="305.16000000000003"/>
  </r>
  <r>
    <s v="CUST0108"/>
    <s v="Ganesh"/>
    <s v="Menon"/>
    <d v="2002-09-04T00:00:00"/>
    <n v="526.67999999999995"/>
    <n v="2023"/>
    <s v="Small"/>
    <s v="Tier 2"/>
    <s v="Beverages"/>
    <s v="West"/>
    <s v="India"/>
    <s v="Home Office"/>
    <x v="354"/>
    <s v="ORD00458"/>
    <d v="2023-08-29T00:00:00"/>
    <d v="2023-08-31T00:00:00"/>
    <s v="Same Day"/>
    <s v="Goa"/>
    <n v="250990"/>
    <s v="PROD0011"/>
    <s v="Juice"/>
    <s v="Juice - 960"/>
    <n v="7"/>
    <n v="0.2"/>
    <n v="132.21"/>
  </r>
  <r>
    <s v="CUST0108"/>
    <s v="Ganesh"/>
    <s v="Menon"/>
    <d v="2002-09-04T00:00:00"/>
    <n v="3415.93"/>
    <n v="2024"/>
    <s v="Large"/>
    <s v="Tier 2"/>
    <s v="Staples"/>
    <s v="West"/>
    <s v="India"/>
    <s v="Home Office"/>
    <x v="355"/>
    <s v="ORD00459"/>
    <d v="2024-03-18T00:00:00"/>
    <d v="2024-03-22T00:00:00"/>
    <s v="Standard Class"/>
    <s v="Goa"/>
    <n v="753523"/>
    <s v="PROD0009"/>
    <s v="Wheat Flour"/>
    <s v="Wheat Flour - 773"/>
    <n v="7"/>
    <n v="0"/>
    <n v="257.56"/>
  </r>
  <r>
    <s v="CUST0108"/>
    <s v="Ganesh"/>
    <s v="Menon"/>
    <d v="2002-09-04T00:00:00"/>
    <n v="1895.12"/>
    <n v="2024"/>
    <s v="Medium"/>
    <s v="Tier 2"/>
    <s v="Dairy"/>
    <s v="West"/>
    <s v="India"/>
    <s v="Home Office"/>
    <x v="2"/>
    <s v="ORD00460"/>
    <d v="2024-08-27T00:00:00"/>
    <d v="2024-08-29T00:00:00"/>
    <s v="Same Day"/>
    <s v="Goa"/>
    <n v="706012"/>
    <s v="PROD0013"/>
    <s v="Butter"/>
    <s v="Butter - 621"/>
    <n v="7"/>
    <n v="0.05"/>
    <n v="313.48"/>
  </r>
  <r>
    <s v="CUST0108"/>
    <s v="Ganesh"/>
    <s v="Menon"/>
    <d v="2002-09-04T00:00:00"/>
    <n v="1208.8399999999999"/>
    <n v="2024"/>
    <s v="Large"/>
    <s v="Tier 2"/>
    <s v="Beverages"/>
    <s v="West"/>
    <s v="India"/>
    <s v="Home Office"/>
    <x v="356"/>
    <s v="ORD00461"/>
    <d v="2024-12-20T00:00:00"/>
    <d v="2024-12-21T00:00:00"/>
    <s v="Standard Class"/>
    <s v="Goa"/>
    <n v="839122"/>
    <s v="PROD0017"/>
    <s v="Coffee"/>
    <s v="Coffee - 829"/>
    <n v="9"/>
    <n v="0.1"/>
    <n v="269.45999999999998"/>
  </r>
  <r>
    <s v="CUST0108"/>
    <s v="Ganesh"/>
    <s v="Menon"/>
    <d v="2002-09-04T00:00:00"/>
    <n v="3853.04"/>
    <n v="2025"/>
    <s v="Medium"/>
    <s v="Tier 2"/>
    <s v="Bakery"/>
    <s v="West"/>
    <s v="India"/>
    <s v="Home Office"/>
    <x v="357"/>
    <s v="ORD00462"/>
    <d v="2025-06-05T00:00:00"/>
    <d v="2025-06-10T00:00:00"/>
    <s v="Same Day"/>
    <s v="Goa"/>
    <n v="648779"/>
    <s v="PROD0002"/>
    <s v="Bread"/>
    <s v="Bread - 694"/>
    <n v="8"/>
    <n v="0"/>
    <n v="356.89"/>
  </r>
  <r>
    <s v="CUST0109"/>
    <s v="Myra"/>
    <s v="Pillai"/>
    <d v="1984-09-24T00:00:00"/>
    <n v="3627.81"/>
    <n v="2023"/>
    <s v="Medium"/>
    <s v="Tier 2"/>
    <s v="Staples"/>
    <s v="South"/>
    <s v="India"/>
    <s v="Consumer"/>
    <x v="151"/>
    <s v="ORD00463"/>
    <d v="2023-04-01T00:00:00"/>
    <d v="2023-04-04T00:00:00"/>
    <s v="Standard Class"/>
    <s v="Kerala"/>
    <n v="637566"/>
    <s v="PROD0012"/>
    <s v="Rice"/>
    <s v="Rice - 800"/>
    <n v="9"/>
    <n v="0"/>
    <n v="848.59"/>
  </r>
  <r>
    <s v="CUST0109"/>
    <s v="Myra"/>
    <s v="Pillai"/>
    <d v="1984-09-24T00:00:00"/>
    <n v="2309.1799999999998"/>
    <n v="2023"/>
    <s v="Large"/>
    <s v="Tier 2"/>
    <s v="Beverages"/>
    <s v="South"/>
    <s v="India"/>
    <s v="Consumer"/>
    <x v="358"/>
    <s v="ORD00464"/>
    <d v="2023-09-09T00:00:00"/>
    <d v="2023-09-11T00:00:00"/>
    <s v="Second Class"/>
    <s v="Kerala"/>
    <n v="862285"/>
    <s v="PROD0011"/>
    <s v="Juice"/>
    <s v="Juice - 531"/>
    <n v="6"/>
    <n v="0.2"/>
    <n v="319.56"/>
  </r>
  <r>
    <s v="CUST0109"/>
    <s v="Myra"/>
    <s v="Pillai"/>
    <d v="1984-09-24T00:00:00"/>
    <n v="2142.0700000000002"/>
    <n v="2024"/>
    <s v="Medium"/>
    <s v="Tier 2"/>
    <s v="Snacks"/>
    <s v="South"/>
    <s v="India"/>
    <s v="Consumer"/>
    <x v="301"/>
    <s v="ORD00465"/>
    <d v="2024-04-28T00:00:00"/>
    <d v="2024-05-01T00:00:00"/>
    <s v="Standard Class"/>
    <s v="Kerala"/>
    <n v="186518"/>
    <s v="PROD0001"/>
    <s v="Namkeen"/>
    <s v="Namkeen - 162"/>
    <n v="8"/>
    <n v="0.1"/>
    <n v="140.28"/>
  </r>
  <r>
    <s v="CUST0109"/>
    <s v="Myra"/>
    <s v="Pillai"/>
    <d v="1984-09-24T00:00:00"/>
    <n v="634.41"/>
    <n v="2024"/>
    <s v="Large"/>
    <s v="Tier 2"/>
    <s v="Dairy"/>
    <s v="South"/>
    <s v="India"/>
    <s v="Consumer"/>
    <x v="359"/>
    <s v="ORD00466"/>
    <d v="2024-10-07T00:00:00"/>
    <d v="2024-10-10T00:00:00"/>
    <s v="Same Day"/>
    <s v="Kerala"/>
    <n v="733152"/>
    <s v="PROD0021"/>
    <s v="Milk"/>
    <s v="Milk - 971"/>
    <n v="5"/>
    <n v="0.1"/>
    <n v="85.2"/>
  </r>
  <r>
    <s v="CUST0109"/>
    <s v="Myra"/>
    <s v="Pillai"/>
    <d v="1984-09-24T00:00:00"/>
    <n v="1579.92"/>
    <n v="2024"/>
    <s v="Small"/>
    <s v="Tier 2"/>
    <s v="Dairy"/>
    <s v="South"/>
    <s v="India"/>
    <s v="Consumer"/>
    <x v="142"/>
    <s v="ORD00467"/>
    <d v="2024-11-10T00:00:00"/>
    <d v="2024-11-12T00:00:00"/>
    <s v="Same Day"/>
    <s v="Kerala"/>
    <n v="459502"/>
    <s v="PROD0005"/>
    <s v="Yogurt"/>
    <s v="Yogurt - 774"/>
    <n v="8"/>
    <n v="0"/>
    <n v="202.82"/>
  </r>
  <r>
    <s v="CUST0109"/>
    <s v="Myra"/>
    <s v="Pillai"/>
    <d v="1984-09-24T00:00:00"/>
    <n v="1012.92"/>
    <n v="2025"/>
    <s v="Large"/>
    <s v="Tier 2"/>
    <s v="Fruits &amp; Vegetables"/>
    <s v="South"/>
    <s v="India"/>
    <s v="Consumer"/>
    <x v="360"/>
    <s v="ORD00468"/>
    <d v="2025-01-29T00:00:00"/>
    <d v="2025-02-02T00:00:00"/>
    <s v="Standard Class"/>
    <s v="Kerala"/>
    <n v="861265"/>
    <s v="PROD0010"/>
    <s v="Bananas"/>
    <s v="Bananas - 709"/>
    <n v="3"/>
    <n v="0.2"/>
    <n v="352.57"/>
  </r>
  <r>
    <s v="CUST0110"/>
    <s v="Anika"/>
    <s v="Kumar"/>
    <d v="1979-05-06T00:00:00"/>
    <n v="1913.15"/>
    <n v="2023"/>
    <s v="Medium"/>
    <s v="Tier 2"/>
    <s v="Bakery"/>
    <s v="East"/>
    <s v="India"/>
    <s v="Consumer"/>
    <x v="361"/>
    <s v="ORD00469"/>
    <d v="2023-08-04T00:00:00"/>
    <d v="2023-08-08T00:00:00"/>
    <s v="Second Class"/>
    <s v="Jharkhand"/>
    <n v="599401"/>
    <s v="PROD0002"/>
    <s v="Bread"/>
    <s v="Bread - 757"/>
    <n v="5"/>
    <n v="0"/>
    <n v="125.8"/>
  </r>
  <r>
    <s v="CUST0110"/>
    <s v="Anika"/>
    <s v="Kumar"/>
    <d v="1979-05-06T00:00:00"/>
    <n v="2314.73"/>
    <n v="2024"/>
    <s v="Medium"/>
    <s v="Tier 2"/>
    <s v="Staples"/>
    <s v="East"/>
    <s v="India"/>
    <s v="Consumer"/>
    <x v="362"/>
    <s v="ORD00470"/>
    <d v="2024-08-14T00:00:00"/>
    <d v="2024-08-16T00:00:00"/>
    <s v="Same Day"/>
    <s v="Jharkhand"/>
    <n v="402820"/>
    <s v="PROD0003"/>
    <s v="Pulses"/>
    <s v="Pulses - 339"/>
    <n v="7"/>
    <n v="0.05"/>
    <n v="445.3"/>
  </r>
  <r>
    <s v="CUST0110"/>
    <s v="Anika"/>
    <s v="Kumar"/>
    <d v="1979-05-06T00:00:00"/>
    <n v="2456.41"/>
    <n v="2025"/>
    <s v="Medium"/>
    <s v="Tier 2"/>
    <s v="Beverages"/>
    <s v="East"/>
    <s v="India"/>
    <s v="Consumer"/>
    <x v="363"/>
    <s v="ORD00471"/>
    <d v="2025-01-21T00:00:00"/>
    <d v="2025-01-22T00:00:00"/>
    <s v="Second Class"/>
    <s v="Jharkhand"/>
    <n v="451238"/>
    <s v="PROD0015"/>
    <s v="Soft Drinks"/>
    <s v="Soft Drinks - 794"/>
    <n v="6"/>
    <n v="0.15"/>
    <n v="827.22"/>
  </r>
  <r>
    <s v="CUST0110"/>
    <s v="Anika"/>
    <s v="Kumar"/>
    <d v="1979-05-06T00:00:00"/>
    <n v="256.63"/>
    <n v="2025"/>
    <s v="Large"/>
    <s v="Tier 2"/>
    <s v="Bakery"/>
    <s v="East"/>
    <s v="India"/>
    <s v="Consumer"/>
    <x v="364"/>
    <s v="ORD00472"/>
    <d v="2025-05-12T00:00:00"/>
    <d v="2025-05-14T00:00:00"/>
    <s v="First Class"/>
    <s v="Jharkhand"/>
    <n v="645209"/>
    <s v="PROD0018"/>
    <s v="Buns"/>
    <s v="Buns - 921"/>
    <n v="2"/>
    <n v="0.1"/>
    <n v="42.95"/>
  </r>
  <r>
    <s v="CUST0111"/>
    <s v="Rohan"/>
    <s v="Menon"/>
    <d v="1982-03-08T00:00:00"/>
    <n v="419.21"/>
    <n v="2023"/>
    <s v="Large"/>
    <s v="Tier 1"/>
    <s v="Snacks"/>
    <s v="South"/>
    <s v="India"/>
    <s v="Consumer"/>
    <x v="26"/>
    <s v="ORD00473"/>
    <d v="2023-07-04T00:00:00"/>
    <d v="2023-07-09T00:00:00"/>
    <s v="Standard Class"/>
    <s v="Telangana"/>
    <n v="468591"/>
    <s v="PROD0007"/>
    <s v="Chips"/>
    <s v="Chips - 788"/>
    <n v="1"/>
    <n v="0"/>
    <n v="72.680000000000007"/>
  </r>
  <r>
    <s v="CUST0111"/>
    <s v="Rohan"/>
    <s v="Menon"/>
    <d v="1982-03-08T00:00:00"/>
    <n v="130.82"/>
    <n v="2023"/>
    <s v="Small"/>
    <s v="Tier 1"/>
    <s v="Dairy"/>
    <s v="South"/>
    <s v="India"/>
    <s v="Consumer"/>
    <x v="365"/>
    <s v="ORD00474"/>
    <d v="2023-11-17T00:00:00"/>
    <d v="2023-11-22T00:00:00"/>
    <s v="Same Day"/>
    <s v="Telangana"/>
    <n v="842470"/>
    <s v="PROD0020"/>
    <s v="Paneer"/>
    <s v="Paneer - 357"/>
    <n v="4"/>
    <n v="0.1"/>
    <n v="10.15"/>
  </r>
  <r>
    <s v="CUST0111"/>
    <s v="Rohan"/>
    <s v="Menon"/>
    <d v="1982-03-08T00:00:00"/>
    <n v="700.06"/>
    <n v="2024"/>
    <s v="Small"/>
    <s v="Tier 1"/>
    <s v="Fruits &amp; Vegetables"/>
    <s v="South"/>
    <s v="India"/>
    <s v="Consumer"/>
    <x v="366"/>
    <s v="ORD00475"/>
    <d v="2024-12-07T00:00:00"/>
    <d v="2024-12-12T00:00:00"/>
    <s v="First Class"/>
    <s v="Telangana"/>
    <n v="365641"/>
    <s v="PROD0016"/>
    <s v="Apples"/>
    <s v="Apples - 976"/>
    <n v="10"/>
    <n v="0.15"/>
    <n v="195.43"/>
  </r>
  <r>
    <s v="CUST0112"/>
    <s v="Sandeep"/>
    <s v="Chatterjee"/>
    <d v="1979-11-05T00:00:00"/>
    <n v="2096.0100000000002"/>
    <n v="2023"/>
    <s v="Small"/>
    <s v="Tier 2"/>
    <s v="Beverages"/>
    <s v="East"/>
    <s v="India"/>
    <s v="Corporate"/>
    <x v="367"/>
    <s v="ORD00476"/>
    <d v="2023-03-19T00:00:00"/>
    <d v="2023-03-22T00:00:00"/>
    <s v="Same Day"/>
    <s v="Jharkhand"/>
    <n v="390756"/>
    <s v="PROD0011"/>
    <s v="Juice"/>
    <s v="Juice - 887"/>
    <n v="7"/>
    <n v="0.15"/>
    <n v="588.9"/>
  </r>
  <r>
    <s v="CUST0112"/>
    <s v="Sandeep"/>
    <s v="Chatterjee"/>
    <d v="1979-11-05T00:00:00"/>
    <n v="2988.36"/>
    <n v="2024"/>
    <s v="Medium"/>
    <s v="Tier 2"/>
    <s v="Fruits &amp; Vegetables"/>
    <s v="East"/>
    <s v="India"/>
    <s v="Corporate"/>
    <x v="85"/>
    <s v="ORD00477"/>
    <d v="2024-10-16T00:00:00"/>
    <d v="2024-10-19T00:00:00"/>
    <s v="Same Day"/>
    <s v="Jharkhand"/>
    <n v="615607"/>
    <s v="PROD0008"/>
    <s v="Onions"/>
    <s v="Onions - 497"/>
    <n v="6"/>
    <n v="0"/>
    <n v="1006.13"/>
  </r>
  <r>
    <s v="CUST0112"/>
    <s v="Sandeep"/>
    <s v="Chatterjee"/>
    <d v="1979-11-05T00:00:00"/>
    <n v="518.76"/>
    <n v="2024"/>
    <s v="Large"/>
    <s v="Tier 2"/>
    <s v="Dairy"/>
    <s v="East"/>
    <s v="India"/>
    <s v="Corporate"/>
    <x v="178"/>
    <s v="ORD00478"/>
    <d v="2024-11-07T00:00:00"/>
    <d v="2024-11-09T00:00:00"/>
    <s v="Same Day"/>
    <s v="Jharkhand"/>
    <n v="563031"/>
    <s v="PROD0013"/>
    <s v="Butter"/>
    <s v="Butter - 282"/>
    <n v="8"/>
    <n v="0.1"/>
    <n v="145.57"/>
  </r>
  <r>
    <s v="CUST0113"/>
    <s v="Vihaan"/>
    <s v="Gupta"/>
    <d v="2002-05-13T00:00:00"/>
    <n v="220.48"/>
    <n v="2023"/>
    <s v="Large"/>
    <s v="Tier 2"/>
    <s v="Staples"/>
    <s v="North"/>
    <s v="India"/>
    <s v="Home Office"/>
    <x v="368"/>
    <s v="ORD00479"/>
    <d v="2023-02-05T00:00:00"/>
    <d v="2023-02-06T00:00:00"/>
    <s v="Standard Class"/>
    <s v="Uttarakhand"/>
    <n v="379378"/>
    <s v="PROD0009"/>
    <s v="Wheat Flour"/>
    <s v="Wheat Flour - 895"/>
    <n v="8"/>
    <n v="0.05"/>
    <n v="20.87"/>
  </r>
  <r>
    <s v="CUST0113"/>
    <s v="Vihaan"/>
    <s v="Gupta"/>
    <d v="2002-05-13T00:00:00"/>
    <n v="185.13"/>
    <n v="2023"/>
    <s v="Medium"/>
    <s v="Tier 2"/>
    <s v="Dairy"/>
    <s v="North"/>
    <s v="India"/>
    <s v="Home Office"/>
    <x v="125"/>
    <s v="ORD00480"/>
    <d v="2023-03-14T00:00:00"/>
    <d v="2023-03-18T00:00:00"/>
    <s v="Standard Class"/>
    <s v="Uttarakhand"/>
    <n v="985049"/>
    <s v="PROD0020"/>
    <s v="Paneer"/>
    <s v="Paneer - 500"/>
    <n v="10"/>
    <n v="0.15"/>
    <n v="61.46"/>
  </r>
  <r>
    <s v="CUST0113"/>
    <s v="Vihaan"/>
    <s v="Gupta"/>
    <d v="2002-05-13T00:00:00"/>
    <n v="73.41"/>
    <n v="2023"/>
    <s v="Large"/>
    <s v="Tier 2"/>
    <s v="Staples"/>
    <s v="North"/>
    <s v="India"/>
    <s v="Home Office"/>
    <x v="369"/>
    <s v="ORD00481"/>
    <d v="2023-03-16T00:00:00"/>
    <d v="2023-03-20T00:00:00"/>
    <s v="Second Class"/>
    <s v="Uttarakhand"/>
    <n v="449636"/>
    <s v="PROD0012"/>
    <s v="Rice"/>
    <s v="Rice - 653"/>
    <n v="4"/>
    <n v="0.15"/>
    <n v="21.68"/>
  </r>
  <r>
    <s v="CUST0113"/>
    <s v="Vihaan"/>
    <s v="Gupta"/>
    <d v="2002-05-13T00:00:00"/>
    <n v="274.97000000000003"/>
    <n v="2023"/>
    <s v="Small"/>
    <s v="Tier 2"/>
    <s v="Staples"/>
    <s v="North"/>
    <s v="India"/>
    <s v="Home Office"/>
    <x v="211"/>
    <s v="ORD00482"/>
    <d v="2023-04-16T00:00:00"/>
    <d v="2023-04-21T00:00:00"/>
    <s v="Standard Class"/>
    <s v="Uttarakhand"/>
    <n v="897392"/>
    <s v="PROD0009"/>
    <s v="Wheat Flour"/>
    <s v="Wheat Flour - 510"/>
    <n v="1"/>
    <n v="0.15"/>
    <n v="21.23"/>
  </r>
  <r>
    <s v="CUST0113"/>
    <s v="Vihaan"/>
    <s v="Gupta"/>
    <d v="2002-05-13T00:00:00"/>
    <n v="815.53"/>
    <n v="2024"/>
    <s v="Small"/>
    <s v="Tier 2"/>
    <s v="Bakery"/>
    <s v="North"/>
    <s v="India"/>
    <s v="Home Office"/>
    <x v="104"/>
    <s v="ORD00483"/>
    <d v="2024-08-08T00:00:00"/>
    <d v="2024-08-11T00:00:00"/>
    <s v="Second Class"/>
    <s v="Uttarakhand"/>
    <n v="610135"/>
    <s v="PROD0006"/>
    <s v="Cookies"/>
    <s v="Cookies - 307"/>
    <n v="3"/>
    <n v="0.05"/>
    <n v="202.43"/>
  </r>
  <r>
    <s v="CUST0114"/>
    <s v="Ayesha"/>
    <s v="Sharma"/>
    <d v="1999-05-06T00:00:00"/>
    <n v="95.78"/>
    <n v="2024"/>
    <s v="Medium"/>
    <s v="Tier 2"/>
    <s v="Beverages"/>
    <s v="Central"/>
    <s v="India"/>
    <s v="Corporate"/>
    <x v="314"/>
    <s v="ORD00484"/>
    <d v="2024-10-09T00:00:00"/>
    <d v="2024-10-11T00:00:00"/>
    <s v="Same Day"/>
    <s v="Madhya Pradesh"/>
    <n v="931247"/>
    <s v="PROD0017"/>
    <s v="Coffee"/>
    <s v="Coffee - 243"/>
    <n v="1"/>
    <n v="0.15"/>
    <n v="33.42"/>
  </r>
  <r>
    <s v="CUST0115"/>
    <s v="Aarav"/>
    <s v="Singh"/>
    <d v="1978-05-25T00:00:00"/>
    <n v="225.17"/>
    <n v="2023"/>
    <s v="Small"/>
    <s v="Tier 2"/>
    <s v="Beverages"/>
    <s v="North"/>
    <s v="India"/>
    <s v="Home Office"/>
    <x v="370"/>
    <s v="ORD00485"/>
    <d v="2023-11-12T00:00:00"/>
    <d v="2023-11-16T00:00:00"/>
    <s v="Standard Class"/>
    <s v="Uttar Pradesh"/>
    <n v="811016"/>
    <s v="PROD0019"/>
    <s v="Tea"/>
    <s v="Tea - 137"/>
    <n v="6"/>
    <n v="0.2"/>
    <n v="59.96"/>
  </r>
  <r>
    <s v="CUST0115"/>
    <s v="Aarav"/>
    <s v="Singh"/>
    <d v="1978-05-25T00:00:00"/>
    <n v="1318.3"/>
    <n v="2024"/>
    <s v="Large"/>
    <s v="Tier 2"/>
    <s v="Snacks"/>
    <s v="North"/>
    <s v="India"/>
    <s v="Home Office"/>
    <x v="371"/>
    <s v="ORD00486"/>
    <d v="2024-05-26T00:00:00"/>
    <d v="2024-05-28T00:00:00"/>
    <s v="Same Day"/>
    <s v="Uttar Pradesh"/>
    <n v="594109"/>
    <s v="PROD0007"/>
    <s v="Chips"/>
    <s v="Chips - 858"/>
    <n v="10"/>
    <n v="0"/>
    <n v="80.5"/>
  </r>
  <r>
    <s v="CUST0115"/>
    <s v="Aarav"/>
    <s v="Singh"/>
    <d v="1978-05-25T00:00:00"/>
    <n v="68.59"/>
    <n v="2024"/>
    <s v="Medium"/>
    <s v="Tier 2"/>
    <s v="Snacks"/>
    <s v="North"/>
    <s v="India"/>
    <s v="Home Office"/>
    <x v="372"/>
    <s v="ORD00487"/>
    <d v="2024-06-30T00:00:00"/>
    <d v="2024-07-03T00:00:00"/>
    <s v="First Class"/>
    <s v="Uttar Pradesh"/>
    <n v="975930"/>
    <s v="PROD0007"/>
    <s v="Chips"/>
    <s v="Chips - 348"/>
    <n v="3"/>
    <n v="0.15"/>
    <n v="4.46"/>
  </r>
  <r>
    <s v="CUST0115"/>
    <s v="Aarav"/>
    <s v="Singh"/>
    <d v="1978-05-25T00:00:00"/>
    <n v="134.66"/>
    <n v="2025"/>
    <s v="Small"/>
    <s v="Tier 2"/>
    <s v="Snacks"/>
    <s v="North"/>
    <s v="India"/>
    <s v="Home Office"/>
    <x v="124"/>
    <s v="ORD00488"/>
    <d v="2025-05-04T00:00:00"/>
    <d v="2025-05-06T00:00:00"/>
    <s v="Standard Class"/>
    <s v="Uttar Pradesh"/>
    <n v="453729"/>
    <s v="PROD0007"/>
    <s v="Chips"/>
    <s v="Chips - 937"/>
    <n v="2"/>
    <n v="0.1"/>
    <n v="39.020000000000003"/>
  </r>
  <r>
    <s v="CUST0116"/>
    <s v="Praveen"/>
    <s v="Venkatesh"/>
    <d v="1989-07-01T00:00:00"/>
    <n v="2023.15"/>
    <n v="2023"/>
    <s v="Medium"/>
    <s v="Tier 2"/>
    <s v="Snacks"/>
    <s v="Central"/>
    <s v="India"/>
    <s v="Corporate"/>
    <x v="373"/>
    <s v="ORD00489"/>
    <d v="2023-05-04T00:00:00"/>
    <d v="2023-05-05T00:00:00"/>
    <s v="Same Day"/>
    <s v="Chhattisgarh"/>
    <n v="226610"/>
    <s v="PROD0004"/>
    <s v="Biscuits"/>
    <s v="Biscuits - 240"/>
    <n v="6"/>
    <n v="0.2"/>
    <n v="230.58"/>
  </r>
  <r>
    <s v="CUST0116"/>
    <s v="Praveen"/>
    <s v="Venkatesh"/>
    <d v="1989-07-01T00:00:00"/>
    <n v="704.62"/>
    <n v="2023"/>
    <s v="Large"/>
    <s v="Tier 2"/>
    <s v="Bakery"/>
    <s v="Central"/>
    <s v="India"/>
    <s v="Corporate"/>
    <x v="332"/>
    <s v="ORD00490"/>
    <d v="2023-11-29T00:00:00"/>
    <d v="2023-12-03T00:00:00"/>
    <s v="Same Day"/>
    <s v="Chhattisgarh"/>
    <n v="239849"/>
    <s v="PROD0002"/>
    <s v="Bread"/>
    <s v="Bread - 875"/>
    <n v="7"/>
    <n v="0"/>
    <n v="152.21"/>
  </r>
  <r>
    <s v="CUST0116"/>
    <s v="Praveen"/>
    <s v="Venkatesh"/>
    <d v="1989-07-01T00:00:00"/>
    <n v="78.38"/>
    <n v="2024"/>
    <s v="Small"/>
    <s v="Tier 2"/>
    <s v="Fruits &amp; Vegetables"/>
    <s v="Central"/>
    <s v="India"/>
    <s v="Corporate"/>
    <x v="112"/>
    <s v="ORD00491"/>
    <d v="2024-02-16T00:00:00"/>
    <d v="2024-02-17T00:00:00"/>
    <s v="Second Class"/>
    <s v="Chhattisgarh"/>
    <n v="536440"/>
    <s v="PROD0008"/>
    <s v="Onions"/>
    <s v="Onions - 896"/>
    <n v="3"/>
    <n v="0.05"/>
    <n v="5.82"/>
  </r>
  <r>
    <s v="CUST0116"/>
    <s v="Praveen"/>
    <s v="Venkatesh"/>
    <d v="1989-07-01T00:00:00"/>
    <n v="303.35000000000002"/>
    <n v="2024"/>
    <s v="Small"/>
    <s v="Tier 2"/>
    <s v="Staples"/>
    <s v="Central"/>
    <s v="India"/>
    <s v="Corporate"/>
    <x v="374"/>
    <s v="ORD00492"/>
    <d v="2024-11-25T00:00:00"/>
    <d v="2024-11-29T00:00:00"/>
    <s v="First Class"/>
    <s v="Chhattisgarh"/>
    <n v="740195"/>
    <s v="PROD0009"/>
    <s v="Wheat Flour"/>
    <s v="Wheat Flour - 808"/>
    <n v="3"/>
    <n v="0.15"/>
    <n v="39.83"/>
  </r>
  <r>
    <s v="CUST0116"/>
    <s v="Praveen"/>
    <s v="Venkatesh"/>
    <d v="1989-07-01T00:00:00"/>
    <n v="983.5"/>
    <n v="2024"/>
    <s v="Medium"/>
    <s v="Tier 2"/>
    <s v="Staples"/>
    <s v="Central"/>
    <s v="India"/>
    <s v="Corporate"/>
    <x v="375"/>
    <s v="ORD00493"/>
    <d v="2024-12-01T00:00:00"/>
    <d v="2024-12-04T00:00:00"/>
    <s v="Same Day"/>
    <s v="Chhattisgarh"/>
    <n v="684801"/>
    <s v="PROD0012"/>
    <s v="Rice"/>
    <s v="Rice - 710"/>
    <n v="3"/>
    <n v="0.1"/>
    <n v="329.56"/>
  </r>
  <r>
    <s v="CUST0116"/>
    <s v="Praveen"/>
    <s v="Venkatesh"/>
    <d v="1989-07-01T00:00:00"/>
    <n v="3959.77"/>
    <n v="2025"/>
    <s v="Small"/>
    <s v="Tier 2"/>
    <s v="Dairy"/>
    <s v="Central"/>
    <s v="India"/>
    <s v="Corporate"/>
    <x v="376"/>
    <s v="ORD00494"/>
    <d v="2025-01-25T00:00:00"/>
    <d v="2025-01-30T00:00:00"/>
    <s v="Standard Class"/>
    <s v="Chhattisgarh"/>
    <n v="907750"/>
    <s v="PROD0005"/>
    <s v="Yogurt"/>
    <s v="Yogurt - 220"/>
    <n v="9"/>
    <n v="0.1"/>
    <n v="627.9"/>
  </r>
  <r>
    <s v="CUST0117"/>
    <s v="Kavya"/>
    <s v="Pillai"/>
    <d v="1984-07-20T00:00:00"/>
    <n v="2070.48"/>
    <n v="2023"/>
    <s v="Large"/>
    <s v="Tier 2"/>
    <s v="Fruits &amp; Vegetables"/>
    <s v="East"/>
    <s v="India"/>
    <s v="Corporate"/>
    <x v="377"/>
    <s v="ORD00495"/>
    <d v="2023-02-24T00:00:00"/>
    <d v="2023-02-25T00:00:00"/>
    <s v="Second Class"/>
    <s v="Odisha"/>
    <n v="398911"/>
    <s v="PROD0010"/>
    <s v="Bananas"/>
    <s v="Bananas - 801"/>
    <n v="8"/>
    <n v="0"/>
    <n v="519.78"/>
  </r>
  <r>
    <s v="CUST0117"/>
    <s v="Kavya"/>
    <s v="Pillai"/>
    <d v="1984-07-20T00:00:00"/>
    <n v="1517.14"/>
    <n v="2023"/>
    <s v="Large"/>
    <s v="Tier 2"/>
    <s v="Dairy"/>
    <s v="East"/>
    <s v="India"/>
    <s v="Corporate"/>
    <x v="134"/>
    <s v="ORD00496"/>
    <d v="2023-07-18T00:00:00"/>
    <d v="2023-07-19T00:00:00"/>
    <s v="First Class"/>
    <s v="Odisha"/>
    <n v="265722"/>
    <s v="PROD0013"/>
    <s v="Butter"/>
    <s v="Butter - 357"/>
    <n v="6"/>
    <n v="0.2"/>
    <n v="282.10000000000002"/>
  </r>
  <r>
    <s v="CUST0117"/>
    <s v="Kavya"/>
    <s v="Pillai"/>
    <d v="1984-07-20T00:00:00"/>
    <n v="108.02"/>
    <n v="2023"/>
    <s v="Medium"/>
    <s v="Tier 2"/>
    <s v="Fruits &amp; Vegetables"/>
    <s v="East"/>
    <s v="India"/>
    <s v="Corporate"/>
    <x v="219"/>
    <s v="ORD00497"/>
    <d v="2023-08-02T00:00:00"/>
    <d v="2023-08-07T00:00:00"/>
    <s v="Standard Class"/>
    <s v="Odisha"/>
    <n v="308405"/>
    <s v="PROD0008"/>
    <s v="Onions"/>
    <s v="Onions - 627"/>
    <n v="2"/>
    <n v="0"/>
    <n v="28.78"/>
  </r>
  <r>
    <s v="CUST0117"/>
    <s v="Kavya"/>
    <s v="Pillai"/>
    <d v="1984-07-20T00:00:00"/>
    <n v="1575.64"/>
    <n v="2023"/>
    <s v="Medium"/>
    <s v="Tier 2"/>
    <s v="Staples"/>
    <s v="East"/>
    <s v="India"/>
    <s v="Corporate"/>
    <x v="378"/>
    <s v="ORD00498"/>
    <d v="2023-10-11T00:00:00"/>
    <d v="2023-10-13T00:00:00"/>
    <s v="First Class"/>
    <s v="Odisha"/>
    <n v="493774"/>
    <s v="PROD0003"/>
    <s v="Pulses"/>
    <s v="Pulses - 433"/>
    <n v="4"/>
    <n v="0"/>
    <n v="186.45"/>
  </r>
  <r>
    <s v="CUST0118"/>
    <s v="Amit"/>
    <s v="Subramaniam"/>
    <d v="1995-06-20T00:00:00"/>
    <n v="2264.8000000000002"/>
    <n v="2023"/>
    <s v="Large"/>
    <s v="Tier 2"/>
    <s v="Beverages"/>
    <s v="North"/>
    <s v="India"/>
    <s v="Consumer"/>
    <x v="12"/>
    <s v="ORD00499"/>
    <d v="2023-02-25T00:00:00"/>
    <d v="2023-03-01T00:00:00"/>
    <s v="Second Class"/>
    <s v="Uttar Pradesh"/>
    <n v="382795"/>
    <s v="PROD0017"/>
    <s v="Coffee"/>
    <s v="Coffee - 321"/>
    <n v="10"/>
    <n v="0.05"/>
    <n v="367"/>
  </r>
  <r>
    <s v="CUST0118"/>
    <s v="Amit"/>
    <s v="Subramaniam"/>
    <d v="1995-06-20T00:00:00"/>
    <n v="352.26"/>
    <n v="2023"/>
    <s v="Medium"/>
    <s v="Tier 2"/>
    <s v="Dairy"/>
    <s v="North"/>
    <s v="India"/>
    <s v="Consumer"/>
    <x v="210"/>
    <s v="ORD00500"/>
    <d v="2023-03-17T00:00:00"/>
    <d v="2023-03-18T00:00:00"/>
    <s v="Standard Class"/>
    <s v="Uttar Pradesh"/>
    <n v="279517"/>
    <s v="PROD0020"/>
    <s v="Paneer"/>
    <s v="Paneer - 230"/>
    <n v="1"/>
    <n v="0"/>
    <n v="47.27"/>
  </r>
  <r>
    <s v="CUST0118"/>
    <s v="Amit"/>
    <s v="Subramaniam"/>
    <d v="1995-06-20T00:00:00"/>
    <n v="762.08"/>
    <n v="2024"/>
    <s v="Large"/>
    <s v="Tier 2"/>
    <s v="Bakery"/>
    <s v="North"/>
    <s v="India"/>
    <s v="Consumer"/>
    <x v="301"/>
    <s v="ORD00501"/>
    <d v="2024-04-27T00:00:00"/>
    <d v="2024-05-02T00:00:00"/>
    <s v="First Class"/>
    <s v="Uttar Pradesh"/>
    <n v="190674"/>
    <s v="PROD0002"/>
    <s v="Bread"/>
    <s v="Bread - 402"/>
    <n v="10"/>
    <n v="0.2"/>
    <n v="183.97"/>
  </r>
  <r>
    <s v="CUST0118"/>
    <s v="Amit"/>
    <s v="Subramaniam"/>
    <d v="1995-06-20T00:00:00"/>
    <n v="972.67"/>
    <n v="2024"/>
    <s v="Large"/>
    <s v="Tier 2"/>
    <s v="Beverages"/>
    <s v="North"/>
    <s v="India"/>
    <s v="Consumer"/>
    <x v="155"/>
    <s v="ORD00502"/>
    <d v="2024-05-11T00:00:00"/>
    <d v="2024-05-12T00:00:00"/>
    <s v="First Class"/>
    <s v="Uttar Pradesh"/>
    <n v="359870"/>
    <s v="PROD0015"/>
    <s v="Soft Drinks"/>
    <s v="Soft Drinks - 982"/>
    <n v="4"/>
    <n v="0.2"/>
    <n v="183.67"/>
  </r>
  <r>
    <s v="CUST0118"/>
    <s v="Amit"/>
    <s v="Subramaniam"/>
    <d v="1995-06-20T00:00:00"/>
    <n v="1613.05"/>
    <n v="2024"/>
    <s v="Medium"/>
    <s v="Tier 2"/>
    <s v="Bakery"/>
    <s v="North"/>
    <s v="India"/>
    <s v="Consumer"/>
    <x v="379"/>
    <s v="ORD00503"/>
    <d v="2024-08-22T00:00:00"/>
    <d v="2024-08-27T00:00:00"/>
    <s v="Same Day"/>
    <s v="Uttar Pradesh"/>
    <n v="142004"/>
    <s v="PROD0018"/>
    <s v="Buns"/>
    <s v="Buns - 693"/>
    <n v="4"/>
    <n v="0.1"/>
    <n v="538.55999999999995"/>
  </r>
  <r>
    <s v="CUST0118"/>
    <s v="Amit"/>
    <s v="Subramaniam"/>
    <d v="1995-06-20T00:00:00"/>
    <n v="1506.74"/>
    <n v="2025"/>
    <s v="Medium"/>
    <s v="Tier 2"/>
    <s v="Beverages"/>
    <s v="North"/>
    <s v="India"/>
    <s v="Consumer"/>
    <x v="380"/>
    <s v="ORD00504"/>
    <d v="2025-06-30T00:00:00"/>
    <d v="2025-07-01T00:00:00"/>
    <s v="First Class"/>
    <s v="Uttar Pradesh"/>
    <n v="187127"/>
    <s v="PROD0019"/>
    <s v="Tea"/>
    <s v="Tea - 535"/>
    <n v="9"/>
    <n v="0.2"/>
    <n v="436.06"/>
  </r>
  <r>
    <s v="CUST0119"/>
    <s v="Ajay"/>
    <s v="Yadav"/>
    <d v="1970-09-23T00:00:00"/>
    <n v="673.75"/>
    <n v="2023"/>
    <s v="Large"/>
    <s v="Tier 2"/>
    <s v="Dairy"/>
    <s v="Central"/>
    <s v="India"/>
    <s v="Corporate"/>
    <x v="381"/>
    <s v="ORD00505"/>
    <d v="2023-01-13T00:00:00"/>
    <d v="2023-01-16T00:00:00"/>
    <s v="Standard Class"/>
    <s v="Chhattisgarh"/>
    <n v="999596"/>
    <s v="PROD0005"/>
    <s v="Yogurt"/>
    <s v="Yogurt - 467"/>
    <n v="5"/>
    <n v="0"/>
    <n v="36.909999999999997"/>
  </r>
  <r>
    <s v="CUST0119"/>
    <s v="Ajay"/>
    <s v="Yadav"/>
    <d v="1970-09-23T00:00:00"/>
    <n v="464.25"/>
    <n v="2024"/>
    <s v="Medium"/>
    <s v="Tier 2"/>
    <s v="Snacks"/>
    <s v="Central"/>
    <s v="India"/>
    <s v="Corporate"/>
    <x v="83"/>
    <s v="ORD00506"/>
    <d v="2024-02-21T00:00:00"/>
    <d v="2024-02-25T00:00:00"/>
    <s v="Standard Class"/>
    <s v="Chhattisgarh"/>
    <n v="838094"/>
    <s v="PROD0004"/>
    <s v="Biscuits"/>
    <s v="Biscuits - 697"/>
    <n v="1"/>
    <n v="0.05"/>
    <n v="130.71"/>
  </r>
  <r>
    <s v="CUST0119"/>
    <s v="Ajay"/>
    <s v="Yadav"/>
    <d v="1970-09-23T00:00:00"/>
    <n v="348.06"/>
    <n v="2024"/>
    <s v="Medium"/>
    <s v="Tier 2"/>
    <s v="Staples"/>
    <s v="Central"/>
    <s v="India"/>
    <s v="Corporate"/>
    <x v="382"/>
    <s v="ORD00507"/>
    <d v="2024-12-10T00:00:00"/>
    <d v="2024-12-11T00:00:00"/>
    <s v="Second Class"/>
    <s v="Chhattisgarh"/>
    <n v="831963"/>
    <s v="PROD0012"/>
    <s v="Rice"/>
    <s v="Rice - 981"/>
    <n v="2"/>
    <n v="0.15"/>
    <n v="52.16"/>
  </r>
  <r>
    <s v="CUST0119"/>
    <s v="Ajay"/>
    <s v="Yadav"/>
    <d v="1970-09-23T00:00:00"/>
    <n v="1592.36"/>
    <n v="2025"/>
    <s v="Large"/>
    <s v="Tier 2"/>
    <s v="Snacks"/>
    <s v="Central"/>
    <s v="India"/>
    <s v="Corporate"/>
    <x v="383"/>
    <s v="ORD00508"/>
    <d v="2025-01-19T00:00:00"/>
    <d v="2025-01-22T00:00:00"/>
    <s v="Second Class"/>
    <s v="Chhattisgarh"/>
    <n v="154067"/>
    <s v="PROD0004"/>
    <s v="Biscuits"/>
    <s v="Biscuits - 689"/>
    <n v="4"/>
    <n v="0"/>
    <n v="376.01"/>
  </r>
  <r>
    <s v="CUST0120"/>
    <s v="Lakshmi"/>
    <s v="Bhat"/>
    <d v="1994-09-28T00:00:00"/>
    <n v="562.29999999999995"/>
    <n v="2024"/>
    <s v="Small"/>
    <s v="Tier 1"/>
    <s v="Snacks"/>
    <s v="South"/>
    <s v="India"/>
    <s v="Home Office"/>
    <x v="384"/>
    <s v="ORD00509"/>
    <d v="2024-01-10T00:00:00"/>
    <d v="2024-01-15T00:00:00"/>
    <s v="First Class"/>
    <s v="Tamil Nadu"/>
    <n v="451199"/>
    <s v="PROD0007"/>
    <s v="Chips"/>
    <s v="Chips - 474"/>
    <n v="6"/>
    <n v="0.1"/>
    <n v="147.02000000000001"/>
  </r>
  <r>
    <s v="CUST0120"/>
    <s v="Lakshmi"/>
    <s v="Bhat"/>
    <d v="1994-09-28T00:00:00"/>
    <n v="2393.2199999999998"/>
    <n v="2024"/>
    <s v="Small"/>
    <s v="Tier 1"/>
    <s v="Dairy"/>
    <s v="South"/>
    <s v="India"/>
    <s v="Home Office"/>
    <x v="88"/>
    <s v="ORD00510"/>
    <d v="2024-04-21T00:00:00"/>
    <d v="2024-04-23T00:00:00"/>
    <s v="Second Class"/>
    <s v="Tamil Nadu"/>
    <n v="469844"/>
    <s v="PROD0021"/>
    <s v="Milk"/>
    <s v="Milk - 764"/>
    <n v="8"/>
    <n v="0.2"/>
    <n v="536.16999999999996"/>
  </r>
  <r>
    <s v="CUST0121"/>
    <s v="Manoj"/>
    <s v="Reddy"/>
    <d v="1985-09-17T00:00:00"/>
    <n v="1668.48"/>
    <n v="2023"/>
    <s v="Large"/>
    <s v="Tier 1"/>
    <s v="Bakery"/>
    <s v="West"/>
    <s v="India"/>
    <s v="Corporate"/>
    <x v="385"/>
    <s v="ORD00511"/>
    <d v="2023-02-25T00:00:00"/>
    <d v="2023-03-02T00:00:00"/>
    <s v="Second Class"/>
    <s v="Maharashtra"/>
    <n v="573933"/>
    <s v="PROD0018"/>
    <s v="Buns"/>
    <s v="Buns - 563"/>
    <n v="8"/>
    <n v="0.2"/>
    <n v="144.85"/>
  </r>
  <r>
    <s v="CUST0121"/>
    <s v="Manoj"/>
    <s v="Reddy"/>
    <d v="1985-09-17T00:00:00"/>
    <n v="209.78"/>
    <n v="2023"/>
    <s v="Medium"/>
    <s v="Tier 1"/>
    <s v="Snacks"/>
    <s v="West"/>
    <s v="India"/>
    <s v="Corporate"/>
    <x v="271"/>
    <s v="ORD00512"/>
    <d v="2023-03-06T00:00:00"/>
    <d v="2023-03-10T00:00:00"/>
    <s v="Same Day"/>
    <s v="Maharashtra"/>
    <n v="214677"/>
    <s v="PROD0001"/>
    <s v="Namkeen"/>
    <s v="Namkeen - 919"/>
    <n v="2"/>
    <n v="0.05"/>
    <n v="15.98"/>
  </r>
  <r>
    <s v="CUST0121"/>
    <s v="Manoj"/>
    <s v="Reddy"/>
    <d v="1985-09-17T00:00:00"/>
    <n v="619.78"/>
    <n v="2023"/>
    <s v="Medium"/>
    <s v="Tier 1"/>
    <s v="Dairy"/>
    <s v="West"/>
    <s v="India"/>
    <s v="Corporate"/>
    <x v="386"/>
    <s v="ORD00513"/>
    <d v="2023-10-11T00:00:00"/>
    <d v="2023-10-12T00:00:00"/>
    <s v="First Class"/>
    <s v="Maharashtra"/>
    <n v="596925"/>
    <s v="PROD0020"/>
    <s v="Paneer"/>
    <s v="Paneer - 214"/>
    <n v="3"/>
    <n v="0.2"/>
    <n v="68.97"/>
  </r>
  <r>
    <s v="CUST0121"/>
    <s v="Manoj"/>
    <s v="Reddy"/>
    <d v="1985-09-17T00:00:00"/>
    <n v="159.93"/>
    <n v="2024"/>
    <s v="Large"/>
    <s v="Tier 1"/>
    <s v="Bakery"/>
    <s v="West"/>
    <s v="India"/>
    <s v="Corporate"/>
    <x v="387"/>
    <s v="ORD00514"/>
    <d v="2024-03-09T00:00:00"/>
    <d v="2024-03-11T00:00:00"/>
    <s v="Second Class"/>
    <s v="Maharashtra"/>
    <n v="531690"/>
    <s v="PROD0018"/>
    <s v="Buns"/>
    <s v="Buns - 554"/>
    <n v="1"/>
    <n v="0"/>
    <n v="9.0500000000000007"/>
  </r>
  <r>
    <s v="CUST0121"/>
    <s v="Manoj"/>
    <s v="Reddy"/>
    <d v="1985-09-17T00:00:00"/>
    <n v="1292.08"/>
    <n v="2024"/>
    <s v="Medium"/>
    <s v="Tier 1"/>
    <s v="Snacks"/>
    <s v="West"/>
    <s v="India"/>
    <s v="Corporate"/>
    <x v="388"/>
    <s v="ORD00515"/>
    <d v="2024-05-30T00:00:00"/>
    <d v="2024-06-04T00:00:00"/>
    <s v="Second Class"/>
    <s v="Maharashtra"/>
    <n v="694806"/>
    <s v="PROD0001"/>
    <s v="Namkeen"/>
    <s v="Namkeen - 771"/>
    <n v="6"/>
    <n v="0.15"/>
    <n v="334.73"/>
  </r>
  <r>
    <s v="CUST0121"/>
    <s v="Manoj"/>
    <s v="Reddy"/>
    <d v="1985-09-17T00:00:00"/>
    <n v="644.29999999999995"/>
    <n v="2024"/>
    <s v="Medium"/>
    <s v="Tier 1"/>
    <s v="Dairy"/>
    <s v="West"/>
    <s v="India"/>
    <s v="Corporate"/>
    <x v="389"/>
    <s v="ORD00516"/>
    <d v="2024-11-27T00:00:00"/>
    <d v="2024-11-28T00:00:00"/>
    <s v="Second Class"/>
    <s v="Maharashtra"/>
    <n v="578073"/>
    <s v="PROD0020"/>
    <s v="Paneer"/>
    <s v="Paneer - 275"/>
    <n v="5"/>
    <n v="0"/>
    <n v="219.85"/>
  </r>
  <r>
    <s v="CUST0122"/>
    <s v="Karthik"/>
    <s v="Kumar"/>
    <d v="1974-06-30T00:00:00"/>
    <n v="292.2"/>
    <n v="2023"/>
    <s v="Medium"/>
    <s v="Tier 2"/>
    <s v="Staples"/>
    <s v="East"/>
    <s v="India"/>
    <s v="Corporate"/>
    <x v="297"/>
    <s v="ORD00517"/>
    <d v="2023-06-14T00:00:00"/>
    <d v="2023-06-17T00:00:00"/>
    <s v="Second Class"/>
    <s v="West Bengal"/>
    <n v="487629"/>
    <s v="PROD0003"/>
    <s v="Pulses"/>
    <s v="Pulses - 782"/>
    <n v="3"/>
    <n v="0"/>
    <n v="18.22"/>
  </r>
  <r>
    <s v="CUST0122"/>
    <s v="Karthik"/>
    <s v="Kumar"/>
    <d v="1974-06-30T00:00:00"/>
    <n v="339.47"/>
    <n v="2023"/>
    <s v="Small"/>
    <s v="Tier 2"/>
    <s v="Dairy"/>
    <s v="East"/>
    <s v="India"/>
    <s v="Corporate"/>
    <x v="133"/>
    <s v="ORD00518"/>
    <d v="2023-06-29T00:00:00"/>
    <d v="2023-07-03T00:00:00"/>
    <s v="Second Class"/>
    <s v="West Bengal"/>
    <n v="227391"/>
    <s v="PROD0005"/>
    <s v="Yogurt"/>
    <s v="Yogurt - 675"/>
    <n v="1"/>
    <n v="0"/>
    <n v="32.04"/>
  </r>
  <r>
    <s v="CUST0122"/>
    <s v="Karthik"/>
    <s v="Kumar"/>
    <d v="1974-06-30T00:00:00"/>
    <n v="1424.82"/>
    <n v="2023"/>
    <s v="Medium"/>
    <s v="Tier 2"/>
    <s v="Fruits &amp; Vegetables"/>
    <s v="East"/>
    <s v="India"/>
    <s v="Corporate"/>
    <x v="138"/>
    <s v="ORD00519"/>
    <d v="2023-07-06T00:00:00"/>
    <d v="2023-07-11T00:00:00"/>
    <s v="Second Class"/>
    <s v="West Bengal"/>
    <n v="596931"/>
    <s v="PROD0008"/>
    <s v="Onions"/>
    <s v="Onions - 611"/>
    <n v="3"/>
    <n v="0"/>
    <n v="137.94999999999999"/>
  </r>
  <r>
    <s v="CUST0122"/>
    <s v="Karthik"/>
    <s v="Kumar"/>
    <d v="1974-06-30T00:00:00"/>
    <n v="1029.69"/>
    <n v="2023"/>
    <s v="Large"/>
    <s v="Tier 2"/>
    <s v="Bakery"/>
    <s v="East"/>
    <s v="India"/>
    <s v="Corporate"/>
    <x v="275"/>
    <s v="ORD00520"/>
    <d v="2023-10-20T00:00:00"/>
    <d v="2023-10-24T00:00:00"/>
    <s v="Same Day"/>
    <s v="West Bengal"/>
    <n v="867180"/>
    <s v="PROD0006"/>
    <s v="Cookies"/>
    <s v="Cookies - 782"/>
    <n v="3"/>
    <n v="0.15"/>
    <n v="331.63"/>
  </r>
  <r>
    <s v="CUST0122"/>
    <s v="Karthik"/>
    <s v="Kumar"/>
    <d v="1974-06-30T00:00:00"/>
    <n v="684.9"/>
    <n v="2024"/>
    <s v="Medium"/>
    <s v="Tier 2"/>
    <s v="Beverages"/>
    <s v="East"/>
    <s v="India"/>
    <s v="Corporate"/>
    <x v="302"/>
    <s v="ORD00521"/>
    <d v="2024-07-02T00:00:00"/>
    <d v="2024-07-04T00:00:00"/>
    <s v="Same Day"/>
    <s v="West Bengal"/>
    <n v="442220"/>
    <s v="PROD0019"/>
    <s v="Tea"/>
    <s v="Tea - 242"/>
    <n v="9"/>
    <n v="0"/>
    <n v="116.77"/>
  </r>
  <r>
    <s v="CUST0122"/>
    <s v="Karthik"/>
    <s v="Kumar"/>
    <d v="1974-06-30T00:00:00"/>
    <n v="911.74"/>
    <n v="2024"/>
    <s v="Large"/>
    <s v="Tier 2"/>
    <s v="Fruits &amp; Vegetables"/>
    <s v="East"/>
    <s v="India"/>
    <s v="Corporate"/>
    <x v="390"/>
    <s v="ORD00522"/>
    <d v="2024-09-25T00:00:00"/>
    <d v="2024-09-26T00:00:00"/>
    <s v="Standard Class"/>
    <s v="West Bengal"/>
    <n v="809952"/>
    <s v="PROD0010"/>
    <s v="Bananas"/>
    <s v="Bananas - 697"/>
    <n v="9"/>
    <n v="0.2"/>
    <n v="121.61"/>
  </r>
  <r>
    <s v="CUST0122"/>
    <s v="Karthik"/>
    <s v="Kumar"/>
    <d v="1974-06-30T00:00:00"/>
    <n v="793.38"/>
    <n v="2024"/>
    <s v="Large"/>
    <s v="Tier 2"/>
    <s v="Staples"/>
    <s v="East"/>
    <s v="India"/>
    <s v="Corporate"/>
    <x v="391"/>
    <s v="ORD00523"/>
    <d v="2024-12-29T00:00:00"/>
    <d v="2025-01-03T00:00:00"/>
    <s v="Second Class"/>
    <s v="West Bengal"/>
    <n v="516869"/>
    <s v="PROD0012"/>
    <s v="Rice"/>
    <s v="Rice - 624"/>
    <n v="7"/>
    <n v="0"/>
    <n v="183.23"/>
  </r>
  <r>
    <s v="CUST0123"/>
    <s v="Ganesh"/>
    <s v="Mishra"/>
    <d v="1982-01-03T00:00:00"/>
    <n v="156.63"/>
    <n v="2024"/>
    <s v="Small"/>
    <s v="Tier 2"/>
    <s v="Bakery"/>
    <s v="West"/>
    <s v="India"/>
    <s v="Corporate"/>
    <x v="54"/>
    <s v="ORD00524"/>
    <d v="2024-03-13T00:00:00"/>
    <d v="2024-03-17T00:00:00"/>
    <s v="First Class"/>
    <s v="Goa"/>
    <n v="863209"/>
    <s v="PROD0018"/>
    <s v="Buns"/>
    <s v="Buns - 481"/>
    <n v="1"/>
    <n v="0"/>
    <n v="22.31"/>
  </r>
  <r>
    <s v="CUST0123"/>
    <s v="Ganesh"/>
    <s v="Mishra"/>
    <d v="1982-01-03T00:00:00"/>
    <n v="1014.66"/>
    <n v="2025"/>
    <s v="Small"/>
    <s v="Tier 2"/>
    <s v="Beverages"/>
    <s v="West"/>
    <s v="India"/>
    <s v="Corporate"/>
    <x v="392"/>
    <s v="ORD00525"/>
    <d v="2025-05-24T00:00:00"/>
    <d v="2025-05-28T00:00:00"/>
    <s v="Same Day"/>
    <s v="Goa"/>
    <n v="250616"/>
    <s v="PROD0015"/>
    <s v="Soft Drinks"/>
    <s v="Soft Drinks - 922"/>
    <n v="8"/>
    <n v="0.2"/>
    <n v="272.33"/>
  </r>
  <r>
    <s v="CUST0124"/>
    <s v="Sai"/>
    <s v="Bose"/>
    <d v="1965-11-14T00:00:00"/>
    <n v="3829.3"/>
    <n v="2024"/>
    <s v="Small"/>
    <s v="Tier 2"/>
    <s v="Snacks"/>
    <s v="East"/>
    <s v="India"/>
    <s v="Corporate"/>
    <x v="100"/>
    <s v="ORD00526"/>
    <d v="2024-05-01T00:00:00"/>
    <d v="2024-05-04T00:00:00"/>
    <s v="Standard Class"/>
    <s v="Jharkhand"/>
    <n v="844747"/>
    <s v="PROD0001"/>
    <s v="Namkeen"/>
    <s v="Namkeen - 167"/>
    <n v="10"/>
    <n v="0"/>
    <n v="199.07"/>
  </r>
  <r>
    <s v="CUST0124"/>
    <s v="Sai"/>
    <s v="Bose"/>
    <d v="1965-11-14T00:00:00"/>
    <n v="1258.5"/>
    <n v="2025"/>
    <s v="Large"/>
    <s v="Tier 2"/>
    <s v="Snacks"/>
    <s v="East"/>
    <s v="India"/>
    <s v="Corporate"/>
    <x v="234"/>
    <s v="ORD00527"/>
    <d v="2025-06-07T00:00:00"/>
    <d v="2025-06-08T00:00:00"/>
    <s v="Second Class"/>
    <s v="Jharkhand"/>
    <n v="618101"/>
    <s v="PROD0007"/>
    <s v="Chips"/>
    <s v="Chips - 304"/>
    <n v="3"/>
    <n v="0"/>
    <n v="272.04000000000002"/>
  </r>
  <r>
    <s v="CUST0125"/>
    <s v="Kavya"/>
    <s v="Krishnan"/>
    <d v="1968-01-30T00:00:00"/>
    <n v="1915.56"/>
    <n v="2023"/>
    <s v="Medium"/>
    <s v="Tier 1"/>
    <s v="Fruits &amp; Vegetables"/>
    <s v="South"/>
    <s v="India"/>
    <s v="Consumer"/>
    <x v="175"/>
    <s v="ORD00528"/>
    <d v="2023-01-28T00:00:00"/>
    <d v="2023-01-29T00:00:00"/>
    <s v="First Class"/>
    <s v="Karnataka"/>
    <n v="615780"/>
    <s v="PROD0010"/>
    <s v="Bananas"/>
    <s v="Bananas - 368"/>
    <n v="5"/>
    <n v="0.2"/>
    <n v="461.59"/>
  </r>
  <r>
    <s v="CUST0125"/>
    <s v="Kavya"/>
    <s v="Krishnan"/>
    <d v="1968-01-30T00:00:00"/>
    <n v="77.290000000000006"/>
    <n v="2023"/>
    <s v="Large"/>
    <s v="Tier 1"/>
    <s v="Staples"/>
    <s v="South"/>
    <s v="India"/>
    <s v="Consumer"/>
    <x v="150"/>
    <s v="ORD00529"/>
    <d v="2023-08-18T00:00:00"/>
    <d v="2023-08-19T00:00:00"/>
    <s v="Standard Class"/>
    <s v="Karnataka"/>
    <n v="693047"/>
    <s v="PROD0003"/>
    <s v="Pulses"/>
    <s v="Pulses - 350"/>
    <n v="1"/>
    <n v="0"/>
    <n v="15.3"/>
  </r>
  <r>
    <s v="CUST0125"/>
    <s v="Kavya"/>
    <s v="Krishnan"/>
    <d v="1968-01-30T00:00:00"/>
    <n v="3120.9"/>
    <n v="2024"/>
    <s v="Large"/>
    <s v="Tier 1"/>
    <s v="Beverages"/>
    <s v="South"/>
    <s v="India"/>
    <s v="Consumer"/>
    <x v="346"/>
    <s v="ORD00530"/>
    <d v="2024-04-19T00:00:00"/>
    <d v="2024-04-24T00:00:00"/>
    <s v="Same Day"/>
    <s v="Karnataka"/>
    <n v="986340"/>
    <s v="PROD0011"/>
    <s v="Juice"/>
    <s v="Juice - 743"/>
    <n v="8"/>
    <n v="0.2"/>
    <n v="268.01"/>
  </r>
  <r>
    <s v="CUST0125"/>
    <s v="Kavya"/>
    <s v="Krishnan"/>
    <d v="1968-01-30T00:00:00"/>
    <n v="85.64"/>
    <n v="2025"/>
    <s v="Small"/>
    <s v="Tier 1"/>
    <s v="Bakery"/>
    <s v="South"/>
    <s v="India"/>
    <s v="Consumer"/>
    <x v="393"/>
    <s v="ORD00531"/>
    <d v="2025-03-21T00:00:00"/>
    <d v="2025-03-23T00:00:00"/>
    <s v="Same Day"/>
    <s v="Karnataka"/>
    <n v="385915"/>
    <s v="PROD0002"/>
    <s v="Bread"/>
    <s v="Bread - 695"/>
    <n v="1"/>
    <n v="0.05"/>
    <n v="26.85"/>
  </r>
  <r>
    <s v="CUST0126"/>
    <s v="Saanvi"/>
    <s v="Kulkarni"/>
    <d v="1965-11-30T00:00:00"/>
    <n v="426.66"/>
    <n v="2023"/>
    <s v="Large"/>
    <s v="Tier 2"/>
    <s v="Bakery"/>
    <s v="Central"/>
    <s v="India"/>
    <s v="Consumer"/>
    <x v="394"/>
    <s v="ORD00532"/>
    <d v="2023-02-19T00:00:00"/>
    <d v="2023-02-20T00:00:00"/>
    <s v="Second Class"/>
    <s v="Chhattisgarh"/>
    <n v="431570"/>
    <s v="PROD0018"/>
    <s v="Buns"/>
    <s v="Buns - 642"/>
    <n v="2"/>
    <n v="0.2"/>
    <n v="101.72"/>
  </r>
  <r>
    <s v="CUST0126"/>
    <s v="Saanvi"/>
    <s v="Kulkarni"/>
    <d v="1965-11-30T00:00:00"/>
    <n v="356.4"/>
    <n v="2023"/>
    <s v="Small"/>
    <s v="Tier 2"/>
    <s v="Staples"/>
    <s v="Central"/>
    <s v="India"/>
    <s v="Consumer"/>
    <x v="229"/>
    <s v="ORD00533"/>
    <d v="2023-12-31T00:00:00"/>
    <d v="2024-01-02T00:00:00"/>
    <s v="Second Class"/>
    <s v="Chhattisgarh"/>
    <n v="491133"/>
    <s v="PROD0009"/>
    <s v="Wheat Flour"/>
    <s v="Wheat Flour - 377"/>
    <n v="6"/>
    <n v="0.1"/>
    <n v="55.42"/>
  </r>
  <r>
    <s v="CUST0126"/>
    <s v="Saanvi"/>
    <s v="Kulkarni"/>
    <d v="1965-11-30T00:00:00"/>
    <n v="207.48"/>
    <n v="2024"/>
    <s v="Large"/>
    <s v="Tier 2"/>
    <s v="Beverages"/>
    <s v="Central"/>
    <s v="India"/>
    <s v="Consumer"/>
    <x v="84"/>
    <s v="ORD00534"/>
    <d v="2024-10-13T00:00:00"/>
    <d v="2024-10-15T00:00:00"/>
    <s v="Same Day"/>
    <s v="Chhattisgarh"/>
    <n v="537619"/>
    <s v="PROD0015"/>
    <s v="Soft Drinks"/>
    <s v="Soft Drinks - 448"/>
    <n v="3"/>
    <n v="0"/>
    <n v="41.71"/>
  </r>
  <r>
    <s v="CUST0127"/>
    <s v="Ishaan"/>
    <s v="Bose"/>
    <d v="1995-01-12T00:00:00"/>
    <n v="1758.5"/>
    <n v="2023"/>
    <s v="Medium"/>
    <s v="Tier 2"/>
    <s v="Fruits &amp; Vegetables"/>
    <s v="South"/>
    <s v="India"/>
    <s v="Corporate"/>
    <x v="23"/>
    <s v="ORD00535"/>
    <d v="2023-03-20T00:00:00"/>
    <d v="2023-03-25T00:00:00"/>
    <s v="First Class"/>
    <s v="Andhra Pradesh"/>
    <n v="844378"/>
    <s v="PROD0008"/>
    <s v="Onions"/>
    <s v="Onions - 456"/>
    <n v="5"/>
    <n v="0"/>
    <n v="518.95000000000005"/>
  </r>
  <r>
    <s v="CUST0127"/>
    <s v="Ishaan"/>
    <s v="Bose"/>
    <d v="1995-01-12T00:00:00"/>
    <n v="202.77"/>
    <n v="2023"/>
    <s v="Small"/>
    <s v="Tier 2"/>
    <s v="Bakery"/>
    <s v="South"/>
    <s v="India"/>
    <s v="Corporate"/>
    <x v="343"/>
    <s v="ORD00536"/>
    <d v="2023-04-30T00:00:00"/>
    <d v="2023-05-02T00:00:00"/>
    <s v="First Class"/>
    <s v="Andhra Pradesh"/>
    <n v="236543"/>
    <s v="PROD0002"/>
    <s v="Bread"/>
    <s v="Bread - 862"/>
    <n v="2"/>
    <n v="0.2"/>
    <n v="52.37"/>
  </r>
  <r>
    <s v="CUST0127"/>
    <s v="Ishaan"/>
    <s v="Bose"/>
    <d v="1995-01-12T00:00:00"/>
    <n v="91.7"/>
    <n v="2023"/>
    <s v="Small"/>
    <s v="Tier 2"/>
    <s v="Fruits &amp; Vegetables"/>
    <s v="South"/>
    <s v="India"/>
    <s v="Corporate"/>
    <x v="29"/>
    <s v="ORD00537"/>
    <d v="2023-05-15T00:00:00"/>
    <d v="2023-05-19T00:00:00"/>
    <s v="Same Day"/>
    <s v="Andhra Pradesh"/>
    <n v="134385"/>
    <s v="PROD0008"/>
    <s v="Onions"/>
    <s v="Onions - 807"/>
    <n v="2"/>
    <n v="0.2"/>
    <n v="17.91"/>
  </r>
  <r>
    <s v="CUST0127"/>
    <s v="Ishaan"/>
    <s v="Bose"/>
    <d v="1995-01-12T00:00:00"/>
    <n v="245.16"/>
    <n v="2025"/>
    <s v="Small"/>
    <s v="Tier 2"/>
    <s v="Staples"/>
    <s v="South"/>
    <s v="India"/>
    <s v="Corporate"/>
    <x v="395"/>
    <s v="ORD00538"/>
    <d v="2025-04-18T00:00:00"/>
    <d v="2025-04-21T00:00:00"/>
    <s v="Same Day"/>
    <s v="Andhra Pradesh"/>
    <n v="731024"/>
    <s v="PROD0003"/>
    <s v="Pulses"/>
    <s v="Pulses - 707"/>
    <n v="1"/>
    <n v="0"/>
    <n v="15.44"/>
  </r>
  <r>
    <s v="CUST0128"/>
    <s v="Ayesha"/>
    <s v="Pillai"/>
    <d v="1999-05-27T00:00:00"/>
    <n v="152.78"/>
    <n v="2023"/>
    <s v="Medium"/>
    <s v="Tier 2"/>
    <s v="Staples"/>
    <s v="North"/>
    <s v="India"/>
    <s v="Home Office"/>
    <x v="157"/>
    <s v="ORD00539"/>
    <d v="2023-07-09T00:00:00"/>
    <d v="2023-07-14T00:00:00"/>
    <s v="First Class"/>
    <s v="Haryana"/>
    <n v="996677"/>
    <s v="PROD0009"/>
    <s v="Wheat Flour"/>
    <s v="Wheat Flour - 129"/>
    <n v="2"/>
    <n v="0.15"/>
    <n v="50.81"/>
  </r>
  <r>
    <s v="CUST0128"/>
    <s v="Ayesha"/>
    <s v="Pillai"/>
    <d v="1999-05-27T00:00:00"/>
    <n v="1049.44"/>
    <n v="2023"/>
    <s v="Large"/>
    <s v="Tier 2"/>
    <s v="Snacks"/>
    <s v="North"/>
    <s v="India"/>
    <s v="Home Office"/>
    <x v="396"/>
    <s v="ORD00540"/>
    <d v="2023-07-24T00:00:00"/>
    <d v="2023-07-29T00:00:00"/>
    <s v="First Class"/>
    <s v="Haryana"/>
    <n v="850582"/>
    <s v="PROD0004"/>
    <s v="Biscuits"/>
    <s v="Biscuits - 727"/>
    <n v="4"/>
    <n v="0"/>
    <n v="83.67"/>
  </r>
  <r>
    <s v="CUST0129"/>
    <s v="Deepa"/>
    <s v="Venkatesh"/>
    <d v="1997-03-23T00:00:00"/>
    <n v="834.53"/>
    <n v="2023"/>
    <s v="Large"/>
    <s v="Tier 2"/>
    <s v="Snacks"/>
    <s v="South"/>
    <s v="India"/>
    <s v="Corporate"/>
    <x v="397"/>
    <s v="ORD00541"/>
    <d v="2023-06-25T00:00:00"/>
    <d v="2023-06-29T00:00:00"/>
    <s v="First Class"/>
    <s v="Andhra Pradesh"/>
    <n v="561023"/>
    <s v="PROD0007"/>
    <s v="Chips"/>
    <s v="Chips - 842"/>
    <n v="2"/>
    <n v="0.1"/>
    <n v="254.86"/>
  </r>
  <r>
    <s v="CUST0129"/>
    <s v="Deepa"/>
    <s v="Venkatesh"/>
    <d v="1997-03-23T00:00:00"/>
    <n v="2798.81"/>
    <n v="2023"/>
    <s v="Small"/>
    <s v="Tier 2"/>
    <s v="Staples"/>
    <s v="South"/>
    <s v="India"/>
    <s v="Corporate"/>
    <x v="398"/>
    <s v="ORD00542"/>
    <d v="2023-10-16T00:00:00"/>
    <d v="2023-10-18T00:00:00"/>
    <s v="Second Class"/>
    <s v="Andhra Pradesh"/>
    <n v="229620"/>
    <s v="PROD0012"/>
    <s v="Rice"/>
    <s v="Rice - 285"/>
    <n v="6"/>
    <n v="0.05"/>
    <n v="319.85000000000002"/>
  </r>
  <r>
    <s v="CUST0130"/>
    <s v="Reyansh"/>
    <s v="Bhat"/>
    <d v="1966-02-25T00:00:00"/>
    <n v="3299.67"/>
    <n v="2023"/>
    <s v="Medium"/>
    <s v="Tier 1"/>
    <s v="Bakery"/>
    <s v="North"/>
    <s v="India"/>
    <s v="Corporate"/>
    <x v="300"/>
    <s v="ORD00543"/>
    <d v="2023-05-20T00:00:00"/>
    <d v="2023-05-21T00:00:00"/>
    <s v="Standard Class"/>
    <s v="Delhi"/>
    <n v="729554"/>
    <s v="PROD0006"/>
    <s v="Cookies"/>
    <s v="Cookies - 395"/>
    <n v="9"/>
    <n v="0"/>
    <n v="489.79"/>
  </r>
  <r>
    <s v="CUST0130"/>
    <s v="Reyansh"/>
    <s v="Bhat"/>
    <d v="1966-02-25T00:00:00"/>
    <n v="975.99"/>
    <n v="2024"/>
    <s v="Small"/>
    <s v="Tier 1"/>
    <s v="Staples"/>
    <s v="North"/>
    <s v="India"/>
    <s v="Corporate"/>
    <x v="399"/>
    <s v="ORD00544"/>
    <d v="2024-05-22T00:00:00"/>
    <d v="2024-05-26T00:00:00"/>
    <s v="Standard Class"/>
    <s v="Delhi"/>
    <n v="812120"/>
    <s v="PROD0009"/>
    <s v="Wheat Flour"/>
    <s v="Wheat Flour - 803"/>
    <n v="8"/>
    <n v="0.05"/>
    <n v="133.88"/>
  </r>
  <r>
    <s v="CUST0130"/>
    <s v="Reyansh"/>
    <s v="Bhat"/>
    <d v="1966-02-25T00:00:00"/>
    <n v="2603.84"/>
    <n v="2024"/>
    <s v="Small"/>
    <s v="Tier 1"/>
    <s v="Bakery"/>
    <s v="North"/>
    <s v="India"/>
    <s v="Corporate"/>
    <x v="17"/>
    <s v="ORD00545"/>
    <d v="2024-06-16T00:00:00"/>
    <d v="2024-06-17T00:00:00"/>
    <s v="Standard Class"/>
    <s v="Delhi"/>
    <n v="520085"/>
    <s v="PROD0002"/>
    <s v="Bread"/>
    <s v="Bread - 113"/>
    <n v="8"/>
    <n v="0.05"/>
    <n v="472.38"/>
  </r>
  <r>
    <s v="CUST0130"/>
    <s v="Reyansh"/>
    <s v="Bhat"/>
    <d v="1966-02-25T00:00:00"/>
    <n v="153.18"/>
    <n v="2025"/>
    <s v="Small"/>
    <s v="Tier 1"/>
    <s v="Staples"/>
    <s v="North"/>
    <s v="India"/>
    <s v="Corporate"/>
    <x v="400"/>
    <s v="ORD00546"/>
    <d v="2025-02-19T00:00:00"/>
    <d v="2025-02-24T00:00:00"/>
    <s v="First Class"/>
    <s v="Delhi"/>
    <n v="978821"/>
    <s v="PROD0003"/>
    <s v="Pulses"/>
    <s v="Pulses - 204"/>
    <n v="3"/>
    <n v="0"/>
    <n v="23.22"/>
  </r>
  <r>
    <s v="CUST0131"/>
    <s v="Sana"/>
    <s v="Gupta"/>
    <d v="1968-05-30T00:00:00"/>
    <n v="1532.12"/>
    <n v="2023"/>
    <s v="Medium"/>
    <s v="Tier 2"/>
    <s v="Staples"/>
    <s v="Central"/>
    <s v="India"/>
    <s v="Consumer"/>
    <x v="401"/>
    <s v="ORD00547"/>
    <d v="2023-10-13T00:00:00"/>
    <d v="2023-10-17T00:00:00"/>
    <s v="Standard Class"/>
    <s v="Madhya Pradesh"/>
    <n v="608069"/>
    <s v="PROD0003"/>
    <s v="Pulses"/>
    <s v="Pulses - 707"/>
    <n v="5"/>
    <n v="0.2"/>
    <n v="372.53"/>
  </r>
  <r>
    <s v="CUST0131"/>
    <s v="Sana"/>
    <s v="Gupta"/>
    <d v="1968-05-30T00:00:00"/>
    <n v="574.88"/>
    <n v="2024"/>
    <s v="Small"/>
    <s v="Tier 2"/>
    <s v="Snacks"/>
    <s v="Central"/>
    <s v="India"/>
    <s v="Consumer"/>
    <x v="402"/>
    <s v="ORD00548"/>
    <d v="2024-05-26T00:00:00"/>
    <d v="2024-05-28T00:00:00"/>
    <s v="Same Day"/>
    <s v="Madhya Pradesh"/>
    <n v="204441"/>
    <s v="PROD0001"/>
    <s v="Namkeen"/>
    <s v="Namkeen - 250"/>
    <n v="8"/>
    <n v="0"/>
    <n v="113.14"/>
  </r>
  <r>
    <s v="CUST0131"/>
    <s v="Sana"/>
    <s v="Gupta"/>
    <d v="1968-05-30T00:00:00"/>
    <n v="518.20000000000005"/>
    <n v="2025"/>
    <s v="Large"/>
    <s v="Tier 2"/>
    <s v="Staples"/>
    <s v="Central"/>
    <s v="India"/>
    <s v="Consumer"/>
    <x v="403"/>
    <s v="ORD00549"/>
    <d v="2025-02-22T00:00:00"/>
    <d v="2025-02-26T00:00:00"/>
    <s v="Second Class"/>
    <s v="Madhya Pradesh"/>
    <n v="260155"/>
    <s v="PROD0012"/>
    <s v="Rice"/>
    <s v="Rice - 950"/>
    <n v="2"/>
    <n v="0"/>
    <n v="177.03"/>
  </r>
  <r>
    <s v="CUST0132"/>
    <s v="Ayesha"/>
    <s v="Joshi"/>
    <d v="1978-07-13T00:00:00"/>
    <n v="795.12"/>
    <n v="2023"/>
    <s v="Large"/>
    <s v="Tier 2"/>
    <s v="Fruits &amp; Vegetables"/>
    <s v="Central"/>
    <s v="India"/>
    <s v="Home Office"/>
    <x v="404"/>
    <s v="ORD00550"/>
    <d v="2023-04-09T00:00:00"/>
    <d v="2023-04-14T00:00:00"/>
    <s v="Second Class"/>
    <s v="Chhattisgarh"/>
    <n v="948802"/>
    <s v="PROD0008"/>
    <s v="Onions"/>
    <s v="Onions - 911"/>
    <n v="8"/>
    <n v="0.15"/>
    <n v="158.52000000000001"/>
  </r>
  <r>
    <s v="CUST0132"/>
    <s v="Ayesha"/>
    <s v="Joshi"/>
    <d v="1978-07-13T00:00:00"/>
    <n v="495.54"/>
    <n v="2024"/>
    <s v="Medium"/>
    <s v="Tier 2"/>
    <s v="Snacks"/>
    <s v="Central"/>
    <s v="India"/>
    <s v="Home Office"/>
    <x v="405"/>
    <s v="ORD00551"/>
    <d v="2024-09-30T00:00:00"/>
    <d v="2024-10-03T00:00:00"/>
    <s v="Standard Class"/>
    <s v="Chhattisgarh"/>
    <n v="137728"/>
    <s v="PROD0004"/>
    <s v="Biscuits"/>
    <s v="Biscuits - 118"/>
    <n v="1"/>
    <n v="0"/>
    <n v="81.81"/>
  </r>
  <r>
    <s v="CUST0132"/>
    <s v="Ayesha"/>
    <s v="Joshi"/>
    <d v="1978-07-13T00:00:00"/>
    <n v="2223.3000000000002"/>
    <n v="2025"/>
    <s v="Large"/>
    <s v="Tier 2"/>
    <s v="Fruits &amp; Vegetables"/>
    <s v="Central"/>
    <s v="India"/>
    <s v="Home Office"/>
    <x v="406"/>
    <s v="ORD00552"/>
    <d v="2025-02-17T00:00:00"/>
    <d v="2025-02-19T00:00:00"/>
    <s v="Standard Class"/>
    <s v="Chhattisgarh"/>
    <n v="611133"/>
    <s v="PROD0010"/>
    <s v="Bananas"/>
    <s v="Bananas - 670"/>
    <n v="5"/>
    <n v="0"/>
    <n v="438.98"/>
  </r>
  <r>
    <s v="CUST0133"/>
    <s v="Aditya"/>
    <s v="Singh"/>
    <d v="1988-11-24T00:00:00"/>
    <n v="1590.02"/>
    <n v="2024"/>
    <s v="Medium"/>
    <s v="Tier 2"/>
    <s v="Staples"/>
    <s v="North"/>
    <s v="India"/>
    <s v="Consumer"/>
    <x v="407"/>
    <s v="ORD00553"/>
    <d v="2024-05-17T00:00:00"/>
    <d v="2024-05-18T00:00:00"/>
    <s v="Standard Class"/>
    <s v="Uttarakhand"/>
    <n v="719755"/>
    <s v="PROD0003"/>
    <s v="Pulses"/>
    <s v="Pulses - 685"/>
    <n v="8"/>
    <n v="0.2"/>
    <n v="154.06"/>
  </r>
  <r>
    <s v="CUST0133"/>
    <s v="Aditya"/>
    <s v="Singh"/>
    <d v="1988-11-24T00:00:00"/>
    <n v="869.15"/>
    <n v="2024"/>
    <s v="Medium"/>
    <s v="Tier 2"/>
    <s v="Beverages"/>
    <s v="North"/>
    <s v="India"/>
    <s v="Consumer"/>
    <x v="408"/>
    <s v="ORD00554"/>
    <d v="2024-07-21T00:00:00"/>
    <d v="2024-07-23T00:00:00"/>
    <s v="Same Day"/>
    <s v="Uttarakhand"/>
    <n v="902364"/>
    <s v="PROD0011"/>
    <s v="Juice"/>
    <s v="Juice - 884"/>
    <n v="5"/>
    <n v="0"/>
    <n v="197.42"/>
  </r>
  <r>
    <s v="CUST0133"/>
    <s v="Aditya"/>
    <s v="Singh"/>
    <d v="1988-11-24T00:00:00"/>
    <n v="451.02"/>
    <n v="2024"/>
    <s v="Small"/>
    <s v="Tier 2"/>
    <s v="Staples"/>
    <s v="North"/>
    <s v="India"/>
    <s v="Consumer"/>
    <x v="409"/>
    <s v="ORD00555"/>
    <d v="2024-08-05T00:00:00"/>
    <d v="2024-08-06T00:00:00"/>
    <s v="First Class"/>
    <s v="Uttarakhand"/>
    <n v="779564"/>
    <s v="PROD0009"/>
    <s v="Wheat Flour"/>
    <s v="Wheat Flour - 489"/>
    <n v="2"/>
    <n v="0"/>
    <n v="78.290000000000006"/>
  </r>
  <r>
    <s v="CUST0133"/>
    <s v="Aditya"/>
    <s v="Singh"/>
    <d v="1988-11-24T00:00:00"/>
    <n v="874.18"/>
    <n v="2024"/>
    <s v="Small"/>
    <s v="Tier 2"/>
    <s v="Bakery"/>
    <s v="North"/>
    <s v="India"/>
    <s v="Consumer"/>
    <x v="410"/>
    <s v="ORD00556"/>
    <d v="2024-11-06T00:00:00"/>
    <d v="2024-11-07T00:00:00"/>
    <s v="Standard Class"/>
    <s v="Uttarakhand"/>
    <n v="789719"/>
    <s v="PROD0006"/>
    <s v="Cookies"/>
    <s v="Cookies - 186"/>
    <n v="2"/>
    <n v="0"/>
    <n v="132.24"/>
  </r>
  <r>
    <s v="CUST0133"/>
    <s v="Aditya"/>
    <s v="Singh"/>
    <d v="1988-11-24T00:00:00"/>
    <n v="318.64999999999998"/>
    <n v="2024"/>
    <s v="Large"/>
    <s v="Tier 2"/>
    <s v="Beverages"/>
    <s v="North"/>
    <s v="India"/>
    <s v="Consumer"/>
    <x v="411"/>
    <s v="ORD00557"/>
    <d v="2024-11-22T00:00:00"/>
    <d v="2024-11-25T00:00:00"/>
    <s v="Standard Class"/>
    <s v="Uttarakhand"/>
    <n v="438083"/>
    <s v="PROD0015"/>
    <s v="Soft Drinks"/>
    <s v="Soft Drinks - 373"/>
    <n v="1"/>
    <n v="0.1"/>
    <n v="18.059999999999999"/>
  </r>
  <r>
    <s v="CUST0134"/>
    <s v="Pooja"/>
    <s v="Krishnan"/>
    <d v="1980-04-22T00:00:00"/>
    <n v="1672.51"/>
    <n v="2023"/>
    <s v="Medium"/>
    <s v="Tier 2"/>
    <s v="Staples"/>
    <s v="South"/>
    <s v="India"/>
    <s v="Corporate"/>
    <x v="200"/>
    <s v="ORD00558"/>
    <d v="2023-04-13T00:00:00"/>
    <d v="2023-04-15T00:00:00"/>
    <s v="Second Class"/>
    <s v="Tamil Nadu"/>
    <n v="557169"/>
    <s v="PROD0012"/>
    <s v="Rice"/>
    <s v="Rice - 444"/>
    <n v="8"/>
    <n v="0.2"/>
    <n v="418.49"/>
  </r>
  <r>
    <s v="CUST0134"/>
    <s v="Pooja"/>
    <s v="Krishnan"/>
    <d v="1980-04-22T00:00:00"/>
    <n v="762.08"/>
    <n v="2024"/>
    <s v="Medium"/>
    <s v="Tier 2"/>
    <s v="Dairy"/>
    <s v="South"/>
    <s v="India"/>
    <s v="Corporate"/>
    <x v="412"/>
    <s v="ORD00559"/>
    <d v="2024-05-15T00:00:00"/>
    <d v="2024-05-18T00:00:00"/>
    <s v="Standard Class"/>
    <s v="Tamil Nadu"/>
    <n v="943687"/>
    <s v="PROD0013"/>
    <s v="Butter"/>
    <s v="Butter - 750"/>
    <n v="2"/>
    <n v="0.1"/>
    <n v="87.05"/>
  </r>
  <r>
    <s v="CUST0134"/>
    <s v="Pooja"/>
    <s v="Krishnan"/>
    <d v="1980-04-22T00:00:00"/>
    <n v="654.70000000000005"/>
    <n v="2024"/>
    <s v="Medium"/>
    <s v="Tier 2"/>
    <s v="Dairy"/>
    <s v="South"/>
    <s v="India"/>
    <s v="Corporate"/>
    <x v="205"/>
    <s v="ORD00560"/>
    <d v="2024-12-08T00:00:00"/>
    <d v="2024-12-13T00:00:00"/>
    <s v="Standard Class"/>
    <s v="Tamil Nadu"/>
    <n v="319927"/>
    <s v="PROD0021"/>
    <s v="Milk"/>
    <s v="Milk - 834"/>
    <n v="10"/>
    <n v="0"/>
    <n v="86.43"/>
  </r>
  <r>
    <s v="CUST0134"/>
    <s v="Pooja"/>
    <s v="Krishnan"/>
    <d v="1980-04-22T00:00:00"/>
    <n v="1311.15"/>
    <n v="2025"/>
    <s v="Small"/>
    <s v="Tier 2"/>
    <s v="Bakery"/>
    <s v="South"/>
    <s v="India"/>
    <s v="Corporate"/>
    <x v="413"/>
    <s v="ORD00561"/>
    <d v="2025-04-07T00:00:00"/>
    <d v="2025-04-12T00:00:00"/>
    <s v="Standard Class"/>
    <s v="Tamil Nadu"/>
    <n v="521843"/>
    <s v="PROD0002"/>
    <s v="Bread"/>
    <s v="Bread - 767"/>
    <n v="5"/>
    <n v="0"/>
    <n v="235.84"/>
  </r>
  <r>
    <s v="CUST0135"/>
    <s v="Reyansh"/>
    <s v="Chatterjee"/>
    <d v="1981-04-01T00:00:00"/>
    <n v="3516.21"/>
    <n v="2024"/>
    <s v="Large"/>
    <s v="Tier 1"/>
    <s v="Snacks"/>
    <s v="East"/>
    <s v="India"/>
    <s v="Corporate"/>
    <x v="414"/>
    <s v="ORD00562"/>
    <d v="2024-04-09T00:00:00"/>
    <d v="2024-04-13T00:00:00"/>
    <s v="Standard Class"/>
    <s v="West Bengal"/>
    <n v="693616"/>
    <s v="PROD0007"/>
    <s v="Chips"/>
    <s v="Chips - 119"/>
    <n v="9"/>
    <n v="0.1"/>
    <n v="702.4"/>
  </r>
  <r>
    <s v="CUST0135"/>
    <s v="Reyansh"/>
    <s v="Chatterjee"/>
    <d v="1981-04-01T00:00:00"/>
    <n v="994.45"/>
    <n v="2024"/>
    <s v="Large"/>
    <s v="Tier 1"/>
    <s v="Staples"/>
    <s v="East"/>
    <s v="India"/>
    <s v="Corporate"/>
    <x v="415"/>
    <s v="ORD00563"/>
    <d v="2024-06-11T00:00:00"/>
    <d v="2024-06-13T00:00:00"/>
    <s v="Second Class"/>
    <s v="West Bengal"/>
    <n v="985126"/>
    <s v="PROD0003"/>
    <s v="Pulses"/>
    <s v="Pulses - 161"/>
    <n v="9"/>
    <n v="0.05"/>
    <n v="93.8"/>
  </r>
  <r>
    <s v="CUST0135"/>
    <s v="Reyansh"/>
    <s v="Chatterjee"/>
    <d v="1981-04-01T00:00:00"/>
    <n v="518.86"/>
    <n v="2024"/>
    <s v="Medium"/>
    <s v="Tier 1"/>
    <s v="Beverages"/>
    <s v="East"/>
    <s v="India"/>
    <s v="Corporate"/>
    <x v="416"/>
    <s v="ORD00564"/>
    <d v="2024-11-18T00:00:00"/>
    <d v="2024-11-21T00:00:00"/>
    <s v="First Class"/>
    <s v="West Bengal"/>
    <n v="525581"/>
    <s v="PROD0015"/>
    <s v="Soft Drinks"/>
    <s v="Soft Drinks - 426"/>
    <n v="2"/>
    <n v="0.2"/>
    <n v="90.14"/>
  </r>
  <r>
    <s v="CUST0136"/>
    <s v="Diya"/>
    <s v="Venkatesh"/>
    <d v="1988-05-28T00:00:00"/>
    <n v="1092.5999999999999"/>
    <n v="2023"/>
    <s v="Small"/>
    <s v="Tier 2"/>
    <s v="Fruits &amp; Vegetables"/>
    <s v="West"/>
    <s v="India"/>
    <s v="Corporate"/>
    <x v="318"/>
    <s v="ORD00565"/>
    <d v="2023-06-03T00:00:00"/>
    <d v="2023-06-07T00:00:00"/>
    <s v="First Class"/>
    <s v="Goa"/>
    <n v="385959"/>
    <s v="PROD0010"/>
    <s v="Bananas"/>
    <s v="Bananas - 916"/>
    <n v="5"/>
    <n v="0.1"/>
    <n v="379.56"/>
  </r>
  <r>
    <s v="CUST0136"/>
    <s v="Diya"/>
    <s v="Venkatesh"/>
    <d v="1988-05-28T00:00:00"/>
    <n v="1680.8"/>
    <n v="2023"/>
    <s v="Small"/>
    <s v="Tier 2"/>
    <s v="Dairy"/>
    <s v="West"/>
    <s v="India"/>
    <s v="Corporate"/>
    <x v="102"/>
    <s v="ORD00566"/>
    <d v="2023-07-16T00:00:00"/>
    <d v="2023-07-17T00:00:00"/>
    <s v="Same Day"/>
    <s v="Goa"/>
    <n v="188006"/>
    <s v="PROD0021"/>
    <s v="Milk"/>
    <s v="Milk - 364"/>
    <n v="5"/>
    <n v="0"/>
    <n v="408.92"/>
  </r>
  <r>
    <s v="CUST0137"/>
    <s v="Manoj"/>
    <s v="Kulkarni"/>
    <d v="1997-10-17T00:00:00"/>
    <n v="336.82"/>
    <n v="2023"/>
    <s v="Small"/>
    <s v="Tier 2"/>
    <s v="Beverages"/>
    <s v="Central"/>
    <s v="India"/>
    <s v="Corporate"/>
    <x v="271"/>
    <s v="ORD00567"/>
    <d v="2023-03-07T00:00:00"/>
    <d v="2023-03-09T00:00:00"/>
    <s v="Same Day"/>
    <s v="Madhya Pradesh"/>
    <n v="647312"/>
    <s v="PROD0011"/>
    <s v="Juice"/>
    <s v="Juice - 787"/>
    <n v="2"/>
    <n v="0.2"/>
    <n v="90.02"/>
  </r>
  <r>
    <s v="CUST0137"/>
    <s v="Manoj"/>
    <s v="Kulkarni"/>
    <d v="1997-10-17T00:00:00"/>
    <n v="1267.83"/>
    <n v="2023"/>
    <s v="Medium"/>
    <s v="Tier 2"/>
    <s v="Staples"/>
    <s v="Central"/>
    <s v="India"/>
    <s v="Corporate"/>
    <x v="154"/>
    <s v="ORD00568"/>
    <d v="2023-11-02T00:00:00"/>
    <d v="2023-11-03T00:00:00"/>
    <s v="Standard Class"/>
    <s v="Madhya Pradesh"/>
    <n v="944986"/>
    <s v="PROD0003"/>
    <s v="Pulses"/>
    <s v="Pulses - 893"/>
    <n v="9"/>
    <n v="0"/>
    <n v="153.94"/>
  </r>
  <r>
    <s v="CUST0137"/>
    <s v="Manoj"/>
    <s v="Kulkarni"/>
    <d v="1997-10-17T00:00:00"/>
    <n v="872.48"/>
    <n v="2025"/>
    <s v="Medium"/>
    <s v="Tier 2"/>
    <s v="Staples"/>
    <s v="Central"/>
    <s v="India"/>
    <s v="Corporate"/>
    <x v="417"/>
    <s v="ORD00569"/>
    <d v="2025-06-06T00:00:00"/>
    <d v="2025-06-09T00:00:00"/>
    <s v="Second Class"/>
    <s v="Madhya Pradesh"/>
    <n v="718115"/>
    <s v="PROD0003"/>
    <s v="Pulses"/>
    <s v="Pulses - 341"/>
    <n v="7"/>
    <n v="0"/>
    <n v="89.47"/>
  </r>
  <r>
    <s v="CUST0138"/>
    <s v="Myra"/>
    <s v="Kulkarni"/>
    <d v="1968-11-20T00:00:00"/>
    <n v="1607.17"/>
    <n v="2024"/>
    <s v="Medium"/>
    <s v="Tier 2"/>
    <s v="Bakery"/>
    <s v="West"/>
    <s v="India"/>
    <s v="Consumer"/>
    <x v="418"/>
    <s v="ORD00570"/>
    <d v="2024-06-30T00:00:00"/>
    <d v="2024-07-03T00:00:00"/>
    <s v="Standard Class"/>
    <s v="Goa"/>
    <n v="850435"/>
    <s v="PROD0006"/>
    <s v="Cookies"/>
    <s v="Cookies - 215"/>
    <n v="6"/>
    <n v="0.05"/>
    <n v="409.54"/>
  </r>
  <r>
    <s v="CUST0139"/>
    <s v="Ganesh"/>
    <s v="Mukherjee"/>
    <d v="1990-07-25T00:00:00"/>
    <n v="281.22000000000003"/>
    <n v="2023"/>
    <s v="Medium"/>
    <s v="Tier 2"/>
    <s v="Snacks"/>
    <s v="Central"/>
    <s v="India"/>
    <s v="Corporate"/>
    <x v="119"/>
    <s v="ORD00571"/>
    <d v="2023-01-22T00:00:00"/>
    <d v="2023-01-25T00:00:00"/>
    <s v="Second Class"/>
    <s v="Chhattisgarh"/>
    <n v="951706"/>
    <s v="PROD0007"/>
    <s v="Chips"/>
    <s v="Chips - 961"/>
    <n v="1"/>
    <n v="0.2"/>
    <n v="70.72"/>
  </r>
  <r>
    <s v="CUST0139"/>
    <s v="Ganesh"/>
    <s v="Mukherjee"/>
    <d v="1990-07-25T00:00:00"/>
    <n v="1640.35"/>
    <n v="2023"/>
    <s v="Medium"/>
    <s v="Tier 2"/>
    <s v="Staples"/>
    <s v="Central"/>
    <s v="India"/>
    <s v="Corporate"/>
    <x v="351"/>
    <s v="ORD00572"/>
    <d v="2023-11-12T00:00:00"/>
    <d v="2023-11-16T00:00:00"/>
    <s v="Same Day"/>
    <s v="Chhattisgarh"/>
    <n v="962671"/>
    <s v="PROD0012"/>
    <s v="Rice"/>
    <s v="Rice - 647"/>
    <n v="4"/>
    <n v="0.05"/>
    <n v="85.89"/>
  </r>
  <r>
    <s v="CUST0139"/>
    <s v="Ganesh"/>
    <s v="Mukherjee"/>
    <d v="1990-07-25T00:00:00"/>
    <n v="1172.06"/>
    <n v="2024"/>
    <s v="Medium"/>
    <s v="Tier 2"/>
    <s v="Dairy"/>
    <s v="Central"/>
    <s v="India"/>
    <s v="Corporate"/>
    <x v="419"/>
    <s v="ORD00573"/>
    <d v="2024-10-22T00:00:00"/>
    <d v="2024-10-26T00:00:00"/>
    <s v="Same Day"/>
    <s v="Chhattisgarh"/>
    <n v="963185"/>
    <s v="PROD0020"/>
    <s v="Paneer"/>
    <s v="Paneer - 315"/>
    <n v="3"/>
    <n v="0.15"/>
    <n v="170.13"/>
  </r>
  <r>
    <s v="CUST0140"/>
    <s v="Vivaan"/>
    <s v="Bose"/>
    <d v="1979-08-01T00:00:00"/>
    <n v="706.71"/>
    <n v="2024"/>
    <s v="Medium"/>
    <s v="Tier 1"/>
    <s v="Bakery"/>
    <s v="West"/>
    <s v="India"/>
    <s v="Consumer"/>
    <x v="107"/>
    <s v="ORD00574"/>
    <d v="2024-02-27T00:00:00"/>
    <d v="2024-02-28T00:00:00"/>
    <s v="Second Class"/>
    <s v="Maharashtra"/>
    <n v="575279"/>
    <s v="PROD0006"/>
    <s v="Cookies"/>
    <s v="Cookies - 532"/>
    <n v="2"/>
    <n v="0.15"/>
    <n v="90.66"/>
  </r>
  <r>
    <s v="CUST0140"/>
    <s v="Vivaan"/>
    <s v="Bose"/>
    <d v="1979-08-01T00:00:00"/>
    <n v="327.86"/>
    <n v="2024"/>
    <s v="Medium"/>
    <s v="Tier 1"/>
    <s v="Staples"/>
    <s v="West"/>
    <s v="India"/>
    <s v="Consumer"/>
    <x v="420"/>
    <s v="ORD00575"/>
    <d v="2024-04-27T00:00:00"/>
    <d v="2024-04-29T00:00:00"/>
    <s v="First Class"/>
    <s v="Maharashtra"/>
    <n v="758816"/>
    <s v="PROD0012"/>
    <s v="Rice"/>
    <s v="Rice - 880"/>
    <n v="1"/>
    <n v="0"/>
    <n v="78.37"/>
  </r>
  <r>
    <s v="CUST0140"/>
    <s v="Vivaan"/>
    <s v="Bose"/>
    <d v="1979-08-01T00:00:00"/>
    <n v="146.4"/>
    <n v="2024"/>
    <s v="Large"/>
    <s v="Tier 1"/>
    <s v="Bakery"/>
    <s v="West"/>
    <s v="India"/>
    <s v="Consumer"/>
    <x v="421"/>
    <s v="ORD00576"/>
    <d v="2024-05-18T00:00:00"/>
    <d v="2024-05-20T00:00:00"/>
    <s v="Standard Class"/>
    <s v="Maharashtra"/>
    <n v="931145"/>
    <s v="PROD0018"/>
    <s v="Buns"/>
    <s v="Buns - 689"/>
    <n v="2"/>
    <n v="0"/>
    <n v="30"/>
  </r>
  <r>
    <s v="CUST0140"/>
    <s v="Vivaan"/>
    <s v="Bose"/>
    <d v="1979-08-01T00:00:00"/>
    <n v="370.08"/>
    <n v="2025"/>
    <s v="Small"/>
    <s v="Tier 1"/>
    <s v="Bakery"/>
    <s v="West"/>
    <s v="India"/>
    <s v="Consumer"/>
    <x v="422"/>
    <s v="ORD00577"/>
    <d v="2025-01-24T00:00:00"/>
    <d v="2025-01-27T00:00:00"/>
    <s v="Same Day"/>
    <s v="Maharashtra"/>
    <n v="534631"/>
    <s v="PROD0018"/>
    <s v="Buns"/>
    <s v="Buns - 589"/>
    <n v="3"/>
    <n v="0.15"/>
    <n v="84.34"/>
  </r>
  <r>
    <s v="CUST0140"/>
    <s v="Vivaan"/>
    <s v="Bose"/>
    <d v="1979-08-01T00:00:00"/>
    <n v="2982.92"/>
    <n v="2025"/>
    <s v="Small"/>
    <s v="Tier 1"/>
    <s v="Bakery"/>
    <s v="West"/>
    <s v="India"/>
    <s v="Consumer"/>
    <x v="423"/>
    <s v="ORD00578"/>
    <d v="2025-05-11T00:00:00"/>
    <d v="2025-05-12T00:00:00"/>
    <s v="Standard Class"/>
    <s v="Maharashtra"/>
    <n v="307897"/>
    <s v="PROD0002"/>
    <s v="Bread"/>
    <s v="Bread - 502"/>
    <n v="7"/>
    <n v="0.1"/>
    <n v="350.03"/>
  </r>
  <r>
    <s v="CUST0141"/>
    <s v="Suresh"/>
    <s v="Deshmukh"/>
    <d v="1976-08-03T00:00:00"/>
    <n v="458.2"/>
    <n v="2023"/>
    <s v="Small"/>
    <s v="Tier 2"/>
    <s v="Beverages"/>
    <s v="North"/>
    <s v="India"/>
    <s v="Home Office"/>
    <x v="424"/>
    <s v="ORD00579"/>
    <d v="2023-02-20T00:00:00"/>
    <d v="2023-02-25T00:00:00"/>
    <s v="Standard Class"/>
    <s v="Punjab"/>
    <n v="910926"/>
    <s v="PROD0015"/>
    <s v="Soft Drinks"/>
    <s v="Soft Drinks - 714"/>
    <n v="5"/>
    <n v="0"/>
    <n v="46.3"/>
  </r>
  <r>
    <s v="CUST0141"/>
    <s v="Suresh"/>
    <s v="Deshmukh"/>
    <d v="1976-08-03T00:00:00"/>
    <n v="1450.04"/>
    <n v="2023"/>
    <s v="Large"/>
    <s v="Tier 2"/>
    <s v="Beverages"/>
    <s v="North"/>
    <s v="India"/>
    <s v="Home Office"/>
    <x v="159"/>
    <s v="ORD00580"/>
    <d v="2023-06-22T00:00:00"/>
    <d v="2023-06-25T00:00:00"/>
    <s v="Standard Class"/>
    <s v="Punjab"/>
    <n v="500633"/>
    <s v="PROD0015"/>
    <s v="Soft Drinks"/>
    <s v="Soft Drinks - 221"/>
    <n v="4"/>
    <n v="0"/>
    <n v="484.05"/>
  </r>
  <r>
    <s v="CUST0141"/>
    <s v="Suresh"/>
    <s v="Deshmukh"/>
    <d v="1976-08-03T00:00:00"/>
    <n v="985.73"/>
    <n v="2025"/>
    <s v="Small"/>
    <s v="Tier 2"/>
    <s v="Dairy"/>
    <s v="North"/>
    <s v="India"/>
    <s v="Home Office"/>
    <x v="65"/>
    <s v="ORD00581"/>
    <d v="2025-05-22T00:00:00"/>
    <d v="2025-05-24T00:00:00"/>
    <s v="Standard Class"/>
    <s v="Punjab"/>
    <n v="930958"/>
    <s v="PROD0013"/>
    <s v="Butter"/>
    <s v="Butter - 976"/>
    <n v="4"/>
    <n v="0.2"/>
    <n v="132.97"/>
  </r>
  <r>
    <s v="CUST0142"/>
    <s v="Ayesha"/>
    <s v="Mishra"/>
    <d v="1977-05-24T00:00:00"/>
    <n v="1528.93"/>
    <n v="2023"/>
    <s v="Small"/>
    <s v="Tier 2"/>
    <s v="Dairy"/>
    <s v="East"/>
    <s v="India"/>
    <s v="Home Office"/>
    <x v="425"/>
    <s v="ORD00582"/>
    <d v="2023-09-26T00:00:00"/>
    <d v="2023-09-27T00:00:00"/>
    <s v="Second Class"/>
    <s v="Jharkhand"/>
    <n v="826687"/>
    <s v="PROD0013"/>
    <s v="Butter"/>
    <s v="Butter - 354"/>
    <n v="6"/>
    <n v="0.15"/>
    <n v="286.60000000000002"/>
  </r>
  <r>
    <s v="CUST0142"/>
    <s v="Ayesha"/>
    <s v="Mishra"/>
    <d v="1977-05-24T00:00:00"/>
    <n v="2142.36"/>
    <n v="2023"/>
    <s v="Large"/>
    <s v="Tier 2"/>
    <s v="Beverages"/>
    <s v="East"/>
    <s v="India"/>
    <s v="Home Office"/>
    <x v="426"/>
    <s v="ORD00583"/>
    <d v="2023-10-25T00:00:00"/>
    <d v="2023-10-26T00:00:00"/>
    <s v="Same Day"/>
    <s v="Jharkhand"/>
    <n v="154644"/>
    <s v="PROD0017"/>
    <s v="Coffee"/>
    <s v="Coffee - 830"/>
    <n v="7"/>
    <n v="0.15"/>
    <n v="490.94"/>
  </r>
  <r>
    <s v="CUST0143"/>
    <s v="Saanvi"/>
    <s v="Iyer"/>
    <d v="1975-10-30T00:00:00"/>
    <n v="2884.72"/>
    <n v="2023"/>
    <s v="Medium"/>
    <s v="Tier 2"/>
    <s v="Snacks"/>
    <s v="North"/>
    <s v="India"/>
    <s v="Home Office"/>
    <x v="427"/>
    <s v="ORD00584"/>
    <d v="2023-08-29T00:00:00"/>
    <d v="2023-09-01T00:00:00"/>
    <s v="Standard Class"/>
    <s v="Uttarakhand"/>
    <n v="803869"/>
    <s v="PROD0004"/>
    <s v="Biscuits"/>
    <s v="Biscuits - 921"/>
    <n v="10"/>
    <n v="0.2"/>
    <n v="183.62"/>
  </r>
  <r>
    <s v="CUST0143"/>
    <s v="Saanvi"/>
    <s v="Iyer"/>
    <d v="1975-10-30T00:00:00"/>
    <n v="298.63"/>
    <n v="2023"/>
    <s v="Medium"/>
    <s v="Tier 2"/>
    <s v="Bakery"/>
    <s v="North"/>
    <s v="India"/>
    <s v="Home Office"/>
    <x v="229"/>
    <s v="ORD00585"/>
    <d v="2023-12-29T00:00:00"/>
    <d v="2024-01-02T00:00:00"/>
    <s v="First Class"/>
    <s v="Uttarakhand"/>
    <n v="194002"/>
    <s v="PROD0002"/>
    <s v="Bread"/>
    <s v="Bread - 672"/>
    <n v="1"/>
    <n v="0"/>
    <n v="30.15"/>
  </r>
  <r>
    <s v="CUST0143"/>
    <s v="Saanvi"/>
    <s v="Iyer"/>
    <d v="1975-10-30T00:00:00"/>
    <n v="616.41999999999996"/>
    <n v="2024"/>
    <s v="Medium"/>
    <s v="Tier 2"/>
    <s v="Bakery"/>
    <s v="North"/>
    <s v="India"/>
    <s v="Home Office"/>
    <x v="301"/>
    <s v="ORD00586"/>
    <d v="2024-04-27T00:00:00"/>
    <d v="2024-04-29T00:00:00"/>
    <s v="Second Class"/>
    <s v="Uttarakhand"/>
    <n v="550977"/>
    <s v="PROD0006"/>
    <s v="Cookies"/>
    <s v="Cookies - 643"/>
    <n v="7"/>
    <n v="0"/>
    <n v="88.75"/>
  </r>
  <r>
    <s v="CUST0144"/>
    <s v="Ganesh"/>
    <s v="Menon"/>
    <d v="1995-12-24T00:00:00"/>
    <n v="3139.36"/>
    <n v="2023"/>
    <s v="Large"/>
    <s v="Tier 2"/>
    <s v="Bakery"/>
    <s v="East"/>
    <s v="India"/>
    <s v="Corporate"/>
    <x v="212"/>
    <s v="ORD00587"/>
    <d v="2023-09-27T00:00:00"/>
    <d v="2023-10-01T00:00:00"/>
    <s v="Standard Class"/>
    <s v="Odisha"/>
    <n v="155807"/>
    <s v="PROD0006"/>
    <s v="Cookies"/>
    <s v="Cookies - 420"/>
    <n v="7"/>
    <n v="0"/>
    <n v="850.96"/>
  </r>
  <r>
    <s v="CUST0144"/>
    <s v="Ganesh"/>
    <s v="Menon"/>
    <d v="1995-12-24T00:00:00"/>
    <n v="410.06"/>
    <n v="2024"/>
    <s v="Small"/>
    <s v="Tier 2"/>
    <s v="Dairy"/>
    <s v="East"/>
    <s v="India"/>
    <s v="Corporate"/>
    <x v="335"/>
    <s v="ORD00588"/>
    <d v="2024-09-19T00:00:00"/>
    <d v="2024-09-23T00:00:00"/>
    <s v="Standard Class"/>
    <s v="Odisha"/>
    <n v="142773"/>
    <s v="PROD0005"/>
    <s v="Yogurt"/>
    <s v="Yogurt - 155"/>
    <n v="4"/>
    <n v="0.05"/>
    <n v="52.52"/>
  </r>
  <r>
    <s v="CUST0144"/>
    <s v="Ganesh"/>
    <s v="Menon"/>
    <d v="1995-12-24T00:00:00"/>
    <n v="2162.29"/>
    <n v="2025"/>
    <s v="Medium"/>
    <s v="Tier 2"/>
    <s v="Beverages"/>
    <s v="East"/>
    <s v="India"/>
    <s v="Corporate"/>
    <x v="428"/>
    <s v="ORD00589"/>
    <d v="2025-06-16T00:00:00"/>
    <d v="2025-06-18T00:00:00"/>
    <s v="Same Day"/>
    <s v="Odisha"/>
    <n v="313630"/>
    <s v="PROD0011"/>
    <s v="Juice"/>
    <s v="Juice - 826"/>
    <n v="9"/>
    <n v="0.05"/>
    <n v="181.09"/>
  </r>
  <r>
    <s v="CUST0145"/>
    <s v="Vivaan"/>
    <s v="Iyer"/>
    <d v="1978-03-14T00:00:00"/>
    <n v="1219.5"/>
    <n v="2023"/>
    <s v="Medium"/>
    <s v="Tier 2"/>
    <s v="Bakery"/>
    <s v="West"/>
    <s v="India"/>
    <s v="Home Office"/>
    <x v="429"/>
    <s v="ORD00590"/>
    <d v="2023-06-22T00:00:00"/>
    <d v="2023-06-27T00:00:00"/>
    <s v="Same Day"/>
    <s v="Rajasthan"/>
    <n v="358114"/>
    <s v="PROD0006"/>
    <s v="Cookies"/>
    <s v="Cookies - 779"/>
    <n v="10"/>
    <n v="0"/>
    <n v="253.42"/>
  </r>
  <r>
    <s v="CUST0145"/>
    <s v="Vivaan"/>
    <s v="Iyer"/>
    <d v="1978-03-14T00:00:00"/>
    <n v="132.99"/>
    <n v="2023"/>
    <s v="Medium"/>
    <s v="Tier 2"/>
    <s v="Beverages"/>
    <s v="West"/>
    <s v="India"/>
    <s v="Home Office"/>
    <x v="26"/>
    <s v="ORD00591"/>
    <d v="2023-07-04T00:00:00"/>
    <d v="2023-07-07T00:00:00"/>
    <s v="First Class"/>
    <s v="Rajasthan"/>
    <n v="130277"/>
    <s v="PROD0019"/>
    <s v="Tea"/>
    <s v="Tea - 436"/>
    <n v="1"/>
    <n v="0.15"/>
    <n v="11.52"/>
  </r>
  <r>
    <s v="CUST0145"/>
    <s v="Vivaan"/>
    <s v="Iyer"/>
    <d v="1978-03-14T00:00:00"/>
    <n v="1903.6"/>
    <n v="2024"/>
    <s v="Small"/>
    <s v="Tier 2"/>
    <s v="Fruits &amp; Vegetables"/>
    <s v="West"/>
    <s v="India"/>
    <s v="Home Office"/>
    <x v="430"/>
    <s v="ORD00592"/>
    <d v="2024-06-04T00:00:00"/>
    <d v="2024-06-05T00:00:00"/>
    <s v="Standard Class"/>
    <s v="Rajasthan"/>
    <n v="440698"/>
    <s v="PROD0008"/>
    <s v="Onions"/>
    <s v="Onions - 950"/>
    <n v="8"/>
    <n v="0"/>
    <n v="434.52"/>
  </r>
  <r>
    <s v="CUST0145"/>
    <s v="Vivaan"/>
    <s v="Iyer"/>
    <d v="1978-03-14T00:00:00"/>
    <n v="656.56"/>
    <n v="2025"/>
    <s v="Small"/>
    <s v="Tier 2"/>
    <s v="Staples"/>
    <s v="West"/>
    <s v="India"/>
    <s v="Home Office"/>
    <x v="431"/>
    <s v="ORD00593"/>
    <d v="2025-02-06T00:00:00"/>
    <d v="2025-02-09T00:00:00"/>
    <s v="Same Day"/>
    <s v="Rajasthan"/>
    <n v="673734"/>
    <s v="PROD0003"/>
    <s v="Pulses"/>
    <s v="Pulses - 916"/>
    <n v="10"/>
    <n v="0.2"/>
    <n v="42.42"/>
  </r>
  <r>
    <s v="CUST0145"/>
    <s v="Vivaan"/>
    <s v="Iyer"/>
    <d v="1978-03-14T00:00:00"/>
    <n v="997.36"/>
    <n v="2025"/>
    <s v="Small"/>
    <s v="Tier 2"/>
    <s v="Snacks"/>
    <s v="West"/>
    <s v="India"/>
    <s v="Home Office"/>
    <x v="196"/>
    <s v="ORD00594"/>
    <d v="2025-04-22T00:00:00"/>
    <d v="2025-04-26T00:00:00"/>
    <s v="First Class"/>
    <s v="Rajasthan"/>
    <n v="270855"/>
    <s v="PROD0001"/>
    <s v="Namkeen"/>
    <s v="Namkeen - 194"/>
    <n v="7"/>
    <n v="0"/>
    <n v="338.62"/>
  </r>
  <r>
    <s v="CUST0145"/>
    <s v="Vivaan"/>
    <s v="Iyer"/>
    <d v="1978-03-14T00:00:00"/>
    <n v="221.99"/>
    <n v="2025"/>
    <s v="Medium"/>
    <s v="Tier 2"/>
    <s v="Beverages"/>
    <s v="West"/>
    <s v="India"/>
    <s v="Home Office"/>
    <x v="432"/>
    <s v="ORD00595"/>
    <d v="2025-05-04T00:00:00"/>
    <d v="2025-05-07T00:00:00"/>
    <s v="Same Day"/>
    <s v="Rajasthan"/>
    <n v="972470"/>
    <s v="PROD0015"/>
    <s v="Soft Drinks"/>
    <s v="Soft Drinks - 391"/>
    <n v="3"/>
    <n v="0.05"/>
    <n v="64.45"/>
  </r>
  <r>
    <s v="CUST0146"/>
    <s v="Myra"/>
    <s v="Patel"/>
    <d v="1994-10-14T00:00:00"/>
    <n v="3081.6"/>
    <n v="2023"/>
    <s v="Medium"/>
    <s v="Tier 2"/>
    <s v="Beverages"/>
    <s v="Central"/>
    <s v="India"/>
    <s v="Corporate"/>
    <x v="433"/>
    <s v="ORD00596"/>
    <d v="2023-07-24T00:00:00"/>
    <d v="2023-07-27T00:00:00"/>
    <s v="Standard Class"/>
    <s v="Madhya Pradesh"/>
    <n v="197462"/>
    <s v="PROD0015"/>
    <s v="Soft Drinks"/>
    <s v="Soft Drinks - 374"/>
    <n v="10"/>
    <n v="0"/>
    <n v="853.44"/>
  </r>
  <r>
    <s v="CUST0146"/>
    <s v="Myra"/>
    <s v="Patel"/>
    <d v="1994-10-14T00:00:00"/>
    <n v="1124.8900000000001"/>
    <n v="2024"/>
    <s v="Large"/>
    <s v="Tier 2"/>
    <s v="Fruits &amp; Vegetables"/>
    <s v="Central"/>
    <s v="India"/>
    <s v="Corporate"/>
    <x v="434"/>
    <s v="ORD00597"/>
    <d v="2024-04-01T00:00:00"/>
    <d v="2024-04-05T00:00:00"/>
    <s v="Same Day"/>
    <s v="Madhya Pradesh"/>
    <n v="404824"/>
    <s v="PROD0014"/>
    <s v="Tomatoes"/>
    <s v="Tomatoes - 574"/>
    <n v="4"/>
    <n v="0.15"/>
    <n v="108.58"/>
  </r>
  <r>
    <s v="CUST0146"/>
    <s v="Myra"/>
    <s v="Patel"/>
    <d v="1994-10-14T00:00:00"/>
    <n v="1313.52"/>
    <n v="2024"/>
    <s v="Large"/>
    <s v="Tier 2"/>
    <s v="Beverages"/>
    <s v="Central"/>
    <s v="India"/>
    <s v="Corporate"/>
    <x v="435"/>
    <s v="ORD00598"/>
    <d v="2024-05-16T00:00:00"/>
    <d v="2024-05-19T00:00:00"/>
    <s v="Standard Class"/>
    <s v="Madhya Pradesh"/>
    <n v="409834"/>
    <s v="PROD0015"/>
    <s v="Soft Drinks"/>
    <s v="Soft Drinks - 181"/>
    <n v="8"/>
    <n v="0"/>
    <n v="335.33"/>
  </r>
  <r>
    <s v="CUST0147"/>
    <s v="Divya"/>
    <s v="Naidu"/>
    <d v="1980-06-03T00:00:00"/>
    <n v="413.17"/>
    <n v="2023"/>
    <s v="Medium"/>
    <s v="Tier 2"/>
    <s v="Fruits &amp; Vegetables"/>
    <s v="North"/>
    <s v="India"/>
    <s v="Corporate"/>
    <x v="436"/>
    <s v="ORD00599"/>
    <d v="2023-02-16T00:00:00"/>
    <d v="2023-02-19T00:00:00"/>
    <s v="Same Day"/>
    <s v="Uttarakhand"/>
    <n v="905984"/>
    <s v="PROD0008"/>
    <s v="Onions"/>
    <s v="Onions - 522"/>
    <n v="2"/>
    <n v="0.15"/>
    <n v="91.12"/>
  </r>
  <r>
    <s v="CUST0147"/>
    <s v="Divya"/>
    <s v="Naidu"/>
    <d v="1980-06-03T00:00:00"/>
    <n v="849.52"/>
    <n v="2023"/>
    <s v="Medium"/>
    <s v="Tier 2"/>
    <s v="Snacks"/>
    <s v="North"/>
    <s v="India"/>
    <s v="Corporate"/>
    <x v="81"/>
    <s v="ORD00600"/>
    <d v="2023-03-20T00:00:00"/>
    <d v="2023-03-21T00:00:00"/>
    <s v="Second Class"/>
    <s v="Uttarakhand"/>
    <n v="429196"/>
    <s v="PROD0007"/>
    <s v="Chips"/>
    <s v="Chips - 216"/>
    <n v="8"/>
    <n v="0"/>
    <n v="257.3"/>
  </r>
  <r>
    <s v="CUST0147"/>
    <s v="Divya"/>
    <s v="Naidu"/>
    <d v="1980-06-03T00:00:00"/>
    <n v="2555.44"/>
    <n v="2024"/>
    <s v="Small"/>
    <s v="Tier 2"/>
    <s v="Snacks"/>
    <s v="North"/>
    <s v="India"/>
    <s v="Corporate"/>
    <x v="437"/>
    <s v="ORD00601"/>
    <d v="2024-06-09T00:00:00"/>
    <d v="2024-06-11T00:00:00"/>
    <s v="Same Day"/>
    <s v="Uttarakhand"/>
    <n v="883317"/>
    <s v="PROD0004"/>
    <s v="Biscuits"/>
    <s v="Biscuits - 565"/>
    <n v="8"/>
    <n v="0"/>
    <n v="389.45"/>
  </r>
  <r>
    <s v="CUST0147"/>
    <s v="Divya"/>
    <s v="Naidu"/>
    <d v="1980-06-03T00:00:00"/>
    <n v="456.44"/>
    <n v="2024"/>
    <s v="Small"/>
    <s v="Tier 2"/>
    <s v="Snacks"/>
    <s v="North"/>
    <s v="India"/>
    <s v="Corporate"/>
    <x v="438"/>
    <s v="ORD00602"/>
    <d v="2024-07-18T00:00:00"/>
    <d v="2024-07-19T00:00:00"/>
    <s v="Standard Class"/>
    <s v="Uttarakhand"/>
    <n v="582515"/>
    <s v="PROD0001"/>
    <s v="Namkeen"/>
    <s v="Namkeen - 992"/>
    <n v="2"/>
    <n v="0"/>
    <n v="23.62"/>
  </r>
  <r>
    <s v="CUST0148"/>
    <s v="Ayesha"/>
    <s v="Mukherjee"/>
    <d v="1977-02-25T00:00:00"/>
    <n v="1641.77"/>
    <n v="2024"/>
    <s v="Small"/>
    <s v="Tier 1"/>
    <s v="Beverages"/>
    <s v="North"/>
    <s v="India"/>
    <s v="Consumer"/>
    <x v="439"/>
    <s v="ORD00603"/>
    <d v="2024-09-08T00:00:00"/>
    <d v="2024-09-12T00:00:00"/>
    <s v="First Class"/>
    <s v="Delhi"/>
    <n v="241677"/>
    <s v="PROD0011"/>
    <s v="Juice"/>
    <s v="Juice - 733"/>
    <n v="10"/>
    <n v="0.15"/>
    <n v="556.47"/>
  </r>
  <r>
    <s v="CUST0148"/>
    <s v="Ayesha"/>
    <s v="Mukherjee"/>
    <d v="1977-02-25T00:00:00"/>
    <n v="354.1"/>
    <n v="2024"/>
    <s v="Large"/>
    <s v="Tier 1"/>
    <s v="Fruits &amp; Vegetables"/>
    <s v="North"/>
    <s v="India"/>
    <s v="Consumer"/>
    <x v="327"/>
    <s v="ORD00604"/>
    <d v="2024-11-04T00:00:00"/>
    <d v="2024-11-06T00:00:00"/>
    <s v="First Class"/>
    <s v="Delhi"/>
    <n v="781301"/>
    <s v="PROD0010"/>
    <s v="Bananas"/>
    <s v="Bananas - 214"/>
    <n v="1"/>
    <n v="0"/>
    <n v="108.96"/>
  </r>
  <r>
    <s v="CUST0148"/>
    <s v="Ayesha"/>
    <s v="Mukherjee"/>
    <d v="1977-02-25T00:00:00"/>
    <n v="1004.76"/>
    <n v="2025"/>
    <s v="Medium"/>
    <s v="Tier 1"/>
    <s v="Dairy"/>
    <s v="North"/>
    <s v="India"/>
    <s v="Consumer"/>
    <x v="440"/>
    <s v="ORD00605"/>
    <d v="2025-01-13T00:00:00"/>
    <d v="2025-01-15T00:00:00"/>
    <s v="Same Day"/>
    <s v="Delhi"/>
    <n v="222115"/>
    <s v="PROD0013"/>
    <s v="Butter"/>
    <s v="Butter - 962"/>
    <n v="9"/>
    <n v="0"/>
    <n v="282.25"/>
  </r>
  <r>
    <s v="CUST0148"/>
    <s v="Ayesha"/>
    <s v="Mukherjee"/>
    <d v="1977-02-25T00:00:00"/>
    <n v="3668.22"/>
    <n v="2025"/>
    <s v="Small"/>
    <s v="Tier 1"/>
    <s v="Dairy"/>
    <s v="North"/>
    <s v="India"/>
    <s v="Consumer"/>
    <x v="441"/>
    <s v="ORD00606"/>
    <d v="2025-02-01T00:00:00"/>
    <d v="2025-02-05T00:00:00"/>
    <s v="First Class"/>
    <s v="Delhi"/>
    <n v="409153"/>
    <s v="PROD0005"/>
    <s v="Yogurt"/>
    <s v="Yogurt - 856"/>
    <n v="8"/>
    <n v="0.05"/>
    <n v="205.01"/>
  </r>
  <r>
    <s v="CUST0148"/>
    <s v="Ayesha"/>
    <s v="Mukherjee"/>
    <d v="1977-02-25T00:00:00"/>
    <n v="121.28"/>
    <n v="2025"/>
    <s v="Medium"/>
    <s v="Tier 1"/>
    <s v="Snacks"/>
    <s v="North"/>
    <s v="India"/>
    <s v="Consumer"/>
    <x v="442"/>
    <s v="ORD00607"/>
    <d v="2025-06-08T00:00:00"/>
    <d v="2025-06-12T00:00:00"/>
    <s v="Second Class"/>
    <s v="Delhi"/>
    <n v="138815"/>
    <s v="PROD0001"/>
    <s v="Namkeen"/>
    <s v="Namkeen - 152"/>
    <n v="6"/>
    <n v="0.15"/>
    <n v="36.9"/>
  </r>
  <r>
    <s v="CUST0149"/>
    <s v="Krishna"/>
    <s v="Venkatesh"/>
    <d v="1973-08-22T00:00:00"/>
    <n v="1050.48"/>
    <n v="2024"/>
    <s v="Medium"/>
    <s v="Tier 2"/>
    <s v="Snacks"/>
    <s v="North"/>
    <s v="India"/>
    <s v="Home Office"/>
    <x v="158"/>
    <s v="ORD00608"/>
    <d v="2024-05-12T00:00:00"/>
    <d v="2024-05-16T00:00:00"/>
    <s v="Same Day"/>
    <s v="Punjab"/>
    <n v="380859"/>
    <s v="PROD0004"/>
    <s v="Biscuits"/>
    <s v="Biscuits - 936"/>
    <n v="8"/>
    <n v="0"/>
    <n v="219.02"/>
  </r>
  <r>
    <s v="CUST0149"/>
    <s v="Krishna"/>
    <s v="Venkatesh"/>
    <d v="1973-08-22T00:00:00"/>
    <n v="437.75"/>
    <n v="2024"/>
    <s v="Small"/>
    <s v="Tier 2"/>
    <s v="Staples"/>
    <s v="North"/>
    <s v="India"/>
    <s v="Home Office"/>
    <x v="437"/>
    <s v="ORD00609"/>
    <d v="2024-06-09T00:00:00"/>
    <d v="2024-06-13T00:00:00"/>
    <s v="Second Class"/>
    <s v="Punjab"/>
    <n v="861485"/>
    <s v="PROD0009"/>
    <s v="Wheat Flour"/>
    <s v="Wheat Flour - 584"/>
    <n v="2"/>
    <n v="0.15"/>
    <n v="67.430000000000007"/>
  </r>
  <r>
    <s v="CUST0149"/>
    <s v="Krishna"/>
    <s v="Venkatesh"/>
    <d v="1973-08-22T00:00:00"/>
    <n v="1051.28"/>
    <n v="2024"/>
    <s v="Small"/>
    <s v="Tier 2"/>
    <s v="Dairy"/>
    <s v="North"/>
    <s v="India"/>
    <s v="Home Office"/>
    <x v="330"/>
    <s v="ORD00610"/>
    <d v="2024-08-28T00:00:00"/>
    <d v="2024-08-31T00:00:00"/>
    <s v="Second Class"/>
    <s v="Punjab"/>
    <n v="858115"/>
    <s v="PROD0013"/>
    <s v="Butter"/>
    <s v="Butter - 452"/>
    <n v="8"/>
    <n v="0"/>
    <n v="237.9"/>
  </r>
  <r>
    <s v="CUST0149"/>
    <s v="Krishna"/>
    <s v="Venkatesh"/>
    <d v="1973-08-22T00:00:00"/>
    <n v="1929.94"/>
    <n v="2025"/>
    <s v="Small"/>
    <s v="Tier 2"/>
    <s v="Staples"/>
    <s v="North"/>
    <s v="India"/>
    <s v="Home Office"/>
    <x v="440"/>
    <s v="ORD00611"/>
    <d v="2025-01-12T00:00:00"/>
    <d v="2025-01-14T00:00:00"/>
    <s v="Second Class"/>
    <s v="Punjab"/>
    <n v="824248"/>
    <s v="PROD0009"/>
    <s v="Wheat Flour"/>
    <s v="Wheat Flour - 526"/>
    <n v="6"/>
    <n v="0.2"/>
    <n v="658.65"/>
  </r>
  <r>
    <s v="CUST0150"/>
    <s v="Anjali"/>
    <s v="Joshi"/>
    <d v="1995-12-17T00:00:00"/>
    <n v="3143.26"/>
    <n v="2023"/>
    <s v="Small"/>
    <s v="Tier 1"/>
    <s v="Dairy"/>
    <s v="West"/>
    <s v="India"/>
    <s v="Consumer"/>
    <x v="29"/>
    <s v="ORD00612"/>
    <d v="2023-05-13T00:00:00"/>
    <d v="2023-05-15T00:00:00"/>
    <s v="Same Day"/>
    <s v="Maharashtra"/>
    <n v="476215"/>
    <s v="PROD0013"/>
    <s v="Butter"/>
    <s v="Butter - 203"/>
    <n v="7"/>
    <n v="0.05"/>
    <n v="443.5"/>
  </r>
  <r>
    <s v="CUST0150"/>
    <s v="Anjali"/>
    <s v="Joshi"/>
    <d v="1995-12-17T00:00:00"/>
    <n v="249.26"/>
    <n v="2023"/>
    <s v="Medium"/>
    <s v="Tier 1"/>
    <s v="Bakery"/>
    <s v="West"/>
    <s v="India"/>
    <s v="Consumer"/>
    <x v="397"/>
    <s v="ORD00613"/>
    <d v="2023-06-27T00:00:00"/>
    <d v="2023-06-28T00:00:00"/>
    <s v="Standard Class"/>
    <s v="Maharashtra"/>
    <n v="219505"/>
    <s v="PROD0018"/>
    <s v="Buns"/>
    <s v="Buns - 793"/>
    <n v="3"/>
    <n v="0.2"/>
    <n v="79.349999999999994"/>
  </r>
  <r>
    <s v="CUST0150"/>
    <s v="Anjali"/>
    <s v="Joshi"/>
    <d v="1995-12-17T00:00:00"/>
    <n v="1148.1300000000001"/>
    <n v="2023"/>
    <s v="Large"/>
    <s v="Tier 1"/>
    <s v="Snacks"/>
    <s v="West"/>
    <s v="India"/>
    <s v="Consumer"/>
    <x v="396"/>
    <s v="ORD00614"/>
    <d v="2023-07-24T00:00:00"/>
    <d v="2023-07-27T00:00:00"/>
    <s v="Second Class"/>
    <s v="Maharashtra"/>
    <n v="258522"/>
    <s v="PROD0007"/>
    <s v="Chips"/>
    <s v="Chips - 223"/>
    <n v="9"/>
    <n v="0"/>
    <n v="399.66"/>
  </r>
  <r>
    <s v="CUST0150"/>
    <s v="Anjali"/>
    <s v="Joshi"/>
    <d v="1995-12-17T00:00:00"/>
    <n v="682.23"/>
    <n v="2024"/>
    <s v="Large"/>
    <s v="Tier 1"/>
    <s v="Staples"/>
    <s v="West"/>
    <s v="India"/>
    <s v="Consumer"/>
    <x v="443"/>
    <s v="ORD00615"/>
    <d v="2024-05-09T00:00:00"/>
    <d v="2024-05-10T00:00:00"/>
    <s v="Same Day"/>
    <s v="Maharashtra"/>
    <n v="963617"/>
    <s v="PROD0003"/>
    <s v="Pulses"/>
    <s v="Pulses - 718"/>
    <n v="2"/>
    <n v="0.05"/>
    <n v="197.64"/>
  </r>
  <r>
    <s v="CUST0150"/>
    <s v="Anjali"/>
    <s v="Joshi"/>
    <d v="1995-12-17T00:00:00"/>
    <n v="200.36"/>
    <n v="2024"/>
    <s v="Large"/>
    <s v="Tier 1"/>
    <s v="Snacks"/>
    <s v="West"/>
    <s v="India"/>
    <s v="Consumer"/>
    <x v="444"/>
    <s v="ORD00616"/>
    <d v="2024-11-14T00:00:00"/>
    <d v="2024-11-17T00:00:00"/>
    <s v="Second Class"/>
    <s v="Maharashtra"/>
    <n v="842563"/>
    <s v="PROD0007"/>
    <s v="Chips"/>
    <s v="Chips - 619"/>
    <n v="2"/>
    <n v="0"/>
    <n v="62.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of Goods">
  <location ref="A3:D10" firstHeaderRow="0" firstDataRow="1" firstDataCol="1"/>
  <pivotFields count="25">
    <pivotField showAll="0"/>
    <pivotField showAll="0"/>
    <pivotField showAll="0"/>
    <pivotField numFmtId="164" showAll="0"/>
    <pivotField dataField="1" numFmtId="4"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/>
    <pivotField showAll="0"/>
    <pivotField numFmtId="164"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4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4" baseField="0" baseItem="0" numFmtId="4"/>
    <dataField name="Count of Order ID" fld="13" subtotal="count" baseField="0" baseItem="0"/>
    <dataField name="Sum of Profit" fld="24" baseField="0" baseItem="0" numFmtId="4"/>
  </dataFields>
  <formats count="4">
    <format dxfId="3">
      <pivotArea field="8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6:D22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Sum of Sales" fld="1" baseField="0" baseItem="0"/>
    <dataField name="Count of Orders" fld="2" baseField="0" baseItem="0"/>
    <dataField name="Sum of Profit" fld="3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 Sum of Sales"/>
    <pivotHierarchy dragToData="1" caption="Count of Orders"/>
    <pivotHierarchy dragToData="1" caption="Sum of Profi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1]"/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:B1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">
    <pivotField axis="axisRow" dataField="1" showAll="0">
      <items count="7">
        <item x="3"/>
        <item x="1"/>
        <item x="4"/>
        <item x="2"/>
        <item x="0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egment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0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et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3:K154" firstHeaderRow="1" firstDataRow="1" firstDataCol="1"/>
  <pivotFields count="9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Items count="1">
    <i/>
  </colItems>
  <dataFields count="1">
    <dataField name="Sum of Monetary" fld="3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3:H10" firstHeaderRow="1" firstDataRow="1" firstDataCol="1"/>
  <pivotFields count="25">
    <pivotField showAll="0"/>
    <pivotField showAll="0"/>
    <pivotField showAll="0"/>
    <pivotField numFmtId="164" showAll="0"/>
    <pivotField dataField="1" numFmtId="4"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4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 numFmtId="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3:E38" firstHeaderRow="1" firstDataRow="1" firstDataCol="1"/>
  <pivotFields count="27"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446">
        <item x="170"/>
        <item x="247"/>
        <item x="118"/>
        <item x="285"/>
        <item x="381"/>
        <item x="38"/>
        <item x="235"/>
        <item x="209"/>
        <item x="119"/>
        <item x="340"/>
        <item x="175"/>
        <item x="49"/>
        <item x="353"/>
        <item x="256"/>
        <item x="368"/>
        <item x="28"/>
        <item x="108"/>
        <item x="337"/>
        <item x="241"/>
        <item x="59"/>
        <item x="216"/>
        <item x="18"/>
        <item x="436"/>
        <item x="394"/>
        <item x="424"/>
        <item x="316"/>
        <item x="377"/>
        <item x="12"/>
        <item x="89"/>
        <item x="80"/>
        <item x="60"/>
        <item x="385"/>
        <item x="271"/>
        <item x="207"/>
        <item x="369"/>
        <item x="125"/>
        <item x="210"/>
        <item x="81"/>
        <item x="367"/>
        <item x="55"/>
        <item x="23"/>
        <item x="347"/>
        <item x="296"/>
        <item x="5"/>
        <item x="137"/>
        <item x="111"/>
        <item x="151"/>
        <item x="323"/>
        <item x="69"/>
        <item x="338"/>
        <item x="248"/>
        <item x="191"/>
        <item x="171"/>
        <item x="404"/>
        <item x="131"/>
        <item x="309"/>
        <item x="106"/>
        <item x="200"/>
        <item x="6"/>
        <item x="211"/>
        <item x="152"/>
        <item x="76"/>
        <item x="251"/>
        <item x="101"/>
        <item x="51"/>
        <item x="153"/>
        <item x="343"/>
        <item x="373"/>
        <item x="230"/>
        <item x="35"/>
        <item x="90"/>
        <item x="289"/>
        <item x="217"/>
        <item x="29"/>
        <item x="33"/>
        <item x="300"/>
        <item x="324"/>
        <item x="144"/>
        <item x="70"/>
        <item x="318"/>
        <item x="132"/>
        <item x="91"/>
        <item x="113"/>
        <item x="284"/>
        <item x="201"/>
        <item x="297"/>
        <item x="236"/>
        <item x="92"/>
        <item x="182"/>
        <item x="429"/>
        <item x="159"/>
        <item x="24"/>
        <item x="397"/>
        <item x="25"/>
        <item x="39"/>
        <item x="109"/>
        <item x="133"/>
        <item x="26"/>
        <item x="138"/>
        <item x="157"/>
        <item x="13"/>
        <item x="36"/>
        <item x="102"/>
        <item x="134"/>
        <item x="218"/>
        <item x="396"/>
        <item x="433"/>
        <item x="310"/>
        <item x="7"/>
        <item x="176"/>
        <item x="219"/>
        <item x="361"/>
        <item x="8"/>
        <item x="172"/>
        <item x="274"/>
        <item x="150"/>
        <item x="71"/>
        <item x="329"/>
        <item x="298"/>
        <item x="214"/>
        <item x="272"/>
        <item x="354"/>
        <item x="202"/>
        <item x="427"/>
        <item x="66"/>
        <item x="135"/>
        <item x="103"/>
        <item x="358"/>
        <item x="203"/>
        <item x="304"/>
        <item x="308"/>
        <item x="293"/>
        <item x="63"/>
        <item x="341"/>
        <item x="183"/>
        <item x="128"/>
        <item x="286"/>
        <item x="425"/>
        <item x="212"/>
        <item x="40"/>
        <item x="215"/>
        <item x="9"/>
        <item x="162"/>
        <item x="186"/>
        <item x="82"/>
        <item x="0"/>
        <item x="386"/>
        <item x="378"/>
        <item x="279"/>
        <item x="401"/>
        <item x="267"/>
        <item x="398"/>
        <item x="52"/>
        <item x="275"/>
        <item x="426"/>
        <item x="163"/>
        <item x="164"/>
        <item x="120"/>
        <item x="154"/>
        <item x="145"/>
        <item x="177"/>
        <item x="339"/>
        <item x="93"/>
        <item x="321"/>
        <item x="370"/>
        <item x="351"/>
        <item x="299"/>
        <item x="365"/>
        <item x="19"/>
        <item x="213"/>
        <item x="187"/>
        <item x="146"/>
        <item x="332"/>
        <item x="41"/>
        <item x="312"/>
        <item x="345"/>
        <item x="129"/>
        <item x="252"/>
        <item x="43"/>
        <item x="291"/>
        <item x="189"/>
        <item x="53"/>
        <item x="255"/>
        <item x="229"/>
        <item x="242"/>
        <item x="14"/>
        <item x="280"/>
        <item x="30"/>
        <item x="292"/>
        <item x="61"/>
        <item x="384"/>
        <item x="313"/>
        <item x="114"/>
        <item x="222"/>
        <item x="261"/>
        <item x="333"/>
        <item x="139"/>
        <item x="231"/>
        <item x="325"/>
        <item x="244"/>
        <item x="192"/>
        <item x="56"/>
        <item x="44"/>
        <item x="112"/>
        <item x="237"/>
        <item x="83"/>
        <item x="225"/>
        <item x="197"/>
        <item x="107"/>
        <item x="45"/>
        <item x="15"/>
        <item x="46"/>
        <item x="336"/>
        <item x="220"/>
        <item x="387"/>
        <item x="54"/>
        <item x="140"/>
        <item x="355"/>
        <item x="72"/>
        <item x="305"/>
        <item x="352"/>
        <item x="262"/>
        <item x="434"/>
        <item x="73"/>
        <item x="276"/>
        <item x="47"/>
        <item x="115"/>
        <item x="414"/>
        <item x="99"/>
        <item x="16"/>
        <item x="121"/>
        <item x="88"/>
        <item x="346"/>
        <item x="420"/>
        <item x="301"/>
        <item x="20"/>
        <item x="173"/>
        <item x="100"/>
        <item x="273"/>
        <item x="443"/>
        <item x="155"/>
        <item x="311"/>
        <item x="412"/>
        <item x="158"/>
        <item x="435"/>
        <item x="407"/>
        <item x="421"/>
        <item x="399"/>
        <item x="239"/>
        <item x="95"/>
        <item x="96"/>
        <item x="371"/>
        <item x="402"/>
        <item x="232"/>
        <item x="388"/>
        <item x="193"/>
        <item x="430"/>
        <item x="287"/>
        <item x="334"/>
        <item x="437"/>
        <item x="97"/>
        <item x="165"/>
        <item x="415"/>
        <item x="94"/>
        <item x="223"/>
        <item x="17"/>
        <item x="326"/>
        <item x="1"/>
        <item x="136"/>
        <item x="57"/>
        <item x="233"/>
        <item x="322"/>
        <item x="372"/>
        <item x="418"/>
        <item x="302"/>
        <item x="34"/>
        <item x="240"/>
        <item x="438"/>
        <item x="198"/>
        <item x="408"/>
        <item x="294"/>
        <item x="204"/>
        <item x="281"/>
        <item x="409"/>
        <item x="160"/>
        <item x="166"/>
        <item x="104"/>
        <item x="288"/>
        <item x="290"/>
        <item x="362"/>
        <item x="194"/>
        <item x="31"/>
        <item x="379"/>
        <item x="141"/>
        <item x="227"/>
        <item x="2"/>
        <item x="42"/>
        <item x="330"/>
        <item x="147"/>
        <item x="126"/>
        <item x="439"/>
        <item x="148"/>
        <item x="116"/>
        <item x="27"/>
        <item x="282"/>
        <item x="335"/>
        <item x="258"/>
        <item x="390"/>
        <item x="265"/>
        <item x="319"/>
        <item x="405"/>
        <item x="259"/>
        <item x="10"/>
        <item x="359"/>
        <item x="314"/>
        <item x="50"/>
        <item x="195"/>
        <item x="84"/>
        <item x="190"/>
        <item x="85"/>
        <item x="245"/>
        <item x="419"/>
        <item x="149"/>
        <item x="226"/>
        <item x="64"/>
        <item x="327"/>
        <item x="410"/>
        <item x="178"/>
        <item x="11"/>
        <item x="142"/>
        <item x="444"/>
        <item x="348"/>
        <item x="416"/>
        <item x="317"/>
        <item x="86"/>
        <item x="246"/>
        <item x="67"/>
        <item x="411"/>
        <item x="167"/>
        <item x="389"/>
        <item x="374"/>
        <item x="283"/>
        <item x="143"/>
        <item x="375"/>
        <item x="130"/>
        <item x="366"/>
        <item x="342"/>
        <item x="208"/>
        <item x="382"/>
        <item x="205"/>
        <item x="105"/>
        <item x="356"/>
        <item x="21"/>
        <item x="174"/>
        <item x="206"/>
        <item x="391"/>
        <item x="349"/>
        <item x="68"/>
        <item x="188"/>
        <item x="253"/>
        <item x="122"/>
        <item x="184"/>
        <item x="3"/>
        <item x="440"/>
        <item x="156"/>
        <item x="328"/>
        <item x="383"/>
        <item x="32"/>
        <item x="363"/>
        <item x="77"/>
        <item x="422"/>
        <item x="306"/>
        <item x="376"/>
        <item x="360"/>
        <item x="331"/>
        <item x="22"/>
        <item x="441"/>
        <item x="117"/>
        <item x="431"/>
        <item x="303"/>
        <item x="78"/>
        <item x="254"/>
        <item x="123"/>
        <item x="406"/>
        <item x="4"/>
        <item x="400"/>
        <item x="278"/>
        <item x="315"/>
        <item x="403"/>
        <item x="263"/>
        <item x="307"/>
        <item x="79"/>
        <item x="161"/>
        <item x="87"/>
        <item x="393"/>
        <item x="249"/>
        <item x="243"/>
        <item x="264"/>
        <item x="221"/>
        <item x="413"/>
        <item x="350"/>
        <item x="238"/>
        <item x="257"/>
        <item x="168"/>
        <item x="395"/>
        <item x="74"/>
        <item x="224"/>
        <item x="196"/>
        <item x="185"/>
        <item x="277"/>
        <item x="228"/>
        <item x="250"/>
        <item x="268"/>
        <item x="48"/>
        <item x="75"/>
        <item x="62"/>
        <item x="320"/>
        <item x="124"/>
        <item x="432"/>
        <item x="266"/>
        <item x="110"/>
        <item x="423"/>
        <item x="364"/>
        <item x="260"/>
        <item x="269"/>
        <item x="37"/>
        <item x="180"/>
        <item x="179"/>
        <item x="65"/>
        <item x="392"/>
        <item x="169"/>
        <item x="270"/>
        <item x="295"/>
        <item x="344"/>
        <item x="357"/>
        <item x="234"/>
        <item x="417"/>
        <item x="58"/>
        <item x="442"/>
        <item x="127"/>
        <item x="181"/>
        <item x="428"/>
        <item x="98"/>
        <item x="199"/>
        <item x="38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6"/>
    <field x="25"/>
  </rowFields>
  <rowItems count="3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Sales" fld="4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617" totalsRowShown="0" headerRowDxfId="30" dataDxfId="29">
  <autoFilter ref="A1:Y617" xr:uid="{00000000-0009-0000-0100-000001000000}"/>
  <tableColumns count="25">
    <tableColumn id="1" xr3:uid="{00000000-0010-0000-0000-000001000000}" name="Customer ID" dataDxfId="28"/>
    <tableColumn id="2" xr3:uid="{00000000-0010-0000-0000-000002000000}" name="Customer Name" dataDxfId="27"/>
    <tableColumn id="3" xr3:uid="{00000000-0010-0000-0000-000003000000}" name="Last Name" dataDxfId="26"/>
    <tableColumn id="4" xr3:uid="{00000000-0010-0000-0000-000004000000}" name="Date of Birth" dataDxfId="25"/>
    <tableColumn id="5" xr3:uid="{00000000-0010-0000-0000-000005000000}" name="Sales" dataDxfId="24"/>
    <tableColumn id="6" xr3:uid="{00000000-0010-0000-0000-000006000000}" name="Year" dataDxfId="23"/>
    <tableColumn id="7" xr3:uid="{00000000-0010-0000-0000-000007000000}" name="Outlet Type" dataDxfId="22"/>
    <tableColumn id="8" xr3:uid="{00000000-0010-0000-0000-000008000000}" name="City Type" dataDxfId="21"/>
    <tableColumn id="9" xr3:uid="{00000000-0010-0000-0000-000009000000}" name="Category of Goods" dataDxfId="20"/>
    <tableColumn id="10" xr3:uid="{00000000-0010-0000-0000-00000A000000}" name="Region" dataDxfId="19"/>
    <tableColumn id="11" xr3:uid="{00000000-0010-0000-0000-00000B000000}" name="Country" dataDxfId="18"/>
    <tableColumn id="12" xr3:uid="{00000000-0010-0000-0000-00000C000000}" name="Segment" dataDxfId="17"/>
    <tableColumn id="13" xr3:uid="{00000000-0010-0000-0000-00000D000000}" name="Sales Date" dataDxfId="16"/>
    <tableColumn id="14" xr3:uid="{00000000-0010-0000-0000-00000E000000}" name="Order ID" dataDxfId="15"/>
    <tableColumn id="15" xr3:uid="{00000000-0010-0000-0000-00000F000000}" name="Order Date" dataDxfId="14"/>
    <tableColumn id="16" xr3:uid="{00000000-0010-0000-0000-000010000000}" name="Ship Date" dataDxfId="13"/>
    <tableColumn id="17" xr3:uid="{00000000-0010-0000-0000-000011000000}" name="Ship Mode" dataDxfId="12"/>
    <tableColumn id="18" xr3:uid="{00000000-0010-0000-0000-000012000000}" name="State" dataDxfId="11"/>
    <tableColumn id="19" xr3:uid="{00000000-0010-0000-0000-000013000000}" name="Postal Code" dataDxfId="10"/>
    <tableColumn id="20" xr3:uid="{00000000-0010-0000-0000-000014000000}" name="Product ID" dataDxfId="9"/>
    <tableColumn id="21" xr3:uid="{00000000-0010-0000-0000-000015000000}" name="Sub-Category" dataDxfId="8"/>
    <tableColumn id="22" xr3:uid="{00000000-0010-0000-0000-000016000000}" name="Product Name" dataDxfId="7"/>
    <tableColumn id="23" xr3:uid="{00000000-0010-0000-0000-000017000000}" name="Quantity" dataDxfId="6"/>
    <tableColumn id="24" xr3:uid="{00000000-0010-0000-0000-000018000000}" name="Discount" dataDxfId="5"/>
    <tableColumn id="25" xr3:uid="{00000000-0010-0000-0000-000019000000}" name="Profi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7"/>
  <sheetViews>
    <sheetView tabSelected="1" workbookViewId="0">
      <selection activeCell="D2" sqref="D2"/>
    </sheetView>
  </sheetViews>
  <sheetFormatPr defaultRowHeight="14.4" x14ac:dyDescent="0.3"/>
  <cols>
    <col min="4" max="4" width="10.33203125" style="9" bestFit="1" customWidth="1"/>
    <col min="13" max="13" width="10.33203125" style="9" bestFit="1" customWidth="1"/>
    <col min="15" max="16" width="10.33203125" style="9" bestFit="1" customWidth="1"/>
  </cols>
  <sheetData>
    <row r="1" spans="1:25" x14ac:dyDescent="0.3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0" t="s">
        <v>13</v>
      </c>
      <c r="O1" s="11" t="s">
        <v>14</v>
      </c>
      <c r="P1" s="11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</row>
    <row r="2" spans="1:25" x14ac:dyDescent="0.3">
      <c r="A2" t="s">
        <v>25</v>
      </c>
      <c r="B2" t="s">
        <v>26</v>
      </c>
      <c r="C2" t="s">
        <v>27</v>
      </c>
      <c r="D2" s="9">
        <v>24152</v>
      </c>
      <c r="E2">
        <v>648.79999999999995</v>
      </c>
      <c r="F2">
        <v>2023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9">
        <v>45210</v>
      </c>
      <c r="N2" t="s">
        <v>34</v>
      </c>
      <c r="O2" s="9">
        <v>45210</v>
      </c>
      <c r="P2" s="9">
        <v>45211</v>
      </c>
      <c r="Q2" t="s">
        <v>35</v>
      </c>
      <c r="R2" t="s">
        <v>36</v>
      </c>
      <c r="S2">
        <v>157174</v>
      </c>
      <c r="T2" t="s">
        <v>37</v>
      </c>
      <c r="U2" t="s">
        <v>38</v>
      </c>
      <c r="V2" t="s">
        <v>39</v>
      </c>
      <c r="W2">
        <v>4</v>
      </c>
      <c r="X2">
        <v>0</v>
      </c>
      <c r="Y2">
        <v>67.37</v>
      </c>
    </row>
    <row r="3" spans="1:25" x14ac:dyDescent="0.3">
      <c r="A3" t="s">
        <v>25</v>
      </c>
      <c r="B3" t="s">
        <v>26</v>
      </c>
      <c r="C3" t="s">
        <v>27</v>
      </c>
      <c r="D3" s="9">
        <v>24152</v>
      </c>
      <c r="E3">
        <v>782.83</v>
      </c>
      <c r="F3">
        <v>2024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s="9">
        <v>45465</v>
      </c>
      <c r="N3" t="s">
        <v>40</v>
      </c>
      <c r="O3" s="9">
        <v>45464</v>
      </c>
      <c r="P3" s="9">
        <v>45465</v>
      </c>
      <c r="Q3" t="s">
        <v>41</v>
      </c>
      <c r="R3" t="s">
        <v>36</v>
      </c>
      <c r="S3">
        <v>561865</v>
      </c>
      <c r="T3" t="s">
        <v>37</v>
      </c>
      <c r="U3" t="s">
        <v>38</v>
      </c>
      <c r="V3" t="s">
        <v>42</v>
      </c>
      <c r="W3">
        <v>3</v>
      </c>
      <c r="X3">
        <v>0.2</v>
      </c>
      <c r="Y3">
        <v>154.41999999999999</v>
      </c>
    </row>
    <row r="4" spans="1:25" x14ac:dyDescent="0.3">
      <c r="A4" t="s">
        <v>25</v>
      </c>
      <c r="B4" t="s">
        <v>26</v>
      </c>
      <c r="C4" t="s">
        <v>27</v>
      </c>
      <c r="D4" s="9">
        <v>24152</v>
      </c>
      <c r="E4">
        <v>2240.62</v>
      </c>
      <c r="F4">
        <v>2024</v>
      </c>
      <c r="G4" t="s">
        <v>28</v>
      </c>
      <c r="H4" t="s">
        <v>29</v>
      </c>
      <c r="I4" t="s">
        <v>43</v>
      </c>
      <c r="J4" t="s">
        <v>31</v>
      </c>
      <c r="K4" t="s">
        <v>32</v>
      </c>
      <c r="L4" t="s">
        <v>33</v>
      </c>
      <c r="M4" s="9">
        <v>45531</v>
      </c>
      <c r="N4" t="s">
        <v>44</v>
      </c>
      <c r="O4" s="9">
        <v>45530</v>
      </c>
      <c r="P4" s="9">
        <v>45531</v>
      </c>
      <c r="Q4" t="s">
        <v>35</v>
      </c>
      <c r="R4" t="s">
        <v>36</v>
      </c>
      <c r="S4">
        <v>705050</v>
      </c>
      <c r="T4" t="s">
        <v>45</v>
      </c>
      <c r="U4" t="s">
        <v>46</v>
      </c>
      <c r="V4" t="s">
        <v>47</v>
      </c>
      <c r="W4">
        <v>5</v>
      </c>
      <c r="X4">
        <v>0.05</v>
      </c>
      <c r="Y4">
        <v>188.72</v>
      </c>
    </row>
    <row r="5" spans="1:25" x14ac:dyDescent="0.3">
      <c r="A5" t="s">
        <v>25</v>
      </c>
      <c r="B5" t="s">
        <v>26</v>
      </c>
      <c r="C5" t="s">
        <v>27</v>
      </c>
      <c r="D5" s="9">
        <v>24152</v>
      </c>
      <c r="E5">
        <v>247.35</v>
      </c>
      <c r="F5">
        <v>2025</v>
      </c>
      <c r="G5" t="s">
        <v>48</v>
      </c>
      <c r="H5" t="s">
        <v>29</v>
      </c>
      <c r="I5" t="s">
        <v>49</v>
      </c>
      <c r="J5" t="s">
        <v>31</v>
      </c>
      <c r="K5" t="s">
        <v>32</v>
      </c>
      <c r="L5" t="s">
        <v>33</v>
      </c>
      <c r="M5" s="9">
        <v>45668</v>
      </c>
      <c r="N5" t="s">
        <v>50</v>
      </c>
      <c r="O5" s="9">
        <v>45668</v>
      </c>
      <c r="P5" s="9">
        <v>45669</v>
      </c>
      <c r="Q5" t="s">
        <v>41</v>
      </c>
      <c r="R5" t="s">
        <v>36</v>
      </c>
      <c r="S5">
        <v>735770</v>
      </c>
      <c r="T5" t="s">
        <v>51</v>
      </c>
      <c r="U5" t="s">
        <v>52</v>
      </c>
      <c r="V5" t="s">
        <v>53</v>
      </c>
      <c r="W5">
        <v>3</v>
      </c>
      <c r="X5">
        <v>0.1</v>
      </c>
      <c r="Y5">
        <v>82.8</v>
      </c>
    </row>
    <row r="6" spans="1:25" x14ac:dyDescent="0.3">
      <c r="A6" t="s">
        <v>25</v>
      </c>
      <c r="B6" t="s">
        <v>26</v>
      </c>
      <c r="C6" t="s">
        <v>27</v>
      </c>
      <c r="D6" s="9">
        <v>24152</v>
      </c>
      <c r="E6">
        <v>1732.06</v>
      </c>
      <c r="F6">
        <v>2025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s="9">
        <v>45708</v>
      </c>
      <c r="N6" t="s">
        <v>54</v>
      </c>
      <c r="O6" s="9">
        <v>45705</v>
      </c>
      <c r="P6" s="9">
        <v>45710</v>
      </c>
      <c r="Q6" t="s">
        <v>35</v>
      </c>
      <c r="R6" t="s">
        <v>36</v>
      </c>
      <c r="S6">
        <v>739244</v>
      </c>
      <c r="T6" t="s">
        <v>55</v>
      </c>
      <c r="U6" t="s">
        <v>56</v>
      </c>
      <c r="V6" t="s">
        <v>57</v>
      </c>
      <c r="W6">
        <v>9</v>
      </c>
      <c r="X6">
        <v>0.05</v>
      </c>
      <c r="Y6">
        <v>241.11</v>
      </c>
    </row>
    <row r="7" spans="1:25" x14ac:dyDescent="0.3">
      <c r="A7" t="s">
        <v>58</v>
      </c>
      <c r="B7" t="s">
        <v>59</v>
      </c>
      <c r="C7" t="s">
        <v>60</v>
      </c>
      <c r="D7" s="9">
        <v>25422</v>
      </c>
      <c r="E7">
        <v>504.27</v>
      </c>
      <c r="F7">
        <v>2023</v>
      </c>
      <c r="G7" t="s">
        <v>28</v>
      </c>
      <c r="H7" t="s">
        <v>29</v>
      </c>
      <c r="I7" t="s">
        <v>61</v>
      </c>
      <c r="J7" t="s">
        <v>62</v>
      </c>
      <c r="K7" t="s">
        <v>32</v>
      </c>
      <c r="L7" t="s">
        <v>63</v>
      </c>
      <c r="M7" s="9">
        <v>45013</v>
      </c>
      <c r="N7" t="s">
        <v>64</v>
      </c>
      <c r="O7" s="9">
        <v>45010</v>
      </c>
      <c r="P7" s="9">
        <v>45015</v>
      </c>
      <c r="Q7" t="s">
        <v>35</v>
      </c>
      <c r="R7" t="s">
        <v>65</v>
      </c>
      <c r="S7">
        <v>342720</v>
      </c>
      <c r="T7" t="s">
        <v>66</v>
      </c>
      <c r="U7" t="s">
        <v>67</v>
      </c>
      <c r="V7" t="s">
        <v>68</v>
      </c>
      <c r="W7">
        <v>9</v>
      </c>
      <c r="X7">
        <v>0</v>
      </c>
      <c r="Y7">
        <v>87.01</v>
      </c>
    </row>
    <row r="8" spans="1:25" x14ac:dyDescent="0.3">
      <c r="A8" t="s">
        <v>58</v>
      </c>
      <c r="B8" t="s">
        <v>59</v>
      </c>
      <c r="C8" t="s">
        <v>60</v>
      </c>
      <c r="D8" s="9">
        <v>25422</v>
      </c>
      <c r="E8">
        <v>433.36</v>
      </c>
      <c r="F8">
        <v>2023</v>
      </c>
      <c r="G8" t="s">
        <v>48</v>
      </c>
      <c r="H8" t="s">
        <v>29</v>
      </c>
      <c r="I8" t="s">
        <v>43</v>
      </c>
      <c r="J8" t="s">
        <v>62</v>
      </c>
      <c r="K8" t="s">
        <v>32</v>
      </c>
      <c r="L8" t="s">
        <v>63</v>
      </c>
      <c r="M8" s="9">
        <v>45033</v>
      </c>
      <c r="N8" t="s">
        <v>69</v>
      </c>
      <c r="O8" s="9">
        <v>45028</v>
      </c>
      <c r="P8" s="9">
        <v>45033</v>
      </c>
      <c r="Q8" t="s">
        <v>41</v>
      </c>
      <c r="R8" t="s">
        <v>65</v>
      </c>
      <c r="S8">
        <v>220351</v>
      </c>
      <c r="T8" t="s">
        <v>70</v>
      </c>
      <c r="U8" t="s">
        <v>71</v>
      </c>
      <c r="V8" t="s">
        <v>72</v>
      </c>
      <c r="W8">
        <v>8</v>
      </c>
      <c r="X8">
        <v>0</v>
      </c>
      <c r="Y8">
        <v>141.78</v>
      </c>
    </row>
    <row r="9" spans="1:25" x14ac:dyDescent="0.3">
      <c r="A9" t="s">
        <v>58</v>
      </c>
      <c r="B9" t="s">
        <v>59</v>
      </c>
      <c r="C9" t="s">
        <v>60</v>
      </c>
      <c r="D9" s="9">
        <v>25422</v>
      </c>
      <c r="E9">
        <v>1094.5</v>
      </c>
      <c r="F9">
        <v>2023</v>
      </c>
      <c r="G9" t="s">
        <v>28</v>
      </c>
      <c r="H9" t="s">
        <v>29</v>
      </c>
      <c r="I9" t="s">
        <v>30</v>
      </c>
      <c r="J9" t="s">
        <v>62</v>
      </c>
      <c r="K9" t="s">
        <v>32</v>
      </c>
      <c r="L9" t="s">
        <v>63</v>
      </c>
      <c r="M9" s="9">
        <v>45139</v>
      </c>
      <c r="N9" t="s">
        <v>73</v>
      </c>
      <c r="O9" s="9">
        <v>45139</v>
      </c>
      <c r="P9" s="9">
        <v>45140</v>
      </c>
      <c r="Q9" t="s">
        <v>74</v>
      </c>
      <c r="R9" t="s">
        <v>65</v>
      </c>
      <c r="S9">
        <v>560485</v>
      </c>
      <c r="T9" t="s">
        <v>75</v>
      </c>
      <c r="U9" t="s">
        <v>76</v>
      </c>
      <c r="V9" t="s">
        <v>77</v>
      </c>
      <c r="W9">
        <v>3</v>
      </c>
      <c r="X9">
        <v>0.2</v>
      </c>
      <c r="Y9">
        <v>101.43</v>
      </c>
    </row>
    <row r="10" spans="1:25" x14ac:dyDescent="0.3">
      <c r="A10" t="s">
        <v>58</v>
      </c>
      <c r="B10" t="s">
        <v>59</v>
      </c>
      <c r="C10" t="s">
        <v>60</v>
      </c>
      <c r="D10" s="9">
        <v>25422</v>
      </c>
      <c r="E10">
        <v>1779.35</v>
      </c>
      <c r="F10">
        <v>2023</v>
      </c>
      <c r="G10" t="s">
        <v>48</v>
      </c>
      <c r="H10" t="s">
        <v>29</v>
      </c>
      <c r="I10" t="s">
        <v>78</v>
      </c>
      <c r="J10" t="s">
        <v>62</v>
      </c>
      <c r="K10" t="s">
        <v>32</v>
      </c>
      <c r="L10" t="s">
        <v>63</v>
      </c>
      <c r="M10" s="9">
        <v>45146</v>
      </c>
      <c r="N10" t="s">
        <v>79</v>
      </c>
      <c r="O10" s="9">
        <v>45143</v>
      </c>
      <c r="P10" s="9">
        <v>45147</v>
      </c>
      <c r="Q10" t="s">
        <v>35</v>
      </c>
      <c r="R10" t="s">
        <v>65</v>
      </c>
      <c r="S10">
        <v>553014</v>
      </c>
      <c r="T10" t="s">
        <v>80</v>
      </c>
      <c r="U10" t="s">
        <v>81</v>
      </c>
      <c r="V10" t="s">
        <v>82</v>
      </c>
      <c r="W10">
        <v>5</v>
      </c>
      <c r="X10">
        <v>0</v>
      </c>
      <c r="Y10">
        <v>356.12</v>
      </c>
    </row>
    <row r="11" spans="1:25" x14ac:dyDescent="0.3">
      <c r="A11" t="s">
        <v>58</v>
      </c>
      <c r="B11" t="s">
        <v>59</v>
      </c>
      <c r="C11" t="s">
        <v>60</v>
      </c>
      <c r="D11" s="9">
        <v>25422</v>
      </c>
      <c r="E11">
        <v>162.1</v>
      </c>
      <c r="F11">
        <v>2023</v>
      </c>
      <c r="G11" t="s">
        <v>48</v>
      </c>
      <c r="H11" t="s">
        <v>29</v>
      </c>
      <c r="I11" t="s">
        <v>49</v>
      </c>
      <c r="J11" t="s">
        <v>62</v>
      </c>
      <c r="K11" t="s">
        <v>32</v>
      </c>
      <c r="L11" t="s">
        <v>63</v>
      </c>
      <c r="M11" s="9">
        <v>45201</v>
      </c>
      <c r="N11" t="s">
        <v>83</v>
      </c>
      <c r="O11" s="9">
        <v>45197</v>
      </c>
      <c r="P11" s="9">
        <v>45202</v>
      </c>
      <c r="Q11" t="s">
        <v>74</v>
      </c>
      <c r="R11" t="s">
        <v>65</v>
      </c>
      <c r="S11">
        <v>704238</v>
      </c>
      <c r="T11" t="s">
        <v>84</v>
      </c>
      <c r="U11" t="s">
        <v>85</v>
      </c>
      <c r="V11" t="s">
        <v>86</v>
      </c>
      <c r="W11">
        <v>5</v>
      </c>
      <c r="X11">
        <v>0</v>
      </c>
      <c r="Y11">
        <v>54.88</v>
      </c>
    </row>
    <row r="12" spans="1:25" x14ac:dyDescent="0.3">
      <c r="A12" t="s">
        <v>58</v>
      </c>
      <c r="B12" t="s">
        <v>59</v>
      </c>
      <c r="C12" t="s">
        <v>60</v>
      </c>
      <c r="D12" s="9">
        <v>25422</v>
      </c>
      <c r="E12">
        <v>2994.48</v>
      </c>
      <c r="F12">
        <v>2024</v>
      </c>
      <c r="G12" t="s">
        <v>87</v>
      </c>
      <c r="H12" t="s">
        <v>29</v>
      </c>
      <c r="I12" t="s">
        <v>78</v>
      </c>
      <c r="J12" t="s">
        <v>62</v>
      </c>
      <c r="K12" t="s">
        <v>32</v>
      </c>
      <c r="L12" t="s">
        <v>63</v>
      </c>
      <c r="M12" s="9">
        <v>45570</v>
      </c>
      <c r="N12" t="s">
        <v>88</v>
      </c>
      <c r="O12" s="9">
        <v>45567</v>
      </c>
      <c r="P12" s="9">
        <v>45572</v>
      </c>
      <c r="Q12" t="s">
        <v>41</v>
      </c>
      <c r="R12" t="s">
        <v>65</v>
      </c>
      <c r="S12">
        <v>195674</v>
      </c>
      <c r="T12" t="s">
        <v>89</v>
      </c>
      <c r="U12" t="s">
        <v>90</v>
      </c>
      <c r="V12" t="s">
        <v>91</v>
      </c>
      <c r="W12">
        <v>9</v>
      </c>
      <c r="X12">
        <v>0</v>
      </c>
      <c r="Y12">
        <v>312.76</v>
      </c>
    </row>
    <row r="13" spans="1:25" x14ac:dyDescent="0.3">
      <c r="A13" t="s">
        <v>58</v>
      </c>
      <c r="B13" t="s">
        <v>59</v>
      </c>
      <c r="C13" t="s">
        <v>60</v>
      </c>
      <c r="D13" s="9">
        <v>25422</v>
      </c>
      <c r="E13">
        <v>1044.6600000000001</v>
      </c>
      <c r="F13">
        <v>2024</v>
      </c>
      <c r="G13" t="s">
        <v>87</v>
      </c>
      <c r="H13" t="s">
        <v>29</v>
      </c>
      <c r="I13" t="s">
        <v>92</v>
      </c>
      <c r="J13" t="s">
        <v>62</v>
      </c>
      <c r="K13" t="s">
        <v>32</v>
      </c>
      <c r="L13" t="s">
        <v>63</v>
      </c>
      <c r="M13" s="9">
        <v>45606</v>
      </c>
      <c r="N13" t="s">
        <v>93</v>
      </c>
      <c r="O13" s="9">
        <v>45603</v>
      </c>
      <c r="P13" s="9">
        <v>45606</v>
      </c>
      <c r="Q13" t="s">
        <v>41</v>
      </c>
      <c r="R13" t="s">
        <v>65</v>
      </c>
      <c r="S13">
        <v>402218</v>
      </c>
      <c r="T13" t="s">
        <v>94</v>
      </c>
      <c r="U13" t="s">
        <v>95</v>
      </c>
      <c r="V13" t="s">
        <v>96</v>
      </c>
      <c r="W13">
        <v>6</v>
      </c>
      <c r="X13">
        <v>0</v>
      </c>
      <c r="Y13">
        <v>321.04000000000002</v>
      </c>
    </row>
    <row r="14" spans="1:25" x14ac:dyDescent="0.3">
      <c r="A14" t="s">
        <v>58</v>
      </c>
      <c r="B14" t="s">
        <v>59</v>
      </c>
      <c r="C14" t="s">
        <v>60</v>
      </c>
      <c r="D14" s="9">
        <v>25422</v>
      </c>
      <c r="E14">
        <v>338.49</v>
      </c>
      <c r="F14">
        <v>2025</v>
      </c>
      <c r="G14" t="s">
        <v>28</v>
      </c>
      <c r="H14" t="s">
        <v>29</v>
      </c>
      <c r="I14" t="s">
        <v>49</v>
      </c>
      <c r="J14" t="s">
        <v>62</v>
      </c>
      <c r="K14" t="s">
        <v>32</v>
      </c>
      <c r="L14" t="s">
        <v>63</v>
      </c>
      <c r="M14" s="9">
        <v>45708</v>
      </c>
      <c r="N14" t="s">
        <v>97</v>
      </c>
      <c r="O14" s="9">
        <v>45708</v>
      </c>
      <c r="P14" s="9">
        <v>45711</v>
      </c>
      <c r="Q14" t="s">
        <v>35</v>
      </c>
      <c r="R14" t="s">
        <v>65</v>
      </c>
      <c r="S14">
        <v>789606</v>
      </c>
      <c r="T14" t="s">
        <v>84</v>
      </c>
      <c r="U14" t="s">
        <v>85</v>
      </c>
      <c r="V14" t="s">
        <v>98</v>
      </c>
      <c r="W14">
        <v>9</v>
      </c>
      <c r="X14">
        <v>0</v>
      </c>
      <c r="Y14">
        <v>48.86</v>
      </c>
    </row>
    <row r="15" spans="1:25" x14ac:dyDescent="0.3">
      <c r="A15" t="s">
        <v>99</v>
      </c>
      <c r="B15" t="s">
        <v>100</v>
      </c>
      <c r="C15" t="s">
        <v>101</v>
      </c>
      <c r="D15" s="9">
        <v>24231</v>
      </c>
      <c r="E15">
        <v>3078.4</v>
      </c>
      <c r="F15">
        <v>2023</v>
      </c>
      <c r="G15" t="s">
        <v>28</v>
      </c>
      <c r="H15" t="s">
        <v>29</v>
      </c>
      <c r="I15" t="s">
        <v>30</v>
      </c>
      <c r="J15" t="s">
        <v>102</v>
      </c>
      <c r="K15" t="s">
        <v>32</v>
      </c>
      <c r="L15" t="s">
        <v>33</v>
      </c>
      <c r="M15" s="9">
        <v>44983</v>
      </c>
      <c r="N15" t="s">
        <v>103</v>
      </c>
      <c r="O15" s="9">
        <v>44982</v>
      </c>
      <c r="P15" s="9">
        <v>44984</v>
      </c>
      <c r="Q15" t="s">
        <v>41</v>
      </c>
      <c r="R15" t="s">
        <v>104</v>
      </c>
      <c r="S15">
        <v>227324</v>
      </c>
      <c r="T15" t="s">
        <v>37</v>
      </c>
      <c r="U15" t="s">
        <v>38</v>
      </c>
      <c r="V15" t="s">
        <v>105</v>
      </c>
      <c r="W15">
        <v>8</v>
      </c>
      <c r="X15">
        <v>0</v>
      </c>
      <c r="Y15">
        <v>400.55</v>
      </c>
    </row>
    <row r="16" spans="1:25" x14ac:dyDescent="0.3">
      <c r="A16" t="s">
        <v>99</v>
      </c>
      <c r="B16" t="s">
        <v>100</v>
      </c>
      <c r="C16" t="s">
        <v>101</v>
      </c>
      <c r="D16" s="9">
        <v>24231</v>
      </c>
      <c r="E16">
        <v>507.48</v>
      </c>
      <c r="F16">
        <v>2023</v>
      </c>
      <c r="G16" t="s">
        <v>48</v>
      </c>
      <c r="H16" t="s">
        <v>29</v>
      </c>
      <c r="I16" t="s">
        <v>78</v>
      </c>
      <c r="J16" t="s">
        <v>102</v>
      </c>
      <c r="K16" t="s">
        <v>32</v>
      </c>
      <c r="L16" t="s">
        <v>33</v>
      </c>
      <c r="M16" s="9">
        <v>45119</v>
      </c>
      <c r="N16" t="s">
        <v>106</v>
      </c>
      <c r="O16" s="9">
        <v>45119</v>
      </c>
      <c r="P16" s="9">
        <v>45120</v>
      </c>
      <c r="Q16" t="s">
        <v>41</v>
      </c>
      <c r="R16" t="s">
        <v>104</v>
      </c>
      <c r="S16">
        <v>223172</v>
      </c>
      <c r="T16" t="s">
        <v>89</v>
      </c>
      <c r="U16" t="s">
        <v>90</v>
      </c>
      <c r="V16" t="s">
        <v>107</v>
      </c>
      <c r="W16">
        <v>3</v>
      </c>
      <c r="X16">
        <v>0</v>
      </c>
      <c r="Y16">
        <v>109.45</v>
      </c>
    </row>
    <row r="17" spans="1:25" x14ac:dyDescent="0.3">
      <c r="A17" t="s">
        <v>99</v>
      </c>
      <c r="B17" t="s">
        <v>100</v>
      </c>
      <c r="C17" t="s">
        <v>101</v>
      </c>
      <c r="D17" s="9">
        <v>24231</v>
      </c>
      <c r="E17">
        <v>1321.3</v>
      </c>
      <c r="F17">
        <v>2024</v>
      </c>
      <c r="G17" t="s">
        <v>48</v>
      </c>
      <c r="H17" t="s">
        <v>29</v>
      </c>
      <c r="I17" t="s">
        <v>49</v>
      </c>
      <c r="J17" t="s">
        <v>102</v>
      </c>
      <c r="K17" t="s">
        <v>32</v>
      </c>
      <c r="L17" t="s">
        <v>33</v>
      </c>
      <c r="M17" s="9">
        <v>45300</v>
      </c>
      <c r="N17" t="s">
        <v>108</v>
      </c>
      <c r="O17" s="9">
        <v>45297</v>
      </c>
      <c r="P17" s="9">
        <v>45301</v>
      </c>
      <c r="Q17" t="s">
        <v>41</v>
      </c>
      <c r="R17" t="s">
        <v>104</v>
      </c>
      <c r="S17">
        <v>678043</v>
      </c>
      <c r="T17" t="s">
        <v>109</v>
      </c>
      <c r="U17" t="s">
        <v>110</v>
      </c>
      <c r="V17" t="s">
        <v>111</v>
      </c>
      <c r="W17">
        <v>5</v>
      </c>
      <c r="X17">
        <v>0</v>
      </c>
      <c r="Y17">
        <v>230.76</v>
      </c>
    </row>
    <row r="18" spans="1:25" x14ac:dyDescent="0.3">
      <c r="A18" t="s">
        <v>99</v>
      </c>
      <c r="B18" t="s">
        <v>100</v>
      </c>
      <c r="C18" t="s">
        <v>101</v>
      </c>
      <c r="D18" s="9">
        <v>24231</v>
      </c>
      <c r="E18">
        <v>2639.6</v>
      </c>
      <c r="F18">
        <v>2024</v>
      </c>
      <c r="G18" t="s">
        <v>28</v>
      </c>
      <c r="H18" t="s">
        <v>29</v>
      </c>
      <c r="I18" t="s">
        <v>61</v>
      </c>
      <c r="J18" t="s">
        <v>102</v>
      </c>
      <c r="K18" t="s">
        <v>32</v>
      </c>
      <c r="L18" t="s">
        <v>33</v>
      </c>
      <c r="M18" s="9">
        <v>45353</v>
      </c>
      <c r="N18" t="s">
        <v>112</v>
      </c>
      <c r="O18" s="9">
        <v>45350</v>
      </c>
      <c r="P18" s="9">
        <v>45353</v>
      </c>
      <c r="Q18" t="s">
        <v>74</v>
      </c>
      <c r="R18" t="s">
        <v>104</v>
      </c>
      <c r="S18">
        <v>960408</v>
      </c>
      <c r="T18" t="s">
        <v>113</v>
      </c>
      <c r="U18" t="s">
        <v>114</v>
      </c>
      <c r="V18" t="s">
        <v>115</v>
      </c>
      <c r="W18">
        <v>10</v>
      </c>
      <c r="X18">
        <v>0</v>
      </c>
      <c r="Y18">
        <v>816.19</v>
      </c>
    </row>
    <row r="19" spans="1:25" x14ac:dyDescent="0.3">
      <c r="A19" t="s">
        <v>99</v>
      </c>
      <c r="B19" t="s">
        <v>100</v>
      </c>
      <c r="C19" t="s">
        <v>101</v>
      </c>
      <c r="D19" s="9">
        <v>24231</v>
      </c>
      <c r="E19">
        <v>1898.95</v>
      </c>
      <c r="F19">
        <v>2024</v>
      </c>
      <c r="G19" t="s">
        <v>28</v>
      </c>
      <c r="H19" t="s">
        <v>29</v>
      </c>
      <c r="I19" t="s">
        <v>78</v>
      </c>
      <c r="J19" t="s">
        <v>102</v>
      </c>
      <c r="K19" t="s">
        <v>32</v>
      </c>
      <c r="L19" t="s">
        <v>33</v>
      </c>
      <c r="M19" s="9">
        <v>45401</v>
      </c>
      <c r="N19" t="s">
        <v>116</v>
      </c>
      <c r="O19" s="9">
        <v>45400</v>
      </c>
      <c r="P19" s="9">
        <v>45404</v>
      </c>
      <c r="Q19" t="s">
        <v>41</v>
      </c>
      <c r="R19" t="s">
        <v>104</v>
      </c>
      <c r="S19">
        <v>461888</v>
      </c>
      <c r="T19" t="s">
        <v>117</v>
      </c>
      <c r="U19" t="s">
        <v>118</v>
      </c>
      <c r="V19" t="s">
        <v>119</v>
      </c>
      <c r="W19">
        <v>5</v>
      </c>
      <c r="X19">
        <v>0.1</v>
      </c>
      <c r="Y19">
        <v>664.01</v>
      </c>
    </row>
    <row r="20" spans="1:25" x14ac:dyDescent="0.3">
      <c r="A20" t="s">
        <v>99</v>
      </c>
      <c r="B20" t="s">
        <v>100</v>
      </c>
      <c r="C20" t="s">
        <v>101</v>
      </c>
      <c r="D20" s="9">
        <v>24231</v>
      </c>
      <c r="E20">
        <v>1809.54</v>
      </c>
      <c r="F20">
        <v>2024</v>
      </c>
      <c r="G20" t="s">
        <v>28</v>
      </c>
      <c r="H20" t="s">
        <v>29</v>
      </c>
      <c r="I20" t="s">
        <v>43</v>
      </c>
      <c r="J20" t="s">
        <v>102</v>
      </c>
      <c r="K20" t="s">
        <v>32</v>
      </c>
      <c r="L20" t="s">
        <v>33</v>
      </c>
      <c r="M20" s="9">
        <v>45459</v>
      </c>
      <c r="N20" t="s">
        <v>120</v>
      </c>
      <c r="O20" s="9">
        <v>45457</v>
      </c>
      <c r="P20" s="9">
        <v>45459</v>
      </c>
      <c r="Q20" t="s">
        <v>121</v>
      </c>
      <c r="R20" t="s">
        <v>104</v>
      </c>
      <c r="S20">
        <v>997594</v>
      </c>
      <c r="T20" t="s">
        <v>70</v>
      </c>
      <c r="U20" t="s">
        <v>71</v>
      </c>
      <c r="V20" t="s">
        <v>122</v>
      </c>
      <c r="W20">
        <v>9</v>
      </c>
      <c r="X20">
        <v>0</v>
      </c>
      <c r="Y20">
        <v>562.54999999999995</v>
      </c>
    </row>
    <row r="21" spans="1:25" x14ac:dyDescent="0.3">
      <c r="A21" t="s">
        <v>123</v>
      </c>
      <c r="B21" t="s">
        <v>124</v>
      </c>
      <c r="C21" t="s">
        <v>125</v>
      </c>
      <c r="D21" s="9">
        <v>24177</v>
      </c>
      <c r="E21">
        <v>773.28</v>
      </c>
      <c r="F21">
        <v>2023</v>
      </c>
      <c r="G21" t="s">
        <v>48</v>
      </c>
      <c r="H21" t="s">
        <v>29</v>
      </c>
      <c r="I21" t="s">
        <v>92</v>
      </c>
      <c r="J21" t="s">
        <v>62</v>
      </c>
      <c r="K21" t="s">
        <v>32</v>
      </c>
      <c r="L21" t="s">
        <v>63</v>
      </c>
      <c r="M21" s="9">
        <v>44973</v>
      </c>
      <c r="N21" t="s">
        <v>126</v>
      </c>
      <c r="O21" s="9">
        <v>44971</v>
      </c>
      <c r="P21" s="9">
        <v>44976</v>
      </c>
      <c r="Q21" t="s">
        <v>41</v>
      </c>
      <c r="R21" t="s">
        <v>65</v>
      </c>
      <c r="S21">
        <v>204555</v>
      </c>
      <c r="T21" t="s">
        <v>127</v>
      </c>
      <c r="U21" t="s">
        <v>128</v>
      </c>
      <c r="V21" t="s">
        <v>129</v>
      </c>
      <c r="W21">
        <v>3</v>
      </c>
      <c r="X21">
        <v>0</v>
      </c>
      <c r="Y21">
        <v>67.95</v>
      </c>
    </row>
    <row r="22" spans="1:25" x14ac:dyDescent="0.3">
      <c r="A22" t="s">
        <v>123</v>
      </c>
      <c r="B22" t="s">
        <v>124</v>
      </c>
      <c r="C22" t="s">
        <v>125</v>
      </c>
      <c r="D22" s="9">
        <v>24177</v>
      </c>
      <c r="E22">
        <v>552.80999999999995</v>
      </c>
      <c r="F22">
        <v>2023</v>
      </c>
      <c r="G22" t="s">
        <v>28</v>
      </c>
      <c r="H22" t="s">
        <v>29</v>
      </c>
      <c r="I22" t="s">
        <v>30</v>
      </c>
      <c r="J22" t="s">
        <v>62</v>
      </c>
      <c r="K22" t="s">
        <v>32</v>
      </c>
      <c r="L22" t="s">
        <v>63</v>
      </c>
      <c r="M22" s="9">
        <v>45253</v>
      </c>
      <c r="N22" t="s">
        <v>130</v>
      </c>
      <c r="O22" s="9">
        <v>45252</v>
      </c>
      <c r="P22" s="9">
        <v>45253</v>
      </c>
      <c r="Q22" t="s">
        <v>74</v>
      </c>
      <c r="R22" t="s">
        <v>65</v>
      </c>
      <c r="S22">
        <v>753534</v>
      </c>
      <c r="T22" t="s">
        <v>37</v>
      </c>
      <c r="U22" t="s">
        <v>38</v>
      </c>
      <c r="V22" t="s">
        <v>131</v>
      </c>
      <c r="W22">
        <v>3</v>
      </c>
      <c r="X22">
        <v>0.15</v>
      </c>
      <c r="Y22">
        <v>188.5</v>
      </c>
    </row>
    <row r="23" spans="1:25" x14ac:dyDescent="0.3">
      <c r="A23" t="s">
        <v>123</v>
      </c>
      <c r="B23" t="s">
        <v>124</v>
      </c>
      <c r="C23" t="s">
        <v>125</v>
      </c>
      <c r="D23" s="9">
        <v>24177</v>
      </c>
      <c r="E23">
        <v>686.16</v>
      </c>
      <c r="F23">
        <v>2024</v>
      </c>
      <c r="G23" t="s">
        <v>28</v>
      </c>
      <c r="H23" t="s">
        <v>29</v>
      </c>
      <c r="I23" t="s">
        <v>49</v>
      </c>
      <c r="J23" t="s">
        <v>62</v>
      </c>
      <c r="K23" t="s">
        <v>32</v>
      </c>
      <c r="L23" t="s">
        <v>63</v>
      </c>
      <c r="M23" s="9">
        <v>45414</v>
      </c>
      <c r="N23" t="s">
        <v>132</v>
      </c>
      <c r="O23" s="9">
        <v>45411</v>
      </c>
      <c r="P23" s="9">
        <v>45416</v>
      </c>
      <c r="Q23" t="s">
        <v>41</v>
      </c>
      <c r="R23" t="s">
        <v>65</v>
      </c>
      <c r="S23">
        <v>667296</v>
      </c>
      <c r="T23" t="s">
        <v>84</v>
      </c>
      <c r="U23" t="s">
        <v>85</v>
      </c>
      <c r="V23" t="s">
        <v>133</v>
      </c>
      <c r="W23">
        <v>2</v>
      </c>
      <c r="X23">
        <v>0.2</v>
      </c>
      <c r="Y23">
        <v>173.12</v>
      </c>
    </row>
    <row r="24" spans="1:25" x14ac:dyDescent="0.3">
      <c r="A24" t="s">
        <v>123</v>
      </c>
      <c r="B24" t="s">
        <v>124</v>
      </c>
      <c r="C24" t="s">
        <v>125</v>
      </c>
      <c r="D24" s="9">
        <v>24177</v>
      </c>
      <c r="E24">
        <v>2119.73</v>
      </c>
      <c r="F24">
        <v>2024</v>
      </c>
      <c r="G24" t="s">
        <v>28</v>
      </c>
      <c r="H24" t="s">
        <v>29</v>
      </c>
      <c r="I24" t="s">
        <v>78</v>
      </c>
      <c r="J24" t="s">
        <v>62</v>
      </c>
      <c r="K24" t="s">
        <v>32</v>
      </c>
      <c r="L24" t="s">
        <v>63</v>
      </c>
      <c r="M24" s="9">
        <v>45649</v>
      </c>
      <c r="N24" t="s">
        <v>134</v>
      </c>
      <c r="O24" s="9">
        <v>45649</v>
      </c>
      <c r="P24" s="9">
        <v>45650</v>
      </c>
      <c r="Q24" t="s">
        <v>121</v>
      </c>
      <c r="R24" t="s">
        <v>65</v>
      </c>
      <c r="S24">
        <v>827712</v>
      </c>
      <c r="T24" t="s">
        <v>135</v>
      </c>
      <c r="U24" t="s">
        <v>136</v>
      </c>
      <c r="V24" t="s">
        <v>137</v>
      </c>
      <c r="W24">
        <v>5</v>
      </c>
      <c r="X24">
        <v>0.15</v>
      </c>
      <c r="Y24">
        <v>163.46</v>
      </c>
    </row>
    <row r="25" spans="1:25" x14ac:dyDescent="0.3">
      <c r="A25" t="s">
        <v>123</v>
      </c>
      <c r="B25" t="s">
        <v>124</v>
      </c>
      <c r="C25" t="s">
        <v>125</v>
      </c>
      <c r="D25" s="9">
        <v>24177</v>
      </c>
      <c r="E25">
        <v>2412.9</v>
      </c>
      <c r="F25">
        <v>2025</v>
      </c>
      <c r="G25" t="s">
        <v>48</v>
      </c>
      <c r="H25" t="s">
        <v>29</v>
      </c>
      <c r="I25" t="s">
        <v>43</v>
      </c>
      <c r="J25" t="s">
        <v>62</v>
      </c>
      <c r="K25" t="s">
        <v>32</v>
      </c>
      <c r="L25" t="s">
        <v>63</v>
      </c>
      <c r="M25" s="9">
        <v>45690</v>
      </c>
      <c r="N25" t="s">
        <v>138</v>
      </c>
      <c r="O25" s="9">
        <v>45689</v>
      </c>
      <c r="P25" s="9">
        <v>45693</v>
      </c>
      <c r="Q25" t="s">
        <v>41</v>
      </c>
      <c r="R25" t="s">
        <v>65</v>
      </c>
      <c r="S25">
        <v>693418</v>
      </c>
      <c r="T25" t="s">
        <v>45</v>
      </c>
      <c r="U25" t="s">
        <v>46</v>
      </c>
      <c r="V25" t="s">
        <v>139</v>
      </c>
      <c r="W25">
        <v>6</v>
      </c>
      <c r="X25">
        <v>0</v>
      </c>
      <c r="Y25">
        <v>380.13</v>
      </c>
    </row>
    <row r="26" spans="1:25" x14ac:dyDescent="0.3">
      <c r="A26" t="s">
        <v>140</v>
      </c>
      <c r="B26" t="s">
        <v>141</v>
      </c>
      <c r="C26" t="s">
        <v>142</v>
      </c>
      <c r="D26" s="9">
        <v>32671</v>
      </c>
      <c r="E26">
        <v>842.65</v>
      </c>
      <c r="F26">
        <v>2023</v>
      </c>
      <c r="G26" t="s">
        <v>87</v>
      </c>
      <c r="H26" t="s">
        <v>29</v>
      </c>
      <c r="I26" t="s">
        <v>92</v>
      </c>
      <c r="J26" t="s">
        <v>143</v>
      </c>
      <c r="K26" t="s">
        <v>32</v>
      </c>
      <c r="L26" t="s">
        <v>144</v>
      </c>
      <c r="M26" s="9">
        <v>45009</v>
      </c>
      <c r="N26" t="s">
        <v>145</v>
      </c>
      <c r="O26" s="9">
        <v>45007</v>
      </c>
      <c r="P26" s="9">
        <v>45011</v>
      </c>
      <c r="Q26" t="s">
        <v>35</v>
      </c>
      <c r="R26" t="s">
        <v>146</v>
      </c>
      <c r="S26">
        <v>943718</v>
      </c>
      <c r="T26" t="s">
        <v>147</v>
      </c>
      <c r="U26" t="s">
        <v>148</v>
      </c>
      <c r="V26" t="s">
        <v>149</v>
      </c>
      <c r="W26">
        <v>10</v>
      </c>
      <c r="X26">
        <v>0.05</v>
      </c>
      <c r="Y26">
        <v>203.39</v>
      </c>
    </row>
    <row r="27" spans="1:25" x14ac:dyDescent="0.3">
      <c r="A27" t="s">
        <v>140</v>
      </c>
      <c r="B27" t="s">
        <v>141</v>
      </c>
      <c r="C27" t="s">
        <v>142</v>
      </c>
      <c r="D27" s="9">
        <v>32671</v>
      </c>
      <c r="E27">
        <v>819.35</v>
      </c>
      <c r="F27">
        <v>2023</v>
      </c>
      <c r="G27" t="s">
        <v>87</v>
      </c>
      <c r="H27" t="s">
        <v>29</v>
      </c>
      <c r="I27" t="s">
        <v>92</v>
      </c>
      <c r="J27" t="s">
        <v>143</v>
      </c>
      <c r="K27" t="s">
        <v>32</v>
      </c>
      <c r="L27" t="s">
        <v>144</v>
      </c>
      <c r="M27" s="9">
        <v>45103</v>
      </c>
      <c r="N27" t="s">
        <v>150</v>
      </c>
      <c r="O27" s="9">
        <v>45101</v>
      </c>
      <c r="P27" s="9">
        <v>45106</v>
      </c>
      <c r="Q27" t="s">
        <v>41</v>
      </c>
      <c r="R27" t="s">
        <v>146</v>
      </c>
      <c r="S27">
        <v>823846</v>
      </c>
      <c r="T27" t="s">
        <v>94</v>
      </c>
      <c r="U27" t="s">
        <v>95</v>
      </c>
      <c r="V27" t="s">
        <v>151</v>
      </c>
      <c r="W27">
        <v>9</v>
      </c>
      <c r="X27">
        <v>0.05</v>
      </c>
      <c r="Y27">
        <v>273.31</v>
      </c>
    </row>
    <row r="28" spans="1:25" x14ac:dyDescent="0.3">
      <c r="A28" t="s">
        <v>140</v>
      </c>
      <c r="B28" t="s">
        <v>141</v>
      </c>
      <c r="C28" t="s">
        <v>142</v>
      </c>
      <c r="D28" s="9">
        <v>32671</v>
      </c>
      <c r="E28">
        <v>549.20000000000005</v>
      </c>
      <c r="F28">
        <v>2023</v>
      </c>
      <c r="G28" t="s">
        <v>28</v>
      </c>
      <c r="H28" t="s">
        <v>29</v>
      </c>
      <c r="I28" t="s">
        <v>43</v>
      </c>
      <c r="J28" t="s">
        <v>143</v>
      </c>
      <c r="K28" t="s">
        <v>32</v>
      </c>
      <c r="L28" t="s">
        <v>144</v>
      </c>
      <c r="M28" s="9">
        <v>45106</v>
      </c>
      <c r="N28" t="s">
        <v>152</v>
      </c>
      <c r="O28" s="9">
        <v>45106</v>
      </c>
      <c r="P28" s="9">
        <v>45107</v>
      </c>
      <c r="Q28" t="s">
        <v>74</v>
      </c>
      <c r="R28" t="s">
        <v>146</v>
      </c>
      <c r="S28">
        <v>702733</v>
      </c>
      <c r="T28" t="s">
        <v>153</v>
      </c>
      <c r="U28" t="s">
        <v>154</v>
      </c>
      <c r="V28" t="s">
        <v>155</v>
      </c>
      <c r="W28">
        <v>5</v>
      </c>
      <c r="X28">
        <v>0.05</v>
      </c>
      <c r="Y28">
        <v>168.06</v>
      </c>
    </row>
    <row r="29" spans="1:25" x14ac:dyDescent="0.3">
      <c r="A29" t="s">
        <v>140</v>
      </c>
      <c r="B29" t="s">
        <v>141</v>
      </c>
      <c r="C29" t="s">
        <v>142</v>
      </c>
      <c r="D29" s="9">
        <v>32671</v>
      </c>
      <c r="E29">
        <v>416</v>
      </c>
      <c r="F29">
        <v>2023</v>
      </c>
      <c r="G29" t="s">
        <v>87</v>
      </c>
      <c r="H29" t="s">
        <v>29</v>
      </c>
      <c r="I29" t="s">
        <v>43</v>
      </c>
      <c r="J29" t="s">
        <v>143</v>
      </c>
      <c r="K29" t="s">
        <v>32</v>
      </c>
      <c r="L29" t="s">
        <v>144</v>
      </c>
      <c r="M29" s="9">
        <v>45111</v>
      </c>
      <c r="N29" t="s">
        <v>156</v>
      </c>
      <c r="O29" s="9">
        <v>45111</v>
      </c>
      <c r="P29" s="9">
        <v>45112</v>
      </c>
      <c r="Q29" t="s">
        <v>41</v>
      </c>
      <c r="R29" t="s">
        <v>146</v>
      </c>
      <c r="S29">
        <v>973294</v>
      </c>
      <c r="T29" t="s">
        <v>70</v>
      </c>
      <c r="U29" t="s">
        <v>71</v>
      </c>
      <c r="V29" t="s">
        <v>157</v>
      </c>
      <c r="W29">
        <v>1</v>
      </c>
      <c r="X29">
        <v>0.15</v>
      </c>
      <c r="Y29">
        <v>70.2</v>
      </c>
    </row>
    <row r="30" spans="1:25" x14ac:dyDescent="0.3">
      <c r="A30" t="s">
        <v>140</v>
      </c>
      <c r="B30" t="s">
        <v>141</v>
      </c>
      <c r="C30" t="s">
        <v>142</v>
      </c>
      <c r="D30" s="9">
        <v>32671</v>
      </c>
      <c r="E30">
        <v>750.72</v>
      </c>
      <c r="F30">
        <v>2024</v>
      </c>
      <c r="G30" t="s">
        <v>48</v>
      </c>
      <c r="H30" t="s">
        <v>29</v>
      </c>
      <c r="I30" t="s">
        <v>43</v>
      </c>
      <c r="J30" t="s">
        <v>143</v>
      </c>
      <c r="K30" t="s">
        <v>32</v>
      </c>
      <c r="L30" t="s">
        <v>144</v>
      </c>
      <c r="M30" s="9">
        <v>45553</v>
      </c>
      <c r="N30" t="s">
        <v>158</v>
      </c>
      <c r="O30" s="9">
        <v>45551</v>
      </c>
      <c r="P30" s="9">
        <v>45553</v>
      </c>
      <c r="Q30" t="s">
        <v>35</v>
      </c>
      <c r="R30" t="s">
        <v>146</v>
      </c>
      <c r="S30">
        <v>423939</v>
      </c>
      <c r="T30" t="s">
        <v>45</v>
      </c>
      <c r="U30" t="s">
        <v>46</v>
      </c>
      <c r="V30" t="s">
        <v>159</v>
      </c>
      <c r="W30">
        <v>6</v>
      </c>
      <c r="X30">
        <v>0</v>
      </c>
      <c r="Y30">
        <v>177.37</v>
      </c>
    </row>
    <row r="31" spans="1:25" x14ac:dyDescent="0.3">
      <c r="A31" t="s">
        <v>160</v>
      </c>
      <c r="B31" t="s">
        <v>161</v>
      </c>
      <c r="C31" t="s">
        <v>162</v>
      </c>
      <c r="D31" s="9">
        <v>37004</v>
      </c>
      <c r="E31">
        <v>730.17</v>
      </c>
      <c r="F31">
        <v>2023</v>
      </c>
      <c r="G31" t="s">
        <v>48</v>
      </c>
      <c r="H31" t="s">
        <v>163</v>
      </c>
      <c r="I31" t="s">
        <v>78</v>
      </c>
      <c r="J31" t="s">
        <v>102</v>
      </c>
      <c r="K31" t="s">
        <v>32</v>
      </c>
      <c r="L31" t="s">
        <v>63</v>
      </c>
      <c r="M31" s="9">
        <v>44963</v>
      </c>
      <c r="N31" t="s">
        <v>164</v>
      </c>
      <c r="O31" s="9">
        <v>44961</v>
      </c>
      <c r="P31" s="9">
        <v>44964</v>
      </c>
      <c r="Q31" t="s">
        <v>74</v>
      </c>
      <c r="R31" t="s">
        <v>165</v>
      </c>
      <c r="S31">
        <v>964749</v>
      </c>
      <c r="T31" t="s">
        <v>117</v>
      </c>
      <c r="U31" t="s">
        <v>118</v>
      </c>
      <c r="V31" t="s">
        <v>166</v>
      </c>
      <c r="W31">
        <v>7</v>
      </c>
      <c r="X31">
        <v>0</v>
      </c>
      <c r="Y31">
        <v>208.79</v>
      </c>
    </row>
    <row r="32" spans="1:25" x14ac:dyDescent="0.3">
      <c r="A32" t="s">
        <v>160</v>
      </c>
      <c r="B32" t="s">
        <v>161</v>
      </c>
      <c r="C32" t="s">
        <v>162</v>
      </c>
      <c r="D32" s="9">
        <v>37004</v>
      </c>
      <c r="E32">
        <v>2314.37</v>
      </c>
      <c r="F32">
        <v>2023</v>
      </c>
      <c r="G32" t="s">
        <v>87</v>
      </c>
      <c r="H32" t="s">
        <v>163</v>
      </c>
      <c r="I32" t="s">
        <v>92</v>
      </c>
      <c r="J32" t="s">
        <v>102</v>
      </c>
      <c r="K32" t="s">
        <v>32</v>
      </c>
      <c r="L32" t="s">
        <v>63</v>
      </c>
      <c r="M32" s="9">
        <v>45061</v>
      </c>
      <c r="N32" t="s">
        <v>167</v>
      </c>
      <c r="O32" s="9">
        <v>45061</v>
      </c>
      <c r="P32" s="9">
        <v>45063</v>
      </c>
      <c r="Q32" t="s">
        <v>41</v>
      </c>
      <c r="R32" t="s">
        <v>165</v>
      </c>
      <c r="S32">
        <v>986827</v>
      </c>
      <c r="T32" t="s">
        <v>94</v>
      </c>
      <c r="U32" t="s">
        <v>95</v>
      </c>
      <c r="V32" t="s">
        <v>168</v>
      </c>
      <c r="W32">
        <v>6</v>
      </c>
      <c r="X32">
        <v>0.05</v>
      </c>
      <c r="Y32">
        <v>784.27</v>
      </c>
    </row>
    <row r="33" spans="1:25" x14ac:dyDescent="0.3">
      <c r="A33" t="s">
        <v>160</v>
      </c>
      <c r="B33" t="s">
        <v>161</v>
      </c>
      <c r="C33" t="s">
        <v>162</v>
      </c>
      <c r="D33" s="9">
        <v>37004</v>
      </c>
      <c r="E33">
        <v>168.08</v>
      </c>
      <c r="F33">
        <v>2024</v>
      </c>
      <c r="G33" t="s">
        <v>87</v>
      </c>
      <c r="H33" t="s">
        <v>163</v>
      </c>
      <c r="I33" t="s">
        <v>30</v>
      </c>
      <c r="J33" t="s">
        <v>102</v>
      </c>
      <c r="K33" t="s">
        <v>32</v>
      </c>
      <c r="L33" t="s">
        <v>63</v>
      </c>
      <c r="M33" s="9">
        <v>45302</v>
      </c>
      <c r="N33" t="s">
        <v>169</v>
      </c>
      <c r="O33" s="9">
        <v>45300</v>
      </c>
      <c r="P33" s="9">
        <v>45303</v>
      </c>
      <c r="Q33" t="s">
        <v>41</v>
      </c>
      <c r="R33" t="s">
        <v>165</v>
      </c>
      <c r="S33">
        <v>962367</v>
      </c>
      <c r="T33" t="s">
        <v>37</v>
      </c>
      <c r="U33" t="s">
        <v>38</v>
      </c>
      <c r="V33" t="s">
        <v>170</v>
      </c>
      <c r="W33">
        <v>7</v>
      </c>
      <c r="X33">
        <v>0.1</v>
      </c>
      <c r="Y33">
        <v>14.64</v>
      </c>
    </row>
    <row r="34" spans="1:25" x14ac:dyDescent="0.3">
      <c r="A34" t="s">
        <v>160</v>
      </c>
      <c r="B34" t="s">
        <v>161</v>
      </c>
      <c r="C34" t="s">
        <v>162</v>
      </c>
      <c r="D34" s="9">
        <v>37004</v>
      </c>
      <c r="E34">
        <v>886.72</v>
      </c>
      <c r="F34">
        <v>2024</v>
      </c>
      <c r="G34" t="s">
        <v>87</v>
      </c>
      <c r="H34" t="s">
        <v>163</v>
      </c>
      <c r="I34" t="s">
        <v>49</v>
      </c>
      <c r="J34" t="s">
        <v>102</v>
      </c>
      <c r="K34" t="s">
        <v>32</v>
      </c>
      <c r="L34" t="s">
        <v>63</v>
      </c>
      <c r="M34" s="9">
        <v>45522</v>
      </c>
      <c r="N34" t="s">
        <v>171</v>
      </c>
      <c r="O34" s="9">
        <v>45520</v>
      </c>
      <c r="P34" s="9">
        <v>45525</v>
      </c>
      <c r="Q34" t="s">
        <v>121</v>
      </c>
      <c r="R34" t="s">
        <v>165</v>
      </c>
      <c r="S34">
        <v>779112</v>
      </c>
      <c r="T34" t="s">
        <v>84</v>
      </c>
      <c r="U34" t="s">
        <v>85</v>
      </c>
      <c r="V34" t="s">
        <v>172</v>
      </c>
      <c r="W34">
        <v>4</v>
      </c>
      <c r="X34">
        <v>0.1</v>
      </c>
      <c r="Y34">
        <v>279.56</v>
      </c>
    </row>
    <row r="35" spans="1:25" x14ac:dyDescent="0.3">
      <c r="A35" t="s">
        <v>160</v>
      </c>
      <c r="B35" t="s">
        <v>161</v>
      </c>
      <c r="C35" t="s">
        <v>162</v>
      </c>
      <c r="D35" s="9">
        <v>37004</v>
      </c>
      <c r="E35">
        <v>1658.15</v>
      </c>
      <c r="F35">
        <v>2025</v>
      </c>
      <c r="G35" t="s">
        <v>28</v>
      </c>
      <c r="H35" t="s">
        <v>163</v>
      </c>
      <c r="I35" t="s">
        <v>78</v>
      </c>
      <c r="J35" t="s">
        <v>102</v>
      </c>
      <c r="K35" t="s">
        <v>32</v>
      </c>
      <c r="L35" t="s">
        <v>63</v>
      </c>
      <c r="M35" s="9">
        <v>45677</v>
      </c>
      <c r="N35" t="s">
        <v>173</v>
      </c>
      <c r="O35" s="9">
        <v>45676</v>
      </c>
      <c r="P35" s="9">
        <v>45677</v>
      </c>
      <c r="Q35" t="s">
        <v>35</v>
      </c>
      <c r="R35" t="s">
        <v>165</v>
      </c>
      <c r="S35">
        <v>201913</v>
      </c>
      <c r="T35" t="s">
        <v>80</v>
      </c>
      <c r="U35" t="s">
        <v>81</v>
      </c>
      <c r="V35" t="s">
        <v>174</v>
      </c>
      <c r="W35">
        <v>5</v>
      </c>
      <c r="X35">
        <v>0</v>
      </c>
      <c r="Y35">
        <v>152.44</v>
      </c>
    </row>
    <row r="36" spans="1:25" x14ac:dyDescent="0.3">
      <c r="A36" t="s">
        <v>175</v>
      </c>
      <c r="B36" t="s">
        <v>100</v>
      </c>
      <c r="C36" t="s">
        <v>176</v>
      </c>
      <c r="D36" s="9">
        <v>28295</v>
      </c>
      <c r="E36">
        <v>1692.03</v>
      </c>
      <c r="F36">
        <v>2023</v>
      </c>
      <c r="G36" t="s">
        <v>28</v>
      </c>
      <c r="H36" t="s">
        <v>163</v>
      </c>
      <c r="I36" t="s">
        <v>92</v>
      </c>
      <c r="J36" t="s">
        <v>102</v>
      </c>
      <c r="K36" t="s">
        <v>32</v>
      </c>
      <c r="L36" t="s">
        <v>144</v>
      </c>
      <c r="M36" s="9">
        <v>45065</v>
      </c>
      <c r="N36" t="s">
        <v>177</v>
      </c>
      <c r="O36" s="9">
        <v>45065</v>
      </c>
      <c r="P36" s="9">
        <v>45069</v>
      </c>
      <c r="Q36" t="s">
        <v>41</v>
      </c>
      <c r="R36" t="s">
        <v>178</v>
      </c>
      <c r="S36">
        <v>393328</v>
      </c>
      <c r="T36" t="s">
        <v>127</v>
      </c>
      <c r="U36" t="s">
        <v>128</v>
      </c>
      <c r="V36" t="s">
        <v>179</v>
      </c>
      <c r="W36">
        <v>9</v>
      </c>
      <c r="X36">
        <v>0.15</v>
      </c>
      <c r="Y36">
        <v>453.43</v>
      </c>
    </row>
    <row r="37" spans="1:25" x14ac:dyDescent="0.3">
      <c r="A37" t="s">
        <v>175</v>
      </c>
      <c r="B37" t="s">
        <v>100</v>
      </c>
      <c r="C37" t="s">
        <v>176</v>
      </c>
      <c r="D37" s="9">
        <v>28295</v>
      </c>
      <c r="E37">
        <v>1867.6</v>
      </c>
      <c r="F37">
        <v>2024</v>
      </c>
      <c r="G37" t="s">
        <v>87</v>
      </c>
      <c r="H37" t="s">
        <v>163</v>
      </c>
      <c r="I37" t="s">
        <v>78</v>
      </c>
      <c r="J37" t="s">
        <v>102</v>
      </c>
      <c r="K37" t="s">
        <v>32</v>
      </c>
      <c r="L37" t="s">
        <v>144</v>
      </c>
      <c r="M37" s="9">
        <v>45478</v>
      </c>
      <c r="N37" t="s">
        <v>180</v>
      </c>
      <c r="O37" s="9">
        <v>45477</v>
      </c>
      <c r="P37" s="9">
        <v>45478</v>
      </c>
      <c r="Q37" t="s">
        <v>74</v>
      </c>
      <c r="R37" t="s">
        <v>178</v>
      </c>
      <c r="S37">
        <v>163491</v>
      </c>
      <c r="T37" t="s">
        <v>117</v>
      </c>
      <c r="U37" t="s">
        <v>118</v>
      </c>
      <c r="V37" t="s">
        <v>181</v>
      </c>
      <c r="W37">
        <v>8</v>
      </c>
      <c r="X37">
        <v>0</v>
      </c>
      <c r="Y37">
        <v>572.66999999999996</v>
      </c>
    </row>
    <row r="38" spans="1:25" x14ac:dyDescent="0.3">
      <c r="A38" t="s">
        <v>182</v>
      </c>
      <c r="B38" t="s">
        <v>183</v>
      </c>
      <c r="C38" t="s">
        <v>184</v>
      </c>
      <c r="D38" s="9">
        <v>29967</v>
      </c>
      <c r="E38">
        <v>1180.8699999999999</v>
      </c>
      <c r="F38">
        <v>2023</v>
      </c>
      <c r="G38" t="s">
        <v>48</v>
      </c>
      <c r="H38" t="s">
        <v>29</v>
      </c>
      <c r="I38" t="s">
        <v>92</v>
      </c>
      <c r="J38" t="s">
        <v>102</v>
      </c>
      <c r="K38" t="s">
        <v>32</v>
      </c>
      <c r="L38" t="s">
        <v>144</v>
      </c>
      <c r="M38" s="9">
        <v>45053</v>
      </c>
      <c r="N38" t="s">
        <v>185</v>
      </c>
      <c r="O38" s="9">
        <v>45052</v>
      </c>
      <c r="P38" s="9">
        <v>45053</v>
      </c>
      <c r="Q38" t="s">
        <v>121</v>
      </c>
      <c r="R38" t="s">
        <v>186</v>
      </c>
      <c r="S38">
        <v>925206</v>
      </c>
      <c r="T38" t="s">
        <v>187</v>
      </c>
      <c r="U38" t="s">
        <v>188</v>
      </c>
      <c r="V38" t="s">
        <v>189</v>
      </c>
      <c r="W38">
        <v>4</v>
      </c>
      <c r="X38">
        <v>0.1</v>
      </c>
      <c r="Y38">
        <v>403.06</v>
      </c>
    </row>
    <row r="39" spans="1:25" x14ac:dyDescent="0.3">
      <c r="A39" t="s">
        <v>182</v>
      </c>
      <c r="B39" t="s">
        <v>183</v>
      </c>
      <c r="C39" t="s">
        <v>184</v>
      </c>
      <c r="D39" s="9">
        <v>29967</v>
      </c>
      <c r="E39">
        <v>1074.96</v>
      </c>
      <c r="F39">
        <v>2023</v>
      </c>
      <c r="G39" t="s">
        <v>48</v>
      </c>
      <c r="H39" t="s">
        <v>29</v>
      </c>
      <c r="I39" t="s">
        <v>30</v>
      </c>
      <c r="J39" t="s">
        <v>102</v>
      </c>
      <c r="K39" t="s">
        <v>32</v>
      </c>
      <c r="L39" t="s">
        <v>144</v>
      </c>
      <c r="M39" s="9">
        <v>45122</v>
      </c>
      <c r="N39" t="s">
        <v>190</v>
      </c>
      <c r="O39" s="9">
        <v>45121</v>
      </c>
      <c r="P39" s="9">
        <v>45123</v>
      </c>
      <c r="Q39" t="s">
        <v>35</v>
      </c>
      <c r="R39" t="s">
        <v>186</v>
      </c>
      <c r="S39">
        <v>390743</v>
      </c>
      <c r="T39" t="s">
        <v>75</v>
      </c>
      <c r="U39" t="s">
        <v>76</v>
      </c>
      <c r="V39" t="s">
        <v>191</v>
      </c>
      <c r="W39">
        <v>9</v>
      </c>
      <c r="X39">
        <v>0</v>
      </c>
      <c r="Y39">
        <v>315.95</v>
      </c>
    </row>
    <row r="40" spans="1:25" x14ac:dyDescent="0.3">
      <c r="A40" t="s">
        <v>182</v>
      </c>
      <c r="B40" t="s">
        <v>183</v>
      </c>
      <c r="C40" t="s">
        <v>184</v>
      </c>
      <c r="D40" s="9">
        <v>29967</v>
      </c>
      <c r="E40">
        <v>2016.45</v>
      </c>
      <c r="F40">
        <v>2025</v>
      </c>
      <c r="G40" t="s">
        <v>48</v>
      </c>
      <c r="H40" t="s">
        <v>29</v>
      </c>
      <c r="I40" t="s">
        <v>61</v>
      </c>
      <c r="J40" t="s">
        <v>102</v>
      </c>
      <c r="K40" t="s">
        <v>32</v>
      </c>
      <c r="L40" t="s">
        <v>144</v>
      </c>
      <c r="M40" s="9">
        <v>45795</v>
      </c>
      <c r="N40" t="s">
        <v>192</v>
      </c>
      <c r="O40" s="9">
        <v>45795</v>
      </c>
      <c r="P40" s="9">
        <v>45796</v>
      </c>
      <c r="Q40" t="s">
        <v>74</v>
      </c>
      <c r="R40" t="s">
        <v>186</v>
      </c>
      <c r="S40">
        <v>928358</v>
      </c>
      <c r="T40" t="s">
        <v>66</v>
      </c>
      <c r="U40" t="s">
        <v>67</v>
      </c>
      <c r="V40" t="s">
        <v>193</v>
      </c>
      <c r="W40">
        <v>5</v>
      </c>
      <c r="X40">
        <v>0</v>
      </c>
      <c r="Y40">
        <v>500.72</v>
      </c>
    </row>
    <row r="41" spans="1:25" x14ac:dyDescent="0.3">
      <c r="A41" t="s">
        <v>194</v>
      </c>
      <c r="B41" t="s">
        <v>195</v>
      </c>
      <c r="C41" t="s">
        <v>162</v>
      </c>
      <c r="D41" s="9">
        <v>36966</v>
      </c>
      <c r="E41">
        <v>1621.49</v>
      </c>
      <c r="F41">
        <v>2023</v>
      </c>
      <c r="G41" t="s">
        <v>87</v>
      </c>
      <c r="H41" t="s">
        <v>29</v>
      </c>
      <c r="I41" t="s">
        <v>78</v>
      </c>
      <c r="J41" t="s">
        <v>102</v>
      </c>
      <c r="K41" t="s">
        <v>32</v>
      </c>
      <c r="L41" t="s">
        <v>63</v>
      </c>
      <c r="M41" s="9">
        <v>44945</v>
      </c>
      <c r="N41" t="s">
        <v>196</v>
      </c>
      <c r="O41" s="9">
        <v>44943</v>
      </c>
      <c r="P41" s="9">
        <v>44947</v>
      </c>
      <c r="Q41" t="s">
        <v>35</v>
      </c>
      <c r="R41" t="s">
        <v>197</v>
      </c>
      <c r="S41">
        <v>573962</v>
      </c>
      <c r="T41" t="s">
        <v>89</v>
      </c>
      <c r="U41" t="s">
        <v>90</v>
      </c>
      <c r="V41" t="s">
        <v>198</v>
      </c>
      <c r="W41">
        <v>7</v>
      </c>
      <c r="X41">
        <v>0.15</v>
      </c>
      <c r="Y41">
        <v>111.99</v>
      </c>
    </row>
    <row r="42" spans="1:25" x14ac:dyDescent="0.3">
      <c r="A42" t="s">
        <v>194</v>
      </c>
      <c r="B42" t="s">
        <v>195</v>
      </c>
      <c r="C42" t="s">
        <v>162</v>
      </c>
      <c r="D42" s="9">
        <v>36966</v>
      </c>
      <c r="E42">
        <v>295.26</v>
      </c>
      <c r="F42">
        <v>2023</v>
      </c>
      <c r="G42" t="s">
        <v>87</v>
      </c>
      <c r="H42" t="s">
        <v>29</v>
      </c>
      <c r="I42" t="s">
        <v>30</v>
      </c>
      <c r="J42" t="s">
        <v>102</v>
      </c>
      <c r="K42" t="s">
        <v>32</v>
      </c>
      <c r="L42" t="s">
        <v>63</v>
      </c>
      <c r="M42" s="9">
        <v>45108</v>
      </c>
      <c r="N42" t="s">
        <v>199</v>
      </c>
      <c r="O42" s="9">
        <v>45105</v>
      </c>
      <c r="P42" s="9">
        <v>45108</v>
      </c>
      <c r="Q42" t="s">
        <v>35</v>
      </c>
      <c r="R42" t="s">
        <v>197</v>
      </c>
      <c r="S42">
        <v>163780</v>
      </c>
      <c r="T42" t="s">
        <v>75</v>
      </c>
      <c r="U42" t="s">
        <v>76</v>
      </c>
      <c r="V42" t="s">
        <v>200</v>
      </c>
      <c r="W42">
        <v>1</v>
      </c>
      <c r="X42">
        <v>0.2</v>
      </c>
      <c r="Y42">
        <v>73.13</v>
      </c>
    </row>
    <row r="43" spans="1:25" x14ac:dyDescent="0.3">
      <c r="A43" t="s">
        <v>194</v>
      </c>
      <c r="B43" t="s">
        <v>195</v>
      </c>
      <c r="C43" t="s">
        <v>162</v>
      </c>
      <c r="D43" s="9">
        <v>36966</v>
      </c>
      <c r="E43">
        <v>485.13</v>
      </c>
      <c r="F43">
        <v>2023</v>
      </c>
      <c r="G43" t="s">
        <v>87</v>
      </c>
      <c r="H43" t="s">
        <v>29</v>
      </c>
      <c r="I43" t="s">
        <v>92</v>
      </c>
      <c r="J43" t="s">
        <v>102</v>
      </c>
      <c r="K43" t="s">
        <v>32</v>
      </c>
      <c r="L43" t="s">
        <v>63</v>
      </c>
      <c r="M43" s="9">
        <v>45199</v>
      </c>
      <c r="N43" t="s">
        <v>201</v>
      </c>
      <c r="O43" s="9">
        <v>45198</v>
      </c>
      <c r="P43" s="9">
        <v>45199</v>
      </c>
      <c r="Q43" t="s">
        <v>121</v>
      </c>
      <c r="R43" t="s">
        <v>197</v>
      </c>
      <c r="S43">
        <v>168872</v>
      </c>
      <c r="T43" t="s">
        <v>127</v>
      </c>
      <c r="U43" t="s">
        <v>128</v>
      </c>
      <c r="V43" t="s">
        <v>202</v>
      </c>
      <c r="W43">
        <v>2</v>
      </c>
      <c r="X43">
        <v>0.05</v>
      </c>
      <c r="Y43">
        <v>34.950000000000003</v>
      </c>
    </row>
    <row r="44" spans="1:25" x14ac:dyDescent="0.3">
      <c r="A44" t="s">
        <v>194</v>
      </c>
      <c r="B44" t="s">
        <v>195</v>
      </c>
      <c r="C44" t="s">
        <v>162</v>
      </c>
      <c r="D44" s="9">
        <v>36966</v>
      </c>
      <c r="E44">
        <v>2832.1</v>
      </c>
      <c r="F44">
        <v>2023</v>
      </c>
      <c r="G44" t="s">
        <v>28</v>
      </c>
      <c r="H44" t="s">
        <v>29</v>
      </c>
      <c r="I44" t="s">
        <v>61</v>
      </c>
      <c r="J44" t="s">
        <v>102</v>
      </c>
      <c r="K44" t="s">
        <v>32</v>
      </c>
      <c r="L44" t="s">
        <v>63</v>
      </c>
      <c r="M44" s="9">
        <v>45262</v>
      </c>
      <c r="N44" t="s">
        <v>203</v>
      </c>
      <c r="O44" s="9">
        <v>45258</v>
      </c>
      <c r="P44" s="9">
        <v>45263</v>
      </c>
      <c r="Q44" t="s">
        <v>41</v>
      </c>
      <c r="R44" t="s">
        <v>197</v>
      </c>
      <c r="S44">
        <v>630108</v>
      </c>
      <c r="T44" t="s">
        <v>204</v>
      </c>
      <c r="U44" t="s">
        <v>205</v>
      </c>
      <c r="V44" t="s">
        <v>206</v>
      </c>
      <c r="W44">
        <v>10</v>
      </c>
      <c r="X44">
        <v>0</v>
      </c>
      <c r="Y44">
        <v>465.23</v>
      </c>
    </row>
    <row r="45" spans="1:25" x14ac:dyDescent="0.3">
      <c r="A45" t="s">
        <v>194</v>
      </c>
      <c r="B45" t="s">
        <v>195</v>
      </c>
      <c r="C45" t="s">
        <v>162</v>
      </c>
      <c r="D45" s="9">
        <v>36966</v>
      </c>
      <c r="E45">
        <v>729.88</v>
      </c>
      <c r="F45">
        <v>2024</v>
      </c>
      <c r="G45" t="s">
        <v>48</v>
      </c>
      <c r="H45" t="s">
        <v>29</v>
      </c>
      <c r="I45" t="s">
        <v>30</v>
      </c>
      <c r="J45" t="s">
        <v>102</v>
      </c>
      <c r="K45" t="s">
        <v>32</v>
      </c>
      <c r="L45" t="s">
        <v>63</v>
      </c>
      <c r="M45" s="9">
        <v>45534</v>
      </c>
      <c r="N45" t="s">
        <v>207</v>
      </c>
      <c r="O45" s="9">
        <v>45529</v>
      </c>
      <c r="P45" s="9">
        <v>45534</v>
      </c>
      <c r="Q45" t="s">
        <v>41</v>
      </c>
      <c r="R45" t="s">
        <v>197</v>
      </c>
      <c r="S45">
        <v>573489</v>
      </c>
      <c r="T45" t="s">
        <v>37</v>
      </c>
      <c r="U45" t="s">
        <v>38</v>
      </c>
      <c r="V45" t="s">
        <v>208</v>
      </c>
      <c r="W45">
        <v>2</v>
      </c>
      <c r="X45">
        <v>0.15</v>
      </c>
      <c r="Y45">
        <v>228.68</v>
      </c>
    </row>
    <row r="46" spans="1:25" x14ac:dyDescent="0.3">
      <c r="A46" t="s">
        <v>209</v>
      </c>
      <c r="B46" t="s">
        <v>210</v>
      </c>
      <c r="C46" t="s">
        <v>211</v>
      </c>
      <c r="D46" s="9">
        <v>29944</v>
      </c>
      <c r="E46">
        <v>1190.07</v>
      </c>
      <c r="F46">
        <v>2023</v>
      </c>
      <c r="G46" t="s">
        <v>28</v>
      </c>
      <c r="H46" t="s">
        <v>29</v>
      </c>
      <c r="I46" t="s">
        <v>49</v>
      </c>
      <c r="J46" t="s">
        <v>102</v>
      </c>
      <c r="K46" t="s">
        <v>32</v>
      </c>
      <c r="L46" t="s">
        <v>63</v>
      </c>
      <c r="M46" s="9">
        <v>45276</v>
      </c>
      <c r="N46" t="s">
        <v>212</v>
      </c>
      <c r="O46" s="9">
        <v>45274</v>
      </c>
      <c r="P46" s="9">
        <v>45276</v>
      </c>
      <c r="Q46" t="s">
        <v>35</v>
      </c>
      <c r="R46" t="s">
        <v>104</v>
      </c>
      <c r="S46">
        <v>195656</v>
      </c>
      <c r="T46" t="s">
        <v>109</v>
      </c>
      <c r="U46" t="s">
        <v>110</v>
      </c>
      <c r="V46" t="s">
        <v>213</v>
      </c>
      <c r="W46">
        <v>7</v>
      </c>
      <c r="X46">
        <v>0</v>
      </c>
      <c r="Y46">
        <v>193.14</v>
      </c>
    </row>
    <row r="47" spans="1:25" x14ac:dyDescent="0.3">
      <c r="A47" t="s">
        <v>209</v>
      </c>
      <c r="B47" t="s">
        <v>210</v>
      </c>
      <c r="C47" t="s">
        <v>211</v>
      </c>
      <c r="D47" s="9">
        <v>29944</v>
      </c>
      <c r="E47">
        <v>754.8</v>
      </c>
      <c r="F47">
        <v>2024</v>
      </c>
      <c r="G47" t="s">
        <v>87</v>
      </c>
      <c r="H47" t="s">
        <v>29</v>
      </c>
      <c r="I47" t="s">
        <v>78</v>
      </c>
      <c r="J47" t="s">
        <v>102</v>
      </c>
      <c r="K47" t="s">
        <v>32</v>
      </c>
      <c r="L47" t="s">
        <v>63</v>
      </c>
      <c r="M47" s="9">
        <v>45335</v>
      </c>
      <c r="N47" t="s">
        <v>214</v>
      </c>
      <c r="O47" s="9">
        <v>45335</v>
      </c>
      <c r="P47" s="9">
        <v>45340</v>
      </c>
      <c r="Q47" t="s">
        <v>74</v>
      </c>
      <c r="R47" t="s">
        <v>104</v>
      </c>
      <c r="S47">
        <v>802559</v>
      </c>
      <c r="T47" t="s">
        <v>135</v>
      </c>
      <c r="U47" t="s">
        <v>136</v>
      </c>
      <c r="V47" t="s">
        <v>215</v>
      </c>
      <c r="W47">
        <v>2</v>
      </c>
      <c r="X47">
        <v>0</v>
      </c>
      <c r="Y47">
        <v>221.56</v>
      </c>
    </row>
    <row r="48" spans="1:25" x14ac:dyDescent="0.3">
      <c r="A48" t="s">
        <v>209</v>
      </c>
      <c r="B48" t="s">
        <v>210</v>
      </c>
      <c r="C48" t="s">
        <v>211</v>
      </c>
      <c r="D48" s="9">
        <v>29944</v>
      </c>
      <c r="E48">
        <v>2598.25</v>
      </c>
      <c r="F48">
        <v>2024</v>
      </c>
      <c r="G48" t="s">
        <v>28</v>
      </c>
      <c r="H48" t="s">
        <v>29</v>
      </c>
      <c r="I48" t="s">
        <v>78</v>
      </c>
      <c r="J48" t="s">
        <v>102</v>
      </c>
      <c r="K48" t="s">
        <v>32</v>
      </c>
      <c r="L48" t="s">
        <v>63</v>
      </c>
      <c r="M48" s="9">
        <v>45352</v>
      </c>
      <c r="N48" t="s">
        <v>216</v>
      </c>
      <c r="O48" s="9">
        <v>45350</v>
      </c>
      <c r="P48" s="9">
        <v>45353</v>
      </c>
      <c r="Q48" t="s">
        <v>35</v>
      </c>
      <c r="R48" t="s">
        <v>104</v>
      </c>
      <c r="S48">
        <v>705991</v>
      </c>
      <c r="T48" t="s">
        <v>80</v>
      </c>
      <c r="U48" t="s">
        <v>81</v>
      </c>
      <c r="V48" t="s">
        <v>217</v>
      </c>
      <c r="W48">
        <v>7</v>
      </c>
      <c r="X48">
        <v>0.15</v>
      </c>
      <c r="Y48">
        <v>170.01</v>
      </c>
    </row>
    <row r="49" spans="1:25" x14ac:dyDescent="0.3">
      <c r="A49" t="s">
        <v>209</v>
      </c>
      <c r="B49" t="s">
        <v>210</v>
      </c>
      <c r="C49" t="s">
        <v>211</v>
      </c>
      <c r="D49" s="9">
        <v>29944</v>
      </c>
      <c r="E49">
        <v>1021.12</v>
      </c>
      <c r="F49">
        <v>2024</v>
      </c>
      <c r="G49" t="s">
        <v>48</v>
      </c>
      <c r="H49" t="s">
        <v>29</v>
      </c>
      <c r="I49" t="s">
        <v>30</v>
      </c>
      <c r="J49" t="s">
        <v>102</v>
      </c>
      <c r="K49" t="s">
        <v>32</v>
      </c>
      <c r="L49" t="s">
        <v>63</v>
      </c>
      <c r="M49" s="9">
        <v>45354</v>
      </c>
      <c r="N49" t="s">
        <v>218</v>
      </c>
      <c r="O49" s="9">
        <v>45352</v>
      </c>
      <c r="P49" s="9">
        <v>45357</v>
      </c>
      <c r="Q49" t="s">
        <v>74</v>
      </c>
      <c r="R49" t="s">
        <v>104</v>
      </c>
      <c r="S49">
        <v>701987</v>
      </c>
      <c r="T49" t="s">
        <v>75</v>
      </c>
      <c r="U49" t="s">
        <v>76</v>
      </c>
      <c r="V49" t="s">
        <v>219</v>
      </c>
      <c r="W49">
        <v>8</v>
      </c>
      <c r="X49">
        <v>0</v>
      </c>
      <c r="Y49">
        <v>158.31</v>
      </c>
    </row>
    <row r="50" spans="1:25" x14ac:dyDescent="0.3">
      <c r="A50" t="s">
        <v>209</v>
      </c>
      <c r="B50" t="s">
        <v>210</v>
      </c>
      <c r="C50" t="s">
        <v>211</v>
      </c>
      <c r="D50" s="9">
        <v>29944</v>
      </c>
      <c r="E50">
        <v>3512.02</v>
      </c>
      <c r="F50">
        <v>2024</v>
      </c>
      <c r="G50" t="s">
        <v>87</v>
      </c>
      <c r="H50" t="s">
        <v>29</v>
      </c>
      <c r="I50" t="s">
        <v>61</v>
      </c>
      <c r="J50" t="s">
        <v>102</v>
      </c>
      <c r="K50" t="s">
        <v>32</v>
      </c>
      <c r="L50" t="s">
        <v>63</v>
      </c>
      <c r="M50" s="9">
        <v>45391</v>
      </c>
      <c r="N50" t="s">
        <v>220</v>
      </c>
      <c r="O50" s="9">
        <v>45391</v>
      </c>
      <c r="P50" s="9">
        <v>45396</v>
      </c>
      <c r="Q50" t="s">
        <v>74</v>
      </c>
      <c r="R50" t="s">
        <v>104</v>
      </c>
      <c r="S50">
        <v>130359</v>
      </c>
      <c r="T50" t="s">
        <v>113</v>
      </c>
      <c r="U50" t="s">
        <v>114</v>
      </c>
      <c r="V50" t="s">
        <v>221</v>
      </c>
      <c r="W50">
        <v>9</v>
      </c>
      <c r="X50">
        <v>0.2</v>
      </c>
      <c r="Y50">
        <v>830.65</v>
      </c>
    </row>
    <row r="51" spans="1:25" x14ac:dyDescent="0.3">
      <c r="A51" t="s">
        <v>209</v>
      </c>
      <c r="B51" t="s">
        <v>210</v>
      </c>
      <c r="C51" t="s">
        <v>211</v>
      </c>
      <c r="D51" s="9">
        <v>29944</v>
      </c>
      <c r="E51">
        <v>2311.6999999999998</v>
      </c>
      <c r="F51">
        <v>2025</v>
      </c>
      <c r="G51" t="s">
        <v>87</v>
      </c>
      <c r="H51" t="s">
        <v>29</v>
      </c>
      <c r="I51" t="s">
        <v>61</v>
      </c>
      <c r="J51" t="s">
        <v>102</v>
      </c>
      <c r="K51" t="s">
        <v>32</v>
      </c>
      <c r="L51" t="s">
        <v>63</v>
      </c>
      <c r="M51" s="9">
        <v>45776</v>
      </c>
      <c r="N51" t="s">
        <v>222</v>
      </c>
      <c r="O51" s="9">
        <v>45774</v>
      </c>
      <c r="P51" s="9">
        <v>45776</v>
      </c>
      <c r="Q51" t="s">
        <v>41</v>
      </c>
      <c r="R51" t="s">
        <v>104</v>
      </c>
      <c r="S51">
        <v>172965</v>
      </c>
      <c r="T51" t="s">
        <v>204</v>
      </c>
      <c r="U51" t="s">
        <v>205</v>
      </c>
      <c r="V51" t="s">
        <v>223</v>
      </c>
      <c r="W51">
        <v>5</v>
      </c>
      <c r="X51">
        <v>0</v>
      </c>
      <c r="Y51">
        <v>119.82</v>
      </c>
    </row>
    <row r="52" spans="1:25" x14ac:dyDescent="0.3">
      <c r="A52" t="s">
        <v>224</v>
      </c>
      <c r="B52" t="s">
        <v>225</v>
      </c>
      <c r="C52" t="s">
        <v>226</v>
      </c>
      <c r="D52" s="9">
        <v>29668</v>
      </c>
      <c r="E52">
        <v>1664.25</v>
      </c>
      <c r="F52">
        <v>2023</v>
      </c>
      <c r="G52" t="s">
        <v>48</v>
      </c>
      <c r="H52" t="s">
        <v>29</v>
      </c>
      <c r="I52" t="s">
        <v>78</v>
      </c>
      <c r="J52" t="s">
        <v>227</v>
      </c>
      <c r="K52" t="s">
        <v>32</v>
      </c>
      <c r="L52" t="s">
        <v>63</v>
      </c>
      <c r="M52" s="9">
        <v>44958</v>
      </c>
      <c r="N52" t="s">
        <v>228</v>
      </c>
      <c r="O52" s="9">
        <v>44958</v>
      </c>
      <c r="P52" s="9">
        <v>44961</v>
      </c>
      <c r="Q52" t="s">
        <v>121</v>
      </c>
      <c r="R52" t="s">
        <v>229</v>
      </c>
      <c r="S52">
        <v>265056</v>
      </c>
      <c r="T52" t="s">
        <v>89</v>
      </c>
      <c r="U52" t="s">
        <v>90</v>
      </c>
      <c r="V52" t="s">
        <v>230</v>
      </c>
      <c r="W52">
        <v>7</v>
      </c>
      <c r="X52">
        <v>0</v>
      </c>
      <c r="Y52">
        <v>267.97000000000003</v>
      </c>
    </row>
    <row r="53" spans="1:25" x14ac:dyDescent="0.3">
      <c r="A53" t="s">
        <v>224</v>
      </c>
      <c r="B53" t="s">
        <v>225</v>
      </c>
      <c r="C53" t="s">
        <v>226</v>
      </c>
      <c r="D53" s="9">
        <v>29668</v>
      </c>
      <c r="E53">
        <v>256.04000000000002</v>
      </c>
      <c r="F53">
        <v>2024</v>
      </c>
      <c r="G53" t="s">
        <v>28</v>
      </c>
      <c r="H53" t="s">
        <v>29</v>
      </c>
      <c r="I53" t="s">
        <v>30</v>
      </c>
      <c r="J53" t="s">
        <v>227</v>
      </c>
      <c r="K53" t="s">
        <v>32</v>
      </c>
      <c r="L53" t="s">
        <v>63</v>
      </c>
      <c r="M53" s="9">
        <v>45578</v>
      </c>
      <c r="N53" t="s">
        <v>231</v>
      </c>
      <c r="O53" s="9">
        <v>45575</v>
      </c>
      <c r="P53" s="9">
        <v>45580</v>
      </c>
      <c r="Q53" t="s">
        <v>74</v>
      </c>
      <c r="R53" t="s">
        <v>229</v>
      </c>
      <c r="S53">
        <v>326040</v>
      </c>
      <c r="T53" t="s">
        <v>75</v>
      </c>
      <c r="U53" t="s">
        <v>76</v>
      </c>
      <c r="V53" t="s">
        <v>232</v>
      </c>
      <c r="W53">
        <v>2</v>
      </c>
      <c r="X53">
        <v>0.15</v>
      </c>
      <c r="Y53">
        <v>45.37</v>
      </c>
    </row>
    <row r="54" spans="1:25" x14ac:dyDescent="0.3">
      <c r="A54" t="s">
        <v>233</v>
      </c>
      <c r="B54" t="s">
        <v>234</v>
      </c>
      <c r="C54" t="s">
        <v>101</v>
      </c>
      <c r="D54" s="9">
        <v>34577</v>
      </c>
      <c r="E54">
        <v>2183.44</v>
      </c>
      <c r="F54">
        <v>2023</v>
      </c>
      <c r="G54" t="s">
        <v>48</v>
      </c>
      <c r="H54" t="s">
        <v>29</v>
      </c>
      <c r="I54" t="s">
        <v>49</v>
      </c>
      <c r="J54" t="s">
        <v>31</v>
      </c>
      <c r="K54" t="s">
        <v>32</v>
      </c>
      <c r="L54" t="s">
        <v>33</v>
      </c>
      <c r="M54" s="9">
        <v>45044</v>
      </c>
      <c r="N54" t="s">
        <v>235</v>
      </c>
      <c r="O54" s="9">
        <v>45040</v>
      </c>
      <c r="P54" s="9">
        <v>45044</v>
      </c>
      <c r="Q54" t="s">
        <v>35</v>
      </c>
      <c r="R54" t="s">
        <v>236</v>
      </c>
      <c r="S54">
        <v>314353</v>
      </c>
      <c r="T54" t="s">
        <v>51</v>
      </c>
      <c r="U54" t="s">
        <v>52</v>
      </c>
      <c r="V54" t="s">
        <v>237</v>
      </c>
      <c r="W54">
        <v>8</v>
      </c>
      <c r="X54">
        <v>0</v>
      </c>
      <c r="Y54">
        <v>138.91999999999999</v>
      </c>
    </row>
    <row r="55" spans="1:25" x14ac:dyDescent="0.3">
      <c r="A55" t="s">
        <v>233</v>
      </c>
      <c r="B55" t="s">
        <v>234</v>
      </c>
      <c r="C55" t="s">
        <v>101</v>
      </c>
      <c r="D55" s="9">
        <v>34577</v>
      </c>
      <c r="E55">
        <v>1160.4000000000001</v>
      </c>
      <c r="F55">
        <v>2023</v>
      </c>
      <c r="G55" t="s">
        <v>87</v>
      </c>
      <c r="H55" t="s">
        <v>29</v>
      </c>
      <c r="I55" t="s">
        <v>43</v>
      </c>
      <c r="J55" t="s">
        <v>31</v>
      </c>
      <c r="K55" t="s">
        <v>32</v>
      </c>
      <c r="L55" t="s">
        <v>33</v>
      </c>
      <c r="M55" s="9">
        <v>45044</v>
      </c>
      <c r="N55" t="s">
        <v>238</v>
      </c>
      <c r="O55" s="9">
        <v>45043</v>
      </c>
      <c r="P55" s="9">
        <v>45044</v>
      </c>
      <c r="Q55" t="s">
        <v>41</v>
      </c>
      <c r="R55" t="s">
        <v>236</v>
      </c>
      <c r="S55">
        <v>284229</v>
      </c>
      <c r="T55" t="s">
        <v>45</v>
      </c>
      <c r="U55" t="s">
        <v>46</v>
      </c>
      <c r="V55" t="s">
        <v>239</v>
      </c>
      <c r="W55">
        <v>3</v>
      </c>
      <c r="X55">
        <v>0</v>
      </c>
      <c r="Y55">
        <v>172.25</v>
      </c>
    </row>
    <row r="56" spans="1:25" x14ac:dyDescent="0.3">
      <c r="A56" t="s">
        <v>233</v>
      </c>
      <c r="B56" t="s">
        <v>234</v>
      </c>
      <c r="C56" t="s">
        <v>101</v>
      </c>
      <c r="D56" s="9">
        <v>34577</v>
      </c>
      <c r="E56">
        <v>832.42</v>
      </c>
      <c r="F56">
        <v>2023</v>
      </c>
      <c r="G56" t="s">
        <v>28</v>
      </c>
      <c r="H56" t="s">
        <v>29</v>
      </c>
      <c r="I56" t="s">
        <v>61</v>
      </c>
      <c r="J56" t="s">
        <v>31</v>
      </c>
      <c r="K56" t="s">
        <v>32</v>
      </c>
      <c r="L56" t="s">
        <v>33</v>
      </c>
      <c r="M56" s="9">
        <v>45217</v>
      </c>
      <c r="N56" t="s">
        <v>240</v>
      </c>
      <c r="O56" s="9">
        <v>45217</v>
      </c>
      <c r="P56" s="9">
        <v>45220</v>
      </c>
      <c r="Q56" t="s">
        <v>35</v>
      </c>
      <c r="R56" t="s">
        <v>236</v>
      </c>
      <c r="S56">
        <v>557409</v>
      </c>
      <c r="T56" t="s">
        <v>113</v>
      </c>
      <c r="U56" t="s">
        <v>114</v>
      </c>
      <c r="V56" t="s">
        <v>241</v>
      </c>
      <c r="W56">
        <v>4</v>
      </c>
      <c r="X56">
        <v>0.2</v>
      </c>
      <c r="Y56">
        <v>208.45</v>
      </c>
    </row>
    <row r="57" spans="1:25" x14ac:dyDescent="0.3">
      <c r="A57" t="s">
        <v>233</v>
      </c>
      <c r="B57" t="s">
        <v>234</v>
      </c>
      <c r="C57" t="s">
        <v>101</v>
      </c>
      <c r="D57" s="9">
        <v>34577</v>
      </c>
      <c r="E57">
        <v>1600.34</v>
      </c>
      <c r="F57">
        <v>2023</v>
      </c>
      <c r="G57" t="s">
        <v>48</v>
      </c>
      <c r="H57" t="s">
        <v>29</v>
      </c>
      <c r="I57" t="s">
        <v>78</v>
      </c>
      <c r="J57" t="s">
        <v>31</v>
      </c>
      <c r="K57" t="s">
        <v>32</v>
      </c>
      <c r="L57" t="s">
        <v>33</v>
      </c>
      <c r="M57" s="9">
        <v>45282</v>
      </c>
      <c r="N57" t="s">
        <v>242</v>
      </c>
      <c r="O57" s="9">
        <v>45280</v>
      </c>
      <c r="P57" s="9">
        <v>45284</v>
      </c>
      <c r="Q57" t="s">
        <v>41</v>
      </c>
      <c r="R57" t="s">
        <v>236</v>
      </c>
      <c r="S57">
        <v>121869</v>
      </c>
      <c r="T57" t="s">
        <v>80</v>
      </c>
      <c r="U57" t="s">
        <v>81</v>
      </c>
      <c r="V57" t="s">
        <v>243</v>
      </c>
      <c r="W57">
        <v>6</v>
      </c>
      <c r="X57">
        <v>0.1</v>
      </c>
      <c r="Y57">
        <v>274.18</v>
      </c>
    </row>
    <row r="58" spans="1:25" x14ac:dyDescent="0.3">
      <c r="A58" t="s">
        <v>233</v>
      </c>
      <c r="B58" t="s">
        <v>234</v>
      </c>
      <c r="C58" t="s">
        <v>101</v>
      </c>
      <c r="D58" s="9">
        <v>34577</v>
      </c>
      <c r="E58">
        <v>2047.22</v>
      </c>
      <c r="F58">
        <v>2024</v>
      </c>
      <c r="G58" t="s">
        <v>48</v>
      </c>
      <c r="H58" t="s">
        <v>29</v>
      </c>
      <c r="I58" t="s">
        <v>43</v>
      </c>
      <c r="J58" t="s">
        <v>31</v>
      </c>
      <c r="K58" t="s">
        <v>32</v>
      </c>
      <c r="L58" t="s">
        <v>33</v>
      </c>
      <c r="M58" s="9">
        <v>45368</v>
      </c>
      <c r="N58" t="s">
        <v>244</v>
      </c>
      <c r="O58" s="9">
        <v>45367</v>
      </c>
      <c r="P58" s="9">
        <v>45368</v>
      </c>
      <c r="Q58" t="s">
        <v>121</v>
      </c>
      <c r="R58" t="s">
        <v>236</v>
      </c>
      <c r="S58">
        <v>556839</v>
      </c>
      <c r="T58" t="s">
        <v>45</v>
      </c>
      <c r="U58" t="s">
        <v>46</v>
      </c>
      <c r="V58" t="s">
        <v>245</v>
      </c>
      <c r="W58">
        <v>10</v>
      </c>
      <c r="X58">
        <v>0.15</v>
      </c>
      <c r="Y58">
        <v>667.25</v>
      </c>
    </row>
    <row r="59" spans="1:25" x14ac:dyDescent="0.3">
      <c r="A59" t="s">
        <v>246</v>
      </c>
      <c r="B59" t="s">
        <v>247</v>
      </c>
      <c r="C59" t="s">
        <v>248</v>
      </c>
      <c r="D59" s="9">
        <v>25397</v>
      </c>
      <c r="E59">
        <v>719.48</v>
      </c>
      <c r="F59">
        <v>2023</v>
      </c>
      <c r="G59" t="s">
        <v>28</v>
      </c>
      <c r="H59" t="s">
        <v>29</v>
      </c>
      <c r="I59" t="s">
        <v>43</v>
      </c>
      <c r="J59" t="s">
        <v>143</v>
      </c>
      <c r="K59" t="s">
        <v>32</v>
      </c>
      <c r="L59" t="s">
        <v>144</v>
      </c>
      <c r="M59" s="9">
        <v>45007</v>
      </c>
      <c r="N59" t="s">
        <v>249</v>
      </c>
      <c r="O59" s="9">
        <v>45007</v>
      </c>
      <c r="P59" s="9">
        <v>45008</v>
      </c>
      <c r="Q59" t="s">
        <v>74</v>
      </c>
      <c r="R59" t="s">
        <v>250</v>
      </c>
      <c r="S59">
        <v>862712</v>
      </c>
      <c r="T59" t="s">
        <v>70</v>
      </c>
      <c r="U59" t="s">
        <v>71</v>
      </c>
      <c r="V59" t="s">
        <v>251</v>
      </c>
      <c r="W59">
        <v>4</v>
      </c>
      <c r="X59">
        <v>0</v>
      </c>
      <c r="Y59">
        <v>52.46</v>
      </c>
    </row>
    <row r="60" spans="1:25" x14ac:dyDescent="0.3">
      <c r="A60" t="s">
        <v>246</v>
      </c>
      <c r="B60" t="s">
        <v>247</v>
      </c>
      <c r="C60" t="s">
        <v>248</v>
      </c>
      <c r="D60" s="9">
        <v>25397</v>
      </c>
      <c r="E60">
        <v>180.58</v>
      </c>
      <c r="F60">
        <v>2024</v>
      </c>
      <c r="G60" t="s">
        <v>48</v>
      </c>
      <c r="H60" t="s">
        <v>29</v>
      </c>
      <c r="I60" t="s">
        <v>49</v>
      </c>
      <c r="J60" t="s">
        <v>143</v>
      </c>
      <c r="K60" t="s">
        <v>32</v>
      </c>
      <c r="L60" t="s">
        <v>144</v>
      </c>
      <c r="M60" s="9">
        <v>45334</v>
      </c>
      <c r="N60" t="s">
        <v>252</v>
      </c>
      <c r="O60" s="9">
        <v>45332</v>
      </c>
      <c r="P60" s="9">
        <v>45334</v>
      </c>
      <c r="Q60" t="s">
        <v>121</v>
      </c>
      <c r="R60" t="s">
        <v>250</v>
      </c>
      <c r="S60">
        <v>910389</v>
      </c>
      <c r="T60" t="s">
        <v>109</v>
      </c>
      <c r="U60" t="s">
        <v>110</v>
      </c>
      <c r="V60" t="s">
        <v>253</v>
      </c>
      <c r="W60">
        <v>2</v>
      </c>
      <c r="X60">
        <v>0</v>
      </c>
      <c r="Y60">
        <v>18.43</v>
      </c>
    </row>
    <row r="61" spans="1:25" x14ac:dyDescent="0.3">
      <c r="A61" t="s">
        <v>246</v>
      </c>
      <c r="B61" t="s">
        <v>247</v>
      </c>
      <c r="C61" t="s">
        <v>248</v>
      </c>
      <c r="D61" s="9">
        <v>25397</v>
      </c>
      <c r="E61">
        <v>3655.03</v>
      </c>
      <c r="F61">
        <v>2024</v>
      </c>
      <c r="G61" t="s">
        <v>87</v>
      </c>
      <c r="H61" t="s">
        <v>29</v>
      </c>
      <c r="I61" t="s">
        <v>49</v>
      </c>
      <c r="J61" t="s">
        <v>143</v>
      </c>
      <c r="K61" t="s">
        <v>32</v>
      </c>
      <c r="L61" t="s">
        <v>144</v>
      </c>
      <c r="M61" s="9">
        <v>45468</v>
      </c>
      <c r="N61" t="s">
        <v>254</v>
      </c>
      <c r="O61" s="9">
        <v>45463</v>
      </c>
      <c r="P61" s="9">
        <v>45468</v>
      </c>
      <c r="Q61" t="s">
        <v>74</v>
      </c>
      <c r="R61" t="s">
        <v>250</v>
      </c>
      <c r="S61">
        <v>757685</v>
      </c>
      <c r="T61" t="s">
        <v>84</v>
      </c>
      <c r="U61" t="s">
        <v>85</v>
      </c>
      <c r="V61" t="s">
        <v>255</v>
      </c>
      <c r="W61">
        <v>10</v>
      </c>
      <c r="X61">
        <v>0.05</v>
      </c>
      <c r="Y61">
        <v>929.62</v>
      </c>
    </row>
    <row r="62" spans="1:25" x14ac:dyDescent="0.3">
      <c r="A62" t="s">
        <v>246</v>
      </c>
      <c r="B62" t="s">
        <v>247</v>
      </c>
      <c r="C62" t="s">
        <v>248</v>
      </c>
      <c r="D62" s="9">
        <v>25397</v>
      </c>
      <c r="E62">
        <v>416.64</v>
      </c>
      <c r="F62">
        <v>2025</v>
      </c>
      <c r="G62" t="s">
        <v>28</v>
      </c>
      <c r="H62" t="s">
        <v>29</v>
      </c>
      <c r="I62" t="s">
        <v>43</v>
      </c>
      <c r="J62" t="s">
        <v>143</v>
      </c>
      <c r="K62" t="s">
        <v>32</v>
      </c>
      <c r="L62" t="s">
        <v>144</v>
      </c>
      <c r="M62" s="9">
        <v>45818</v>
      </c>
      <c r="N62" t="s">
        <v>256</v>
      </c>
      <c r="O62" s="9">
        <v>45818</v>
      </c>
      <c r="P62" s="9">
        <v>45821</v>
      </c>
      <c r="Q62" t="s">
        <v>35</v>
      </c>
      <c r="R62" t="s">
        <v>250</v>
      </c>
      <c r="S62">
        <v>425486</v>
      </c>
      <c r="T62" t="s">
        <v>45</v>
      </c>
      <c r="U62" t="s">
        <v>46</v>
      </c>
      <c r="V62" t="s">
        <v>257</v>
      </c>
      <c r="W62">
        <v>2</v>
      </c>
      <c r="X62">
        <v>0.15</v>
      </c>
      <c r="Y62">
        <v>58.68</v>
      </c>
    </row>
    <row r="63" spans="1:25" x14ac:dyDescent="0.3">
      <c r="A63" t="s">
        <v>258</v>
      </c>
      <c r="B63" t="s">
        <v>26</v>
      </c>
      <c r="C63" t="s">
        <v>259</v>
      </c>
      <c r="D63" s="9">
        <v>29720</v>
      </c>
      <c r="E63">
        <v>567.36</v>
      </c>
      <c r="F63">
        <v>2023</v>
      </c>
      <c r="G63" t="s">
        <v>87</v>
      </c>
      <c r="H63" t="s">
        <v>163</v>
      </c>
      <c r="I63" t="s">
        <v>43</v>
      </c>
      <c r="J63" t="s">
        <v>31</v>
      </c>
      <c r="K63" t="s">
        <v>32</v>
      </c>
      <c r="L63" t="s">
        <v>144</v>
      </c>
      <c r="M63" s="9">
        <v>44969</v>
      </c>
      <c r="N63" t="s">
        <v>260</v>
      </c>
      <c r="O63" s="9">
        <v>44965</v>
      </c>
      <c r="P63" s="9">
        <v>44970</v>
      </c>
      <c r="Q63" t="s">
        <v>35</v>
      </c>
      <c r="R63" t="s">
        <v>261</v>
      </c>
      <c r="S63">
        <v>571579</v>
      </c>
      <c r="T63" t="s">
        <v>45</v>
      </c>
      <c r="U63" t="s">
        <v>46</v>
      </c>
      <c r="V63" t="s">
        <v>262</v>
      </c>
      <c r="W63">
        <v>2</v>
      </c>
      <c r="X63">
        <v>0.1</v>
      </c>
      <c r="Y63">
        <v>93.81</v>
      </c>
    </row>
    <row r="64" spans="1:25" x14ac:dyDescent="0.3">
      <c r="A64" t="s">
        <v>258</v>
      </c>
      <c r="B64" t="s">
        <v>26</v>
      </c>
      <c r="C64" t="s">
        <v>259</v>
      </c>
      <c r="D64" s="9">
        <v>29720</v>
      </c>
      <c r="E64">
        <v>1676.16</v>
      </c>
      <c r="F64">
        <v>2023</v>
      </c>
      <c r="G64" t="s">
        <v>48</v>
      </c>
      <c r="H64" t="s">
        <v>163</v>
      </c>
      <c r="I64" t="s">
        <v>30</v>
      </c>
      <c r="J64" t="s">
        <v>31</v>
      </c>
      <c r="K64" t="s">
        <v>32</v>
      </c>
      <c r="L64" t="s">
        <v>144</v>
      </c>
      <c r="M64" s="9">
        <v>44986</v>
      </c>
      <c r="N64" t="s">
        <v>263</v>
      </c>
      <c r="O64" s="9">
        <v>44985</v>
      </c>
      <c r="P64" s="9">
        <v>44986</v>
      </c>
      <c r="Q64" t="s">
        <v>74</v>
      </c>
      <c r="R64" t="s">
        <v>261</v>
      </c>
      <c r="S64">
        <v>849014</v>
      </c>
      <c r="T64" t="s">
        <v>55</v>
      </c>
      <c r="U64" t="s">
        <v>56</v>
      </c>
      <c r="V64" t="s">
        <v>264</v>
      </c>
      <c r="W64">
        <v>6</v>
      </c>
      <c r="X64">
        <v>0.1</v>
      </c>
      <c r="Y64">
        <v>159.66999999999999</v>
      </c>
    </row>
    <row r="65" spans="1:25" x14ac:dyDescent="0.3">
      <c r="A65" t="s">
        <v>258</v>
      </c>
      <c r="B65" t="s">
        <v>26</v>
      </c>
      <c r="C65" t="s">
        <v>259</v>
      </c>
      <c r="D65" s="9">
        <v>29720</v>
      </c>
      <c r="E65">
        <v>1366.71</v>
      </c>
      <c r="F65">
        <v>2024</v>
      </c>
      <c r="G65" t="s">
        <v>28</v>
      </c>
      <c r="H65" t="s">
        <v>163</v>
      </c>
      <c r="I65" t="s">
        <v>78</v>
      </c>
      <c r="J65" t="s">
        <v>31</v>
      </c>
      <c r="K65" t="s">
        <v>32</v>
      </c>
      <c r="L65" t="s">
        <v>144</v>
      </c>
      <c r="M65" s="9">
        <v>45305</v>
      </c>
      <c r="N65" t="s">
        <v>265</v>
      </c>
      <c r="O65" s="9">
        <v>45304</v>
      </c>
      <c r="P65" s="9">
        <v>45309</v>
      </c>
      <c r="Q65" t="s">
        <v>74</v>
      </c>
      <c r="R65" t="s">
        <v>261</v>
      </c>
      <c r="S65">
        <v>396635</v>
      </c>
      <c r="T65" t="s">
        <v>89</v>
      </c>
      <c r="U65" t="s">
        <v>90</v>
      </c>
      <c r="V65" t="s">
        <v>266</v>
      </c>
      <c r="W65">
        <v>4</v>
      </c>
      <c r="X65">
        <v>0.05</v>
      </c>
      <c r="Y65">
        <v>283.20999999999998</v>
      </c>
    </row>
    <row r="66" spans="1:25" x14ac:dyDescent="0.3">
      <c r="A66" t="s">
        <v>258</v>
      </c>
      <c r="B66" t="s">
        <v>26</v>
      </c>
      <c r="C66" t="s">
        <v>259</v>
      </c>
      <c r="D66" s="9">
        <v>29720</v>
      </c>
      <c r="E66">
        <v>2075.2199999999998</v>
      </c>
      <c r="F66">
        <v>2025</v>
      </c>
      <c r="G66" t="s">
        <v>28</v>
      </c>
      <c r="H66" t="s">
        <v>163</v>
      </c>
      <c r="I66" t="s">
        <v>92</v>
      </c>
      <c r="J66" t="s">
        <v>31</v>
      </c>
      <c r="K66" t="s">
        <v>32</v>
      </c>
      <c r="L66" t="s">
        <v>144</v>
      </c>
      <c r="M66" s="9">
        <v>45778</v>
      </c>
      <c r="N66" t="s">
        <v>267</v>
      </c>
      <c r="O66" s="9">
        <v>45778</v>
      </c>
      <c r="P66" s="9">
        <v>45781</v>
      </c>
      <c r="Q66" t="s">
        <v>35</v>
      </c>
      <c r="R66" t="s">
        <v>261</v>
      </c>
      <c r="S66">
        <v>685066</v>
      </c>
      <c r="T66" t="s">
        <v>127</v>
      </c>
      <c r="U66" t="s">
        <v>128</v>
      </c>
      <c r="V66" t="s">
        <v>268</v>
      </c>
      <c r="W66">
        <v>6</v>
      </c>
      <c r="X66">
        <v>0</v>
      </c>
      <c r="Y66">
        <v>595.11</v>
      </c>
    </row>
    <row r="67" spans="1:25" x14ac:dyDescent="0.3">
      <c r="A67" t="s">
        <v>269</v>
      </c>
      <c r="B67" t="s">
        <v>270</v>
      </c>
      <c r="C67" t="s">
        <v>271</v>
      </c>
      <c r="D67" s="9">
        <v>28117</v>
      </c>
      <c r="E67">
        <v>599.41999999999996</v>
      </c>
      <c r="F67">
        <v>2023</v>
      </c>
      <c r="G67" t="s">
        <v>48</v>
      </c>
      <c r="H67" t="s">
        <v>29</v>
      </c>
      <c r="I67" t="s">
        <v>30</v>
      </c>
      <c r="J67" t="s">
        <v>102</v>
      </c>
      <c r="K67" t="s">
        <v>32</v>
      </c>
      <c r="L67" t="s">
        <v>63</v>
      </c>
      <c r="M67" s="9">
        <v>45188</v>
      </c>
      <c r="N67" t="s">
        <v>272</v>
      </c>
      <c r="O67" s="9">
        <v>45185</v>
      </c>
      <c r="P67" s="9">
        <v>45188</v>
      </c>
      <c r="Q67" t="s">
        <v>35</v>
      </c>
      <c r="R67" t="s">
        <v>104</v>
      </c>
      <c r="S67">
        <v>424620</v>
      </c>
      <c r="T67" t="s">
        <v>75</v>
      </c>
      <c r="U67" t="s">
        <v>76</v>
      </c>
      <c r="V67" t="s">
        <v>273</v>
      </c>
      <c r="W67">
        <v>2</v>
      </c>
      <c r="X67">
        <v>0</v>
      </c>
      <c r="Y67">
        <v>194.83</v>
      </c>
    </row>
    <row r="68" spans="1:25" x14ac:dyDescent="0.3">
      <c r="A68" t="s">
        <v>269</v>
      </c>
      <c r="B68" t="s">
        <v>270</v>
      </c>
      <c r="C68" t="s">
        <v>271</v>
      </c>
      <c r="D68" s="9">
        <v>28117</v>
      </c>
      <c r="E68">
        <v>2092.6799999999998</v>
      </c>
      <c r="F68">
        <v>2023</v>
      </c>
      <c r="G68" t="s">
        <v>87</v>
      </c>
      <c r="H68" t="s">
        <v>29</v>
      </c>
      <c r="I68" t="s">
        <v>30</v>
      </c>
      <c r="J68" t="s">
        <v>102</v>
      </c>
      <c r="K68" t="s">
        <v>32</v>
      </c>
      <c r="L68" t="s">
        <v>63</v>
      </c>
      <c r="M68" s="9">
        <v>45217</v>
      </c>
      <c r="N68" t="s">
        <v>274</v>
      </c>
      <c r="O68" s="9">
        <v>45217</v>
      </c>
      <c r="P68" s="9">
        <v>45222</v>
      </c>
      <c r="Q68" t="s">
        <v>41</v>
      </c>
      <c r="R68" t="s">
        <v>104</v>
      </c>
      <c r="S68">
        <v>633188</v>
      </c>
      <c r="T68" t="s">
        <v>37</v>
      </c>
      <c r="U68" t="s">
        <v>38</v>
      </c>
      <c r="V68" t="s">
        <v>275</v>
      </c>
      <c r="W68">
        <v>6</v>
      </c>
      <c r="X68">
        <v>0.15</v>
      </c>
      <c r="Y68">
        <v>545.87</v>
      </c>
    </row>
    <row r="69" spans="1:25" x14ac:dyDescent="0.3">
      <c r="A69" t="s">
        <v>269</v>
      </c>
      <c r="B69" t="s">
        <v>270</v>
      </c>
      <c r="C69" t="s">
        <v>271</v>
      </c>
      <c r="D69" s="9">
        <v>28117</v>
      </c>
      <c r="E69">
        <v>532.65</v>
      </c>
      <c r="F69">
        <v>2024</v>
      </c>
      <c r="G69" t="s">
        <v>48</v>
      </c>
      <c r="H69" t="s">
        <v>29</v>
      </c>
      <c r="I69" t="s">
        <v>43</v>
      </c>
      <c r="J69" t="s">
        <v>102</v>
      </c>
      <c r="K69" t="s">
        <v>32</v>
      </c>
      <c r="L69" t="s">
        <v>63</v>
      </c>
      <c r="M69" s="9">
        <v>45600</v>
      </c>
      <c r="N69" t="s">
        <v>276</v>
      </c>
      <c r="O69" s="9">
        <v>45599</v>
      </c>
      <c r="P69" s="9">
        <v>45603</v>
      </c>
      <c r="Q69" t="s">
        <v>121</v>
      </c>
      <c r="R69" t="s">
        <v>104</v>
      </c>
      <c r="S69">
        <v>262471</v>
      </c>
      <c r="T69" t="s">
        <v>45</v>
      </c>
      <c r="U69" t="s">
        <v>46</v>
      </c>
      <c r="V69" t="s">
        <v>277</v>
      </c>
      <c r="W69">
        <v>5</v>
      </c>
      <c r="X69">
        <v>0</v>
      </c>
      <c r="Y69">
        <v>81.239999999999995</v>
      </c>
    </row>
    <row r="70" spans="1:25" x14ac:dyDescent="0.3">
      <c r="A70" t="s">
        <v>269</v>
      </c>
      <c r="B70" t="s">
        <v>270</v>
      </c>
      <c r="C70" t="s">
        <v>271</v>
      </c>
      <c r="D70" s="9">
        <v>28117</v>
      </c>
      <c r="E70">
        <v>474.64</v>
      </c>
      <c r="F70">
        <v>2025</v>
      </c>
      <c r="G70" t="s">
        <v>87</v>
      </c>
      <c r="H70" t="s">
        <v>29</v>
      </c>
      <c r="I70" t="s">
        <v>78</v>
      </c>
      <c r="J70" t="s">
        <v>102</v>
      </c>
      <c r="K70" t="s">
        <v>32</v>
      </c>
      <c r="L70" t="s">
        <v>63</v>
      </c>
      <c r="M70" s="9">
        <v>45668</v>
      </c>
      <c r="N70" t="s">
        <v>278</v>
      </c>
      <c r="O70" s="9">
        <v>45668</v>
      </c>
      <c r="P70" s="9">
        <v>45673</v>
      </c>
      <c r="Q70" t="s">
        <v>74</v>
      </c>
      <c r="R70" t="s">
        <v>104</v>
      </c>
      <c r="S70">
        <v>903531</v>
      </c>
      <c r="T70" t="s">
        <v>117</v>
      </c>
      <c r="U70" t="s">
        <v>118</v>
      </c>
      <c r="V70" t="s">
        <v>279</v>
      </c>
      <c r="W70">
        <v>2</v>
      </c>
      <c r="X70">
        <v>0.1</v>
      </c>
      <c r="Y70">
        <v>142.65</v>
      </c>
    </row>
    <row r="71" spans="1:25" x14ac:dyDescent="0.3">
      <c r="A71" t="s">
        <v>269</v>
      </c>
      <c r="B71" t="s">
        <v>270</v>
      </c>
      <c r="C71" t="s">
        <v>271</v>
      </c>
      <c r="D71" s="9">
        <v>28117</v>
      </c>
      <c r="E71">
        <v>658.28</v>
      </c>
      <c r="F71">
        <v>2025</v>
      </c>
      <c r="G71" t="s">
        <v>87</v>
      </c>
      <c r="H71" t="s">
        <v>29</v>
      </c>
      <c r="I71" t="s">
        <v>30</v>
      </c>
      <c r="J71" t="s">
        <v>102</v>
      </c>
      <c r="K71" t="s">
        <v>32</v>
      </c>
      <c r="L71" t="s">
        <v>63</v>
      </c>
      <c r="M71" s="9">
        <v>45800</v>
      </c>
      <c r="N71" t="s">
        <v>280</v>
      </c>
      <c r="O71" s="9">
        <v>45799</v>
      </c>
      <c r="P71" s="9">
        <v>45804</v>
      </c>
      <c r="Q71" t="s">
        <v>41</v>
      </c>
      <c r="R71" t="s">
        <v>104</v>
      </c>
      <c r="S71">
        <v>145814</v>
      </c>
      <c r="T71" t="s">
        <v>75</v>
      </c>
      <c r="U71" t="s">
        <v>76</v>
      </c>
      <c r="V71" t="s">
        <v>281</v>
      </c>
      <c r="W71">
        <v>7</v>
      </c>
      <c r="X71">
        <v>0</v>
      </c>
      <c r="Y71">
        <v>197.09</v>
      </c>
    </row>
    <row r="72" spans="1:25" x14ac:dyDescent="0.3">
      <c r="A72" t="s">
        <v>282</v>
      </c>
      <c r="B72" t="s">
        <v>283</v>
      </c>
      <c r="C72" t="s">
        <v>284</v>
      </c>
      <c r="D72" s="9">
        <v>26420</v>
      </c>
      <c r="E72">
        <v>1058.56</v>
      </c>
      <c r="F72">
        <v>2023</v>
      </c>
      <c r="G72" t="s">
        <v>28</v>
      </c>
      <c r="H72" t="s">
        <v>29</v>
      </c>
      <c r="I72" t="s">
        <v>92</v>
      </c>
      <c r="J72" t="s">
        <v>62</v>
      </c>
      <c r="K72" t="s">
        <v>32</v>
      </c>
      <c r="L72" t="s">
        <v>144</v>
      </c>
      <c r="M72" s="9">
        <v>45171</v>
      </c>
      <c r="N72" t="s">
        <v>285</v>
      </c>
      <c r="O72" s="9">
        <v>45170</v>
      </c>
      <c r="P72" s="9">
        <v>45174</v>
      </c>
      <c r="Q72" t="s">
        <v>41</v>
      </c>
      <c r="R72" t="s">
        <v>286</v>
      </c>
      <c r="S72">
        <v>584106</v>
      </c>
      <c r="T72" t="s">
        <v>94</v>
      </c>
      <c r="U72" t="s">
        <v>95</v>
      </c>
      <c r="V72" t="s">
        <v>287</v>
      </c>
      <c r="W72">
        <v>8</v>
      </c>
      <c r="X72">
        <v>0</v>
      </c>
      <c r="Y72">
        <v>151.21</v>
      </c>
    </row>
    <row r="73" spans="1:25" x14ac:dyDescent="0.3">
      <c r="A73" t="s">
        <v>282</v>
      </c>
      <c r="B73" t="s">
        <v>283</v>
      </c>
      <c r="C73" t="s">
        <v>284</v>
      </c>
      <c r="D73" s="9">
        <v>26420</v>
      </c>
      <c r="E73">
        <v>1988.64</v>
      </c>
      <c r="F73">
        <v>2024</v>
      </c>
      <c r="G73" t="s">
        <v>28</v>
      </c>
      <c r="H73" t="s">
        <v>29</v>
      </c>
      <c r="I73" t="s">
        <v>43</v>
      </c>
      <c r="J73" t="s">
        <v>62</v>
      </c>
      <c r="K73" t="s">
        <v>32</v>
      </c>
      <c r="L73" t="s">
        <v>144</v>
      </c>
      <c r="M73" s="9">
        <v>45620</v>
      </c>
      <c r="N73" t="s">
        <v>288</v>
      </c>
      <c r="O73" s="9">
        <v>45619</v>
      </c>
      <c r="P73" s="9">
        <v>45624</v>
      </c>
      <c r="Q73" t="s">
        <v>35</v>
      </c>
      <c r="R73" t="s">
        <v>286</v>
      </c>
      <c r="S73">
        <v>772324</v>
      </c>
      <c r="T73" t="s">
        <v>153</v>
      </c>
      <c r="U73" t="s">
        <v>154</v>
      </c>
      <c r="V73" t="s">
        <v>289</v>
      </c>
      <c r="W73">
        <v>9</v>
      </c>
      <c r="X73">
        <v>0</v>
      </c>
      <c r="Y73">
        <v>586.78</v>
      </c>
    </row>
    <row r="74" spans="1:25" x14ac:dyDescent="0.3">
      <c r="A74" t="s">
        <v>282</v>
      </c>
      <c r="B74" t="s">
        <v>283</v>
      </c>
      <c r="C74" t="s">
        <v>284</v>
      </c>
      <c r="D74" s="9">
        <v>26420</v>
      </c>
      <c r="E74">
        <v>650.65</v>
      </c>
      <c r="F74">
        <v>2025</v>
      </c>
      <c r="G74" t="s">
        <v>48</v>
      </c>
      <c r="H74" t="s">
        <v>29</v>
      </c>
      <c r="I74" t="s">
        <v>92</v>
      </c>
      <c r="J74" t="s">
        <v>62</v>
      </c>
      <c r="K74" t="s">
        <v>32</v>
      </c>
      <c r="L74" t="s">
        <v>144</v>
      </c>
      <c r="M74" s="9">
        <v>45663</v>
      </c>
      <c r="N74" t="s">
        <v>290</v>
      </c>
      <c r="O74" s="9">
        <v>45663</v>
      </c>
      <c r="P74" s="9">
        <v>45666</v>
      </c>
      <c r="Q74" t="s">
        <v>74</v>
      </c>
      <c r="R74" t="s">
        <v>286</v>
      </c>
      <c r="S74">
        <v>571145</v>
      </c>
      <c r="T74" t="s">
        <v>94</v>
      </c>
      <c r="U74" t="s">
        <v>95</v>
      </c>
      <c r="V74" t="s">
        <v>291</v>
      </c>
      <c r="W74">
        <v>2</v>
      </c>
      <c r="X74">
        <v>0.1</v>
      </c>
      <c r="Y74">
        <v>198.68</v>
      </c>
    </row>
    <row r="75" spans="1:25" x14ac:dyDescent="0.3">
      <c r="A75" t="s">
        <v>292</v>
      </c>
      <c r="B75" t="s">
        <v>26</v>
      </c>
      <c r="C75" t="s">
        <v>142</v>
      </c>
      <c r="D75" s="9">
        <v>32868</v>
      </c>
      <c r="E75">
        <v>210.3</v>
      </c>
      <c r="F75">
        <v>2023</v>
      </c>
      <c r="G75" t="s">
        <v>48</v>
      </c>
      <c r="H75" t="s">
        <v>29</v>
      </c>
      <c r="I75" t="s">
        <v>43</v>
      </c>
      <c r="J75" t="s">
        <v>31</v>
      </c>
      <c r="K75" t="s">
        <v>32</v>
      </c>
      <c r="L75" t="s">
        <v>33</v>
      </c>
      <c r="M75" s="9">
        <v>45021</v>
      </c>
      <c r="N75" t="s">
        <v>293</v>
      </c>
      <c r="O75" s="9">
        <v>45020</v>
      </c>
      <c r="P75" s="9">
        <v>45021</v>
      </c>
      <c r="Q75" t="s">
        <v>35</v>
      </c>
      <c r="R75" t="s">
        <v>236</v>
      </c>
      <c r="S75">
        <v>434165</v>
      </c>
      <c r="T75" t="s">
        <v>45</v>
      </c>
      <c r="U75" t="s">
        <v>46</v>
      </c>
      <c r="V75" t="s">
        <v>294</v>
      </c>
      <c r="W75">
        <v>1</v>
      </c>
      <c r="X75">
        <v>0</v>
      </c>
      <c r="Y75">
        <v>25.39</v>
      </c>
    </row>
    <row r="76" spans="1:25" x14ac:dyDescent="0.3">
      <c r="A76" t="s">
        <v>292</v>
      </c>
      <c r="B76" t="s">
        <v>26</v>
      </c>
      <c r="C76" t="s">
        <v>142</v>
      </c>
      <c r="D76" s="9">
        <v>32868</v>
      </c>
      <c r="E76">
        <v>258.14999999999998</v>
      </c>
      <c r="F76">
        <v>2023</v>
      </c>
      <c r="G76" t="s">
        <v>87</v>
      </c>
      <c r="H76" t="s">
        <v>29</v>
      </c>
      <c r="I76" t="s">
        <v>78</v>
      </c>
      <c r="J76" t="s">
        <v>31</v>
      </c>
      <c r="K76" t="s">
        <v>32</v>
      </c>
      <c r="L76" t="s">
        <v>33</v>
      </c>
      <c r="M76" s="9">
        <v>45078</v>
      </c>
      <c r="N76" t="s">
        <v>295</v>
      </c>
      <c r="O76" s="9">
        <v>45077</v>
      </c>
      <c r="P76" s="9">
        <v>45081</v>
      </c>
      <c r="Q76" t="s">
        <v>41</v>
      </c>
      <c r="R76" t="s">
        <v>236</v>
      </c>
      <c r="S76">
        <v>570392</v>
      </c>
      <c r="T76" t="s">
        <v>117</v>
      </c>
      <c r="U76" t="s">
        <v>118</v>
      </c>
      <c r="V76" t="s">
        <v>296</v>
      </c>
      <c r="W76">
        <v>3</v>
      </c>
      <c r="X76">
        <v>0</v>
      </c>
      <c r="Y76">
        <v>83.96</v>
      </c>
    </row>
    <row r="77" spans="1:25" x14ac:dyDescent="0.3">
      <c r="A77" t="s">
        <v>292</v>
      </c>
      <c r="B77" t="s">
        <v>26</v>
      </c>
      <c r="C77" t="s">
        <v>142</v>
      </c>
      <c r="D77" s="9">
        <v>32868</v>
      </c>
      <c r="E77">
        <v>114.27</v>
      </c>
      <c r="F77">
        <v>2023</v>
      </c>
      <c r="G77" t="s">
        <v>28</v>
      </c>
      <c r="H77" t="s">
        <v>29</v>
      </c>
      <c r="I77" t="s">
        <v>30</v>
      </c>
      <c r="J77" t="s">
        <v>31</v>
      </c>
      <c r="K77" t="s">
        <v>32</v>
      </c>
      <c r="L77" t="s">
        <v>33</v>
      </c>
      <c r="M77" s="9">
        <v>45158</v>
      </c>
      <c r="N77" t="s">
        <v>297</v>
      </c>
      <c r="O77" s="9">
        <v>45154</v>
      </c>
      <c r="P77" s="9">
        <v>45159</v>
      </c>
      <c r="Q77" t="s">
        <v>35</v>
      </c>
      <c r="R77" t="s">
        <v>236</v>
      </c>
      <c r="S77">
        <v>913875</v>
      </c>
      <c r="T77" t="s">
        <v>75</v>
      </c>
      <c r="U77" t="s">
        <v>76</v>
      </c>
      <c r="V77" t="s">
        <v>298</v>
      </c>
      <c r="W77">
        <v>1</v>
      </c>
      <c r="X77">
        <v>0.2</v>
      </c>
      <c r="Y77">
        <v>10.84</v>
      </c>
    </row>
    <row r="78" spans="1:25" x14ac:dyDescent="0.3">
      <c r="A78" t="s">
        <v>292</v>
      </c>
      <c r="B78" t="s">
        <v>26</v>
      </c>
      <c r="C78" t="s">
        <v>142</v>
      </c>
      <c r="D78" s="9">
        <v>32868</v>
      </c>
      <c r="E78">
        <v>81.55</v>
      </c>
      <c r="F78">
        <v>2024</v>
      </c>
      <c r="G78" t="s">
        <v>48</v>
      </c>
      <c r="H78" t="s">
        <v>29</v>
      </c>
      <c r="I78" t="s">
        <v>43</v>
      </c>
      <c r="J78" t="s">
        <v>31</v>
      </c>
      <c r="K78" t="s">
        <v>32</v>
      </c>
      <c r="L78" t="s">
        <v>33</v>
      </c>
      <c r="M78" s="9">
        <v>45377</v>
      </c>
      <c r="N78" t="s">
        <v>299</v>
      </c>
      <c r="O78" s="9">
        <v>45374</v>
      </c>
      <c r="P78" s="9">
        <v>45379</v>
      </c>
      <c r="Q78" t="s">
        <v>35</v>
      </c>
      <c r="R78" t="s">
        <v>236</v>
      </c>
      <c r="S78">
        <v>977330</v>
      </c>
      <c r="T78" t="s">
        <v>45</v>
      </c>
      <c r="U78" t="s">
        <v>46</v>
      </c>
      <c r="V78" t="s">
        <v>300</v>
      </c>
      <c r="W78">
        <v>2</v>
      </c>
      <c r="X78">
        <v>0.05</v>
      </c>
      <c r="Y78">
        <v>19.71</v>
      </c>
    </row>
    <row r="79" spans="1:25" x14ac:dyDescent="0.3">
      <c r="A79" t="s">
        <v>292</v>
      </c>
      <c r="B79" t="s">
        <v>26</v>
      </c>
      <c r="C79" t="s">
        <v>142</v>
      </c>
      <c r="D79" s="9">
        <v>32868</v>
      </c>
      <c r="E79">
        <v>2264.5500000000002</v>
      </c>
      <c r="F79">
        <v>2024</v>
      </c>
      <c r="G79" t="s">
        <v>87</v>
      </c>
      <c r="H79" t="s">
        <v>29</v>
      </c>
      <c r="I79" t="s">
        <v>92</v>
      </c>
      <c r="J79" t="s">
        <v>31</v>
      </c>
      <c r="K79" t="s">
        <v>32</v>
      </c>
      <c r="L79" t="s">
        <v>33</v>
      </c>
      <c r="M79" s="9">
        <v>45388</v>
      </c>
      <c r="N79" t="s">
        <v>301</v>
      </c>
      <c r="O79" s="9">
        <v>45388</v>
      </c>
      <c r="P79" s="9">
        <v>45392</v>
      </c>
      <c r="Q79" t="s">
        <v>74</v>
      </c>
      <c r="R79" t="s">
        <v>236</v>
      </c>
      <c r="S79">
        <v>352249</v>
      </c>
      <c r="T79" t="s">
        <v>187</v>
      </c>
      <c r="U79" t="s">
        <v>188</v>
      </c>
      <c r="V79" t="s">
        <v>302</v>
      </c>
      <c r="W79">
        <v>9</v>
      </c>
      <c r="X79">
        <v>0.15</v>
      </c>
      <c r="Y79">
        <v>210.77</v>
      </c>
    </row>
    <row r="80" spans="1:25" x14ac:dyDescent="0.3">
      <c r="A80" t="s">
        <v>292</v>
      </c>
      <c r="B80" t="s">
        <v>26</v>
      </c>
      <c r="C80" t="s">
        <v>142</v>
      </c>
      <c r="D80" s="9">
        <v>32868</v>
      </c>
      <c r="E80">
        <v>542.54</v>
      </c>
      <c r="F80">
        <v>2025</v>
      </c>
      <c r="G80" t="s">
        <v>87</v>
      </c>
      <c r="H80" t="s">
        <v>29</v>
      </c>
      <c r="I80" t="s">
        <v>30</v>
      </c>
      <c r="J80" t="s">
        <v>31</v>
      </c>
      <c r="K80" t="s">
        <v>32</v>
      </c>
      <c r="L80" t="s">
        <v>33</v>
      </c>
      <c r="M80" s="9">
        <v>45767</v>
      </c>
      <c r="N80" t="s">
        <v>303</v>
      </c>
      <c r="O80" s="9">
        <v>45763</v>
      </c>
      <c r="P80" s="9">
        <v>45768</v>
      </c>
      <c r="Q80" t="s">
        <v>35</v>
      </c>
      <c r="R80" t="s">
        <v>236</v>
      </c>
      <c r="S80">
        <v>509420</v>
      </c>
      <c r="T80" t="s">
        <v>37</v>
      </c>
      <c r="U80" t="s">
        <v>38</v>
      </c>
      <c r="V80" t="s">
        <v>304</v>
      </c>
      <c r="W80">
        <v>2</v>
      </c>
      <c r="X80">
        <v>0</v>
      </c>
      <c r="Y80">
        <v>38.14</v>
      </c>
    </row>
    <row r="81" spans="1:25" x14ac:dyDescent="0.3">
      <c r="A81" t="s">
        <v>292</v>
      </c>
      <c r="B81" t="s">
        <v>26</v>
      </c>
      <c r="C81" t="s">
        <v>142</v>
      </c>
      <c r="D81" s="9">
        <v>32868</v>
      </c>
      <c r="E81">
        <v>3436.3</v>
      </c>
      <c r="F81">
        <v>2025</v>
      </c>
      <c r="G81" t="s">
        <v>28</v>
      </c>
      <c r="H81" t="s">
        <v>29</v>
      </c>
      <c r="I81" t="s">
        <v>92</v>
      </c>
      <c r="J81" t="s">
        <v>31</v>
      </c>
      <c r="K81" t="s">
        <v>32</v>
      </c>
      <c r="L81" t="s">
        <v>33</v>
      </c>
      <c r="M81" s="9">
        <v>45777</v>
      </c>
      <c r="N81" t="s">
        <v>305</v>
      </c>
      <c r="O81" s="9">
        <v>45777</v>
      </c>
      <c r="P81" s="9">
        <v>45780</v>
      </c>
      <c r="Q81" t="s">
        <v>121</v>
      </c>
      <c r="R81" t="s">
        <v>236</v>
      </c>
      <c r="S81">
        <v>868544</v>
      </c>
      <c r="T81" t="s">
        <v>187</v>
      </c>
      <c r="U81" t="s">
        <v>188</v>
      </c>
      <c r="V81" t="s">
        <v>306</v>
      </c>
      <c r="W81">
        <v>7</v>
      </c>
      <c r="X81">
        <v>0</v>
      </c>
      <c r="Y81">
        <v>942.22</v>
      </c>
    </row>
    <row r="82" spans="1:25" x14ac:dyDescent="0.3">
      <c r="A82" t="s">
        <v>307</v>
      </c>
      <c r="B82" t="s">
        <v>247</v>
      </c>
      <c r="C82" t="s">
        <v>259</v>
      </c>
      <c r="D82" s="9">
        <v>24268</v>
      </c>
      <c r="E82">
        <v>1354.03</v>
      </c>
      <c r="F82">
        <v>2023</v>
      </c>
      <c r="G82" t="s">
        <v>87</v>
      </c>
      <c r="H82" t="s">
        <v>29</v>
      </c>
      <c r="I82" t="s">
        <v>43</v>
      </c>
      <c r="J82" t="s">
        <v>143</v>
      </c>
      <c r="K82" t="s">
        <v>32</v>
      </c>
      <c r="L82" t="s">
        <v>144</v>
      </c>
      <c r="M82" s="9">
        <v>45036</v>
      </c>
      <c r="N82" t="s">
        <v>308</v>
      </c>
      <c r="O82" s="9">
        <v>45033</v>
      </c>
      <c r="P82" s="9">
        <v>45037</v>
      </c>
      <c r="Q82" t="s">
        <v>121</v>
      </c>
      <c r="R82" t="s">
        <v>309</v>
      </c>
      <c r="S82">
        <v>950916</v>
      </c>
      <c r="T82" t="s">
        <v>45</v>
      </c>
      <c r="U82" t="s">
        <v>46</v>
      </c>
      <c r="V82" t="s">
        <v>310</v>
      </c>
      <c r="W82">
        <v>6</v>
      </c>
      <c r="X82">
        <v>0.2</v>
      </c>
      <c r="Y82">
        <v>328.81</v>
      </c>
    </row>
    <row r="83" spans="1:25" x14ac:dyDescent="0.3">
      <c r="A83" t="s">
        <v>307</v>
      </c>
      <c r="B83" t="s">
        <v>247</v>
      </c>
      <c r="C83" t="s">
        <v>259</v>
      </c>
      <c r="D83" s="9">
        <v>24268</v>
      </c>
      <c r="E83">
        <v>302</v>
      </c>
      <c r="F83">
        <v>2024</v>
      </c>
      <c r="G83" t="s">
        <v>28</v>
      </c>
      <c r="H83" t="s">
        <v>29</v>
      </c>
      <c r="I83" t="s">
        <v>61</v>
      </c>
      <c r="J83" t="s">
        <v>143</v>
      </c>
      <c r="K83" t="s">
        <v>32</v>
      </c>
      <c r="L83" t="s">
        <v>144</v>
      </c>
      <c r="M83" s="9">
        <v>45522</v>
      </c>
      <c r="N83" t="s">
        <v>311</v>
      </c>
      <c r="O83" s="9">
        <v>45522</v>
      </c>
      <c r="P83" s="9">
        <v>45524</v>
      </c>
      <c r="Q83" t="s">
        <v>74</v>
      </c>
      <c r="R83" t="s">
        <v>309</v>
      </c>
      <c r="S83">
        <v>640418</v>
      </c>
      <c r="T83" t="s">
        <v>312</v>
      </c>
      <c r="U83" t="s">
        <v>313</v>
      </c>
      <c r="V83" t="s">
        <v>314</v>
      </c>
      <c r="W83">
        <v>8</v>
      </c>
      <c r="X83">
        <v>0</v>
      </c>
      <c r="Y83">
        <v>19.07</v>
      </c>
    </row>
    <row r="84" spans="1:25" x14ac:dyDescent="0.3">
      <c r="A84" t="s">
        <v>307</v>
      </c>
      <c r="B84" t="s">
        <v>247</v>
      </c>
      <c r="C84" t="s">
        <v>259</v>
      </c>
      <c r="D84" s="9">
        <v>24268</v>
      </c>
      <c r="E84">
        <v>381.58</v>
      </c>
      <c r="F84">
        <v>2025</v>
      </c>
      <c r="G84" t="s">
        <v>28</v>
      </c>
      <c r="H84" t="s">
        <v>29</v>
      </c>
      <c r="I84" t="s">
        <v>92</v>
      </c>
      <c r="J84" t="s">
        <v>143</v>
      </c>
      <c r="K84" t="s">
        <v>32</v>
      </c>
      <c r="L84" t="s">
        <v>144</v>
      </c>
      <c r="M84" s="9">
        <v>45680</v>
      </c>
      <c r="N84" t="s">
        <v>315</v>
      </c>
      <c r="O84" s="9">
        <v>45679</v>
      </c>
      <c r="P84" s="9">
        <v>45680</v>
      </c>
      <c r="Q84" t="s">
        <v>35</v>
      </c>
      <c r="R84" t="s">
        <v>309</v>
      </c>
      <c r="S84">
        <v>938171</v>
      </c>
      <c r="T84" t="s">
        <v>127</v>
      </c>
      <c r="U84" t="s">
        <v>128</v>
      </c>
      <c r="V84" t="s">
        <v>316</v>
      </c>
      <c r="W84">
        <v>1</v>
      </c>
      <c r="X84">
        <v>0</v>
      </c>
      <c r="Y84">
        <v>51.83</v>
      </c>
    </row>
    <row r="85" spans="1:25" x14ac:dyDescent="0.3">
      <c r="A85" t="s">
        <v>307</v>
      </c>
      <c r="B85" t="s">
        <v>247</v>
      </c>
      <c r="C85" t="s">
        <v>259</v>
      </c>
      <c r="D85" s="9">
        <v>24268</v>
      </c>
      <c r="E85">
        <v>3415.67</v>
      </c>
      <c r="F85">
        <v>2025</v>
      </c>
      <c r="G85" t="s">
        <v>87</v>
      </c>
      <c r="H85" t="s">
        <v>29</v>
      </c>
      <c r="I85" t="s">
        <v>43</v>
      </c>
      <c r="J85" t="s">
        <v>143</v>
      </c>
      <c r="K85" t="s">
        <v>32</v>
      </c>
      <c r="L85" t="s">
        <v>144</v>
      </c>
      <c r="M85" s="9">
        <v>45702</v>
      </c>
      <c r="N85" t="s">
        <v>317</v>
      </c>
      <c r="O85" s="9">
        <v>45701</v>
      </c>
      <c r="P85" s="9">
        <v>45703</v>
      </c>
      <c r="Q85" t="s">
        <v>41</v>
      </c>
      <c r="R85" t="s">
        <v>309</v>
      </c>
      <c r="S85">
        <v>485191</v>
      </c>
      <c r="T85" t="s">
        <v>153</v>
      </c>
      <c r="U85" t="s">
        <v>154</v>
      </c>
      <c r="V85" t="s">
        <v>318</v>
      </c>
      <c r="W85">
        <v>8</v>
      </c>
      <c r="X85">
        <v>0.05</v>
      </c>
      <c r="Y85">
        <v>518.19000000000005</v>
      </c>
    </row>
    <row r="86" spans="1:25" x14ac:dyDescent="0.3">
      <c r="A86" t="s">
        <v>307</v>
      </c>
      <c r="B86" t="s">
        <v>247</v>
      </c>
      <c r="C86" t="s">
        <v>259</v>
      </c>
      <c r="D86" s="9">
        <v>24268</v>
      </c>
      <c r="E86">
        <v>738</v>
      </c>
      <c r="F86">
        <v>2025</v>
      </c>
      <c r="G86" t="s">
        <v>28</v>
      </c>
      <c r="H86" t="s">
        <v>29</v>
      </c>
      <c r="I86" t="s">
        <v>30</v>
      </c>
      <c r="J86" t="s">
        <v>143</v>
      </c>
      <c r="K86" t="s">
        <v>32</v>
      </c>
      <c r="L86" t="s">
        <v>144</v>
      </c>
      <c r="M86" s="9">
        <v>45719</v>
      </c>
      <c r="N86" t="s">
        <v>319</v>
      </c>
      <c r="O86" s="9">
        <v>45717</v>
      </c>
      <c r="P86" s="9">
        <v>45719</v>
      </c>
      <c r="Q86" t="s">
        <v>74</v>
      </c>
      <c r="R86" t="s">
        <v>309</v>
      </c>
      <c r="S86">
        <v>207581</v>
      </c>
      <c r="T86" t="s">
        <v>37</v>
      </c>
      <c r="U86" t="s">
        <v>38</v>
      </c>
      <c r="V86" t="s">
        <v>320</v>
      </c>
      <c r="W86">
        <v>2</v>
      </c>
      <c r="X86">
        <v>0</v>
      </c>
      <c r="Y86">
        <v>132.24</v>
      </c>
    </row>
    <row r="87" spans="1:25" x14ac:dyDescent="0.3">
      <c r="A87" t="s">
        <v>321</v>
      </c>
      <c r="B87" t="s">
        <v>234</v>
      </c>
      <c r="C87" t="s">
        <v>322</v>
      </c>
      <c r="D87" s="9">
        <v>33035</v>
      </c>
      <c r="E87">
        <v>3644.8</v>
      </c>
      <c r="F87">
        <v>2024</v>
      </c>
      <c r="G87" t="s">
        <v>48</v>
      </c>
      <c r="H87" t="s">
        <v>29</v>
      </c>
      <c r="I87" t="s">
        <v>43</v>
      </c>
      <c r="J87" t="s">
        <v>143</v>
      </c>
      <c r="K87" t="s">
        <v>32</v>
      </c>
      <c r="L87" t="s">
        <v>63</v>
      </c>
      <c r="M87" s="9">
        <v>45606</v>
      </c>
      <c r="N87" t="s">
        <v>323</v>
      </c>
      <c r="O87" s="9">
        <v>45603</v>
      </c>
      <c r="P87" s="9">
        <v>45606</v>
      </c>
      <c r="Q87" t="s">
        <v>74</v>
      </c>
      <c r="R87" t="s">
        <v>309</v>
      </c>
      <c r="S87">
        <v>744718</v>
      </c>
      <c r="T87" t="s">
        <v>153</v>
      </c>
      <c r="U87" t="s">
        <v>154</v>
      </c>
      <c r="V87" t="s">
        <v>324</v>
      </c>
      <c r="W87">
        <v>10</v>
      </c>
      <c r="X87">
        <v>0</v>
      </c>
      <c r="Y87">
        <v>936.46</v>
      </c>
    </row>
    <row r="88" spans="1:25" x14ac:dyDescent="0.3">
      <c r="A88" t="s">
        <v>325</v>
      </c>
      <c r="B88" t="s">
        <v>326</v>
      </c>
      <c r="C88" t="s">
        <v>327</v>
      </c>
      <c r="D88" s="9">
        <v>34275</v>
      </c>
      <c r="E88">
        <v>1432.02</v>
      </c>
      <c r="F88">
        <v>2023</v>
      </c>
      <c r="G88" t="s">
        <v>48</v>
      </c>
      <c r="H88" t="s">
        <v>163</v>
      </c>
      <c r="I88" t="s">
        <v>43</v>
      </c>
      <c r="J88" t="s">
        <v>62</v>
      </c>
      <c r="K88" t="s">
        <v>32</v>
      </c>
      <c r="L88" t="s">
        <v>144</v>
      </c>
      <c r="M88" s="9">
        <v>44985</v>
      </c>
      <c r="N88" t="s">
        <v>328</v>
      </c>
      <c r="O88" s="9">
        <v>44985</v>
      </c>
      <c r="P88" s="9">
        <v>44989</v>
      </c>
      <c r="Q88" t="s">
        <v>35</v>
      </c>
      <c r="R88" t="s">
        <v>286</v>
      </c>
      <c r="S88">
        <v>347459</v>
      </c>
      <c r="T88" t="s">
        <v>70</v>
      </c>
      <c r="U88" t="s">
        <v>71</v>
      </c>
      <c r="V88" t="s">
        <v>329</v>
      </c>
      <c r="W88">
        <v>3</v>
      </c>
      <c r="X88">
        <v>0</v>
      </c>
      <c r="Y88">
        <v>436.19</v>
      </c>
    </row>
    <row r="89" spans="1:25" x14ac:dyDescent="0.3">
      <c r="A89" t="s">
        <v>325</v>
      </c>
      <c r="B89" t="s">
        <v>326</v>
      </c>
      <c r="C89" t="s">
        <v>327</v>
      </c>
      <c r="D89" s="9">
        <v>34275</v>
      </c>
      <c r="E89">
        <v>3330.18</v>
      </c>
      <c r="F89">
        <v>2023</v>
      </c>
      <c r="G89" t="s">
        <v>28</v>
      </c>
      <c r="H89" t="s">
        <v>163</v>
      </c>
      <c r="I89" t="s">
        <v>49</v>
      </c>
      <c r="J89" t="s">
        <v>62</v>
      </c>
      <c r="K89" t="s">
        <v>32</v>
      </c>
      <c r="L89" t="s">
        <v>144</v>
      </c>
      <c r="M89" s="9">
        <v>45005</v>
      </c>
      <c r="N89" t="s">
        <v>330</v>
      </c>
      <c r="O89" s="9">
        <v>45003</v>
      </c>
      <c r="P89" s="9">
        <v>45007</v>
      </c>
      <c r="Q89" t="s">
        <v>41</v>
      </c>
      <c r="R89" t="s">
        <v>286</v>
      </c>
      <c r="S89">
        <v>900152</v>
      </c>
      <c r="T89" t="s">
        <v>84</v>
      </c>
      <c r="U89" t="s">
        <v>85</v>
      </c>
      <c r="V89" t="s">
        <v>331</v>
      </c>
      <c r="W89">
        <v>7</v>
      </c>
      <c r="X89">
        <v>0</v>
      </c>
      <c r="Y89">
        <v>771.03</v>
      </c>
    </row>
    <row r="90" spans="1:25" x14ac:dyDescent="0.3">
      <c r="A90" t="s">
        <v>325</v>
      </c>
      <c r="B90" t="s">
        <v>326</v>
      </c>
      <c r="C90" t="s">
        <v>327</v>
      </c>
      <c r="D90" s="9">
        <v>34275</v>
      </c>
      <c r="E90">
        <v>1076.4100000000001</v>
      </c>
      <c r="F90">
        <v>2023</v>
      </c>
      <c r="G90" t="s">
        <v>87</v>
      </c>
      <c r="H90" t="s">
        <v>163</v>
      </c>
      <c r="I90" t="s">
        <v>78</v>
      </c>
      <c r="J90" t="s">
        <v>62</v>
      </c>
      <c r="K90" t="s">
        <v>32</v>
      </c>
      <c r="L90" t="s">
        <v>144</v>
      </c>
      <c r="M90" s="9">
        <v>45208</v>
      </c>
      <c r="N90" t="s">
        <v>332</v>
      </c>
      <c r="O90" s="9">
        <v>45208</v>
      </c>
      <c r="P90" s="9">
        <v>45209</v>
      </c>
      <c r="Q90" t="s">
        <v>121</v>
      </c>
      <c r="R90" t="s">
        <v>286</v>
      </c>
      <c r="S90">
        <v>623285</v>
      </c>
      <c r="T90" t="s">
        <v>89</v>
      </c>
      <c r="U90" t="s">
        <v>90</v>
      </c>
      <c r="V90" t="s">
        <v>333</v>
      </c>
      <c r="W90">
        <v>6</v>
      </c>
      <c r="X90">
        <v>0.15</v>
      </c>
      <c r="Y90">
        <v>143.82</v>
      </c>
    </row>
    <row r="91" spans="1:25" x14ac:dyDescent="0.3">
      <c r="A91" t="s">
        <v>325</v>
      </c>
      <c r="B91" t="s">
        <v>326</v>
      </c>
      <c r="C91" t="s">
        <v>327</v>
      </c>
      <c r="D91" s="9">
        <v>34275</v>
      </c>
      <c r="E91">
        <v>291.3</v>
      </c>
      <c r="F91">
        <v>2024</v>
      </c>
      <c r="G91" t="s">
        <v>28</v>
      </c>
      <c r="H91" t="s">
        <v>163</v>
      </c>
      <c r="I91" t="s">
        <v>30</v>
      </c>
      <c r="J91" t="s">
        <v>62</v>
      </c>
      <c r="K91" t="s">
        <v>32</v>
      </c>
      <c r="L91" t="s">
        <v>144</v>
      </c>
      <c r="M91" s="9">
        <v>45344</v>
      </c>
      <c r="N91" t="s">
        <v>334</v>
      </c>
      <c r="O91" s="9">
        <v>45342</v>
      </c>
      <c r="P91" s="9">
        <v>45344</v>
      </c>
      <c r="Q91" t="s">
        <v>41</v>
      </c>
      <c r="R91" t="s">
        <v>286</v>
      </c>
      <c r="S91">
        <v>309902</v>
      </c>
      <c r="T91" t="s">
        <v>37</v>
      </c>
      <c r="U91" t="s">
        <v>38</v>
      </c>
      <c r="V91" t="s">
        <v>335</v>
      </c>
      <c r="W91">
        <v>2</v>
      </c>
      <c r="X91">
        <v>0</v>
      </c>
      <c r="Y91">
        <v>76.09</v>
      </c>
    </row>
    <row r="92" spans="1:25" x14ac:dyDescent="0.3">
      <c r="A92" t="s">
        <v>325</v>
      </c>
      <c r="B92" t="s">
        <v>326</v>
      </c>
      <c r="C92" t="s">
        <v>327</v>
      </c>
      <c r="D92" s="9">
        <v>34275</v>
      </c>
      <c r="E92">
        <v>402.87</v>
      </c>
      <c r="F92">
        <v>2024</v>
      </c>
      <c r="G92" t="s">
        <v>87</v>
      </c>
      <c r="H92" t="s">
        <v>163</v>
      </c>
      <c r="I92" t="s">
        <v>78</v>
      </c>
      <c r="J92" t="s">
        <v>62</v>
      </c>
      <c r="K92" t="s">
        <v>32</v>
      </c>
      <c r="L92" t="s">
        <v>144</v>
      </c>
      <c r="M92" s="9">
        <v>45580</v>
      </c>
      <c r="N92" t="s">
        <v>336</v>
      </c>
      <c r="O92" s="9">
        <v>45579</v>
      </c>
      <c r="P92" s="9">
        <v>45580</v>
      </c>
      <c r="Q92" t="s">
        <v>74</v>
      </c>
      <c r="R92" t="s">
        <v>286</v>
      </c>
      <c r="S92">
        <v>844007</v>
      </c>
      <c r="T92" t="s">
        <v>89</v>
      </c>
      <c r="U92" t="s">
        <v>90</v>
      </c>
      <c r="V92" t="s">
        <v>337</v>
      </c>
      <c r="W92">
        <v>2</v>
      </c>
      <c r="X92">
        <v>0.15</v>
      </c>
      <c r="Y92">
        <v>73.94</v>
      </c>
    </row>
    <row r="93" spans="1:25" x14ac:dyDescent="0.3">
      <c r="A93" t="s">
        <v>325</v>
      </c>
      <c r="B93" t="s">
        <v>326</v>
      </c>
      <c r="C93" t="s">
        <v>327</v>
      </c>
      <c r="D93" s="9">
        <v>34275</v>
      </c>
      <c r="E93">
        <v>922.26</v>
      </c>
      <c r="F93">
        <v>2024</v>
      </c>
      <c r="G93" t="s">
        <v>48</v>
      </c>
      <c r="H93" t="s">
        <v>163</v>
      </c>
      <c r="I93" t="s">
        <v>78</v>
      </c>
      <c r="J93" t="s">
        <v>62</v>
      </c>
      <c r="K93" t="s">
        <v>32</v>
      </c>
      <c r="L93" t="s">
        <v>144</v>
      </c>
      <c r="M93" s="9">
        <v>45582</v>
      </c>
      <c r="N93" t="s">
        <v>338</v>
      </c>
      <c r="O93" s="9">
        <v>45581</v>
      </c>
      <c r="P93" s="9">
        <v>45584</v>
      </c>
      <c r="Q93" t="s">
        <v>121</v>
      </c>
      <c r="R93" t="s">
        <v>286</v>
      </c>
      <c r="S93">
        <v>930541</v>
      </c>
      <c r="T93" t="s">
        <v>117</v>
      </c>
      <c r="U93" t="s">
        <v>118</v>
      </c>
      <c r="V93" t="s">
        <v>339</v>
      </c>
      <c r="W93">
        <v>3</v>
      </c>
      <c r="X93">
        <v>0.15</v>
      </c>
      <c r="Y93">
        <v>222.55</v>
      </c>
    </row>
    <row r="94" spans="1:25" x14ac:dyDescent="0.3">
      <c r="A94" t="s">
        <v>325</v>
      </c>
      <c r="B94" t="s">
        <v>326</v>
      </c>
      <c r="C94" t="s">
        <v>327</v>
      </c>
      <c r="D94" s="9">
        <v>34275</v>
      </c>
      <c r="E94">
        <v>234.86</v>
      </c>
      <c r="F94">
        <v>2024</v>
      </c>
      <c r="G94" t="s">
        <v>48</v>
      </c>
      <c r="H94" t="s">
        <v>163</v>
      </c>
      <c r="I94" t="s">
        <v>61</v>
      </c>
      <c r="J94" t="s">
        <v>62</v>
      </c>
      <c r="K94" t="s">
        <v>32</v>
      </c>
      <c r="L94" t="s">
        <v>144</v>
      </c>
      <c r="M94" s="9">
        <v>45618</v>
      </c>
      <c r="N94" t="s">
        <v>340</v>
      </c>
      <c r="O94" s="9">
        <v>45614</v>
      </c>
      <c r="P94" s="9">
        <v>45618</v>
      </c>
      <c r="Q94" t="s">
        <v>35</v>
      </c>
      <c r="R94" t="s">
        <v>286</v>
      </c>
      <c r="S94">
        <v>168941</v>
      </c>
      <c r="T94" t="s">
        <v>66</v>
      </c>
      <c r="U94" t="s">
        <v>67</v>
      </c>
      <c r="V94" t="s">
        <v>341</v>
      </c>
      <c r="W94">
        <v>8</v>
      </c>
      <c r="X94">
        <v>0.1</v>
      </c>
      <c r="Y94">
        <v>52.06</v>
      </c>
    </row>
    <row r="95" spans="1:25" x14ac:dyDescent="0.3">
      <c r="A95" t="s">
        <v>325</v>
      </c>
      <c r="B95" t="s">
        <v>326</v>
      </c>
      <c r="C95" t="s">
        <v>327</v>
      </c>
      <c r="D95" s="9">
        <v>34275</v>
      </c>
      <c r="E95">
        <v>1742.91</v>
      </c>
      <c r="F95">
        <v>2025</v>
      </c>
      <c r="G95" t="s">
        <v>48</v>
      </c>
      <c r="H95" t="s">
        <v>163</v>
      </c>
      <c r="I95" t="s">
        <v>43</v>
      </c>
      <c r="J95" t="s">
        <v>62</v>
      </c>
      <c r="K95" t="s">
        <v>32</v>
      </c>
      <c r="L95" t="s">
        <v>144</v>
      </c>
      <c r="M95" s="9">
        <v>45737</v>
      </c>
      <c r="N95" t="s">
        <v>342</v>
      </c>
      <c r="O95" s="9">
        <v>45737</v>
      </c>
      <c r="P95" s="9">
        <v>45742</v>
      </c>
      <c r="Q95" t="s">
        <v>74</v>
      </c>
      <c r="R95" t="s">
        <v>286</v>
      </c>
      <c r="S95">
        <v>773540</v>
      </c>
      <c r="T95" t="s">
        <v>153</v>
      </c>
      <c r="U95" t="s">
        <v>154</v>
      </c>
      <c r="V95" t="s">
        <v>343</v>
      </c>
      <c r="W95">
        <v>8</v>
      </c>
      <c r="X95">
        <v>0.2</v>
      </c>
      <c r="Y95">
        <v>301.23</v>
      </c>
    </row>
    <row r="96" spans="1:25" x14ac:dyDescent="0.3">
      <c r="A96" t="s">
        <v>344</v>
      </c>
      <c r="B96" t="s">
        <v>59</v>
      </c>
      <c r="C96" t="s">
        <v>284</v>
      </c>
      <c r="D96" s="9">
        <v>35948</v>
      </c>
      <c r="E96">
        <v>1059.4100000000001</v>
      </c>
      <c r="F96">
        <v>2024</v>
      </c>
      <c r="G96" t="s">
        <v>48</v>
      </c>
      <c r="H96" t="s">
        <v>29</v>
      </c>
      <c r="I96" t="s">
        <v>49</v>
      </c>
      <c r="J96" t="s">
        <v>62</v>
      </c>
      <c r="K96" t="s">
        <v>32</v>
      </c>
      <c r="L96" t="s">
        <v>63</v>
      </c>
      <c r="M96" s="9">
        <v>45405</v>
      </c>
      <c r="N96" t="s">
        <v>345</v>
      </c>
      <c r="O96" s="9">
        <v>45404</v>
      </c>
      <c r="P96" s="9">
        <v>45409</v>
      </c>
      <c r="Q96" t="s">
        <v>41</v>
      </c>
      <c r="R96" t="s">
        <v>65</v>
      </c>
      <c r="S96">
        <v>627290</v>
      </c>
      <c r="T96" t="s">
        <v>51</v>
      </c>
      <c r="U96" t="s">
        <v>52</v>
      </c>
      <c r="V96" t="s">
        <v>346</v>
      </c>
      <c r="W96">
        <v>3</v>
      </c>
      <c r="X96">
        <v>0.2</v>
      </c>
      <c r="Y96">
        <v>228.19</v>
      </c>
    </row>
    <row r="97" spans="1:25" x14ac:dyDescent="0.3">
      <c r="A97" t="s">
        <v>347</v>
      </c>
      <c r="B97" t="s">
        <v>161</v>
      </c>
      <c r="C97" t="s">
        <v>348</v>
      </c>
      <c r="D97" s="9">
        <v>33303</v>
      </c>
      <c r="E97">
        <v>669.92</v>
      </c>
      <c r="F97">
        <v>2023</v>
      </c>
      <c r="G97" t="s">
        <v>48</v>
      </c>
      <c r="H97" t="s">
        <v>29</v>
      </c>
      <c r="I97" t="s">
        <v>61</v>
      </c>
      <c r="J97" t="s">
        <v>143</v>
      </c>
      <c r="K97" t="s">
        <v>32</v>
      </c>
      <c r="L97" t="s">
        <v>33</v>
      </c>
      <c r="M97" s="9">
        <v>44984</v>
      </c>
      <c r="N97" t="s">
        <v>349</v>
      </c>
      <c r="O97" s="9">
        <v>44983</v>
      </c>
      <c r="P97" s="9">
        <v>44984</v>
      </c>
      <c r="Q97" t="s">
        <v>74</v>
      </c>
      <c r="R97" t="s">
        <v>250</v>
      </c>
      <c r="S97">
        <v>231250</v>
      </c>
      <c r="T97" t="s">
        <v>204</v>
      </c>
      <c r="U97" t="s">
        <v>205</v>
      </c>
      <c r="V97" t="s">
        <v>350</v>
      </c>
      <c r="W97">
        <v>4</v>
      </c>
      <c r="X97">
        <v>0.1</v>
      </c>
      <c r="Y97">
        <v>213.35</v>
      </c>
    </row>
    <row r="98" spans="1:25" x14ac:dyDescent="0.3">
      <c r="A98" t="s">
        <v>347</v>
      </c>
      <c r="B98" t="s">
        <v>161</v>
      </c>
      <c r="C98" t="s">
        <v>348</v>
      </c>
      <c r="D98" s="9">
        <v>33303</v>
      </c>
      <c r="E98">
        <v>496.1</v>
      </c>
      <c r="F98">
        <v>2023</v>
      </c>
      <c r="G98" t="s">
        <v>48</v>
      </c>
      <c r="H98" t="s">
        <v>29</v>
      </c>
      <c r="I98" t="s">
        <v>49</v>
      </c>
      <c r="J98" t="s">
        <v>143</v>
      </c>
      <c r="K98" t="s">
        <v>32</v>
      </c>
      <c r="L98" t="s">
        <v>33</v>
      </c>
      <c r="M98" s="9">
        <v>45055</v>
      </c>
      <c r="N98" t="s">
        <v>351</v>
      </c>
      <c r="O98" s="9">
        <v>45054</v>
      </c>
      <c r="P98" s="9">
        <v>45059</v>
      </c>
      <c r="Q98" t="s">
        <v>74</v>
      </c>
      <c r="R98" t="s">
        <v>250</v>
      </c>
      <c r="S98">
        <v>983456</v>
      </c>
      <c r="T98" t="s">
        <v>84</v>
      </c>
      <c r="U98" t="s">
        <v>85</v>
      </c>
      <c r="V98" t="s">
        <v>352</v>
      </c>
      <c r="W98">
        <v>9</v>
      </c>
      <c r="X98">
        <v>0.15</v>
      </c>
      <c r="Y98">
        <v>49.9</v>
      </c>
    </row>
    <row r="99" spans="1:25" x14ac:dyDescent="0.3">
      <c r="A99" t="s">
        <v>347</v>
      </c>
      <c r="B99" t="s">
        <v>161</v>
      </c>
      <c r="C99" t="s">
        <v>348</v>
      </c>
      <c r="D99" s="9">
        <v>33303</v>
      </c>
      <c r="E99">
        <v>50.14</v>
      </c>
      <c r="F99">
        <v>2023</v>
      </c>
      <c r="G99" t="s">
        <v>87</v>
      </c>
      <c r="H99" t="s">
        <v>29</v>
      </c>
      <c r="I99" t="s">
        <v>30</v>
      </c>
      <c r="J99" t="s">
        <v>143</v>
      </c>
      <c r="K99" t="s">
        <v>32</v>
      </c>
      <c r="L99" t="s">
        <v>33</v>
      </c>
      <c r="M99" s="9">
        <v>45084</v>
      </c>
      <c r="N99" t="s">
        <v>353</v>
      </c>
      <c r="O99" s="9">
        <v>45083</v>
      </c>
      <c r="P99" s="9">
        <v>45086</v>
      </c>
      <c r="Q99" t="s">
        <v>41</v>
      </c>
      <c r="R99" t="s">
        <v>250</v>
      </c>
      <c r="S99">
        <v>748133</v>
      </c>
      <c r="T99" t="s">
        <v>75</v>
      </c>
      <c r="U99" t="s">
        <v>76</v>
      </c>
      <c r="V99" t="s">
        <v>354</v>
      </c>
      <c r="W99">
        <v>1</v>
      </c>
      <c r="X99">
        <v>0.15</v>
      </c>
      <c r="Y99">
        <v>14.1</v>
      </c>
    </row>
    <row r="100" spans="1:25" x14ac:dyDescent="0.3">
      <c r="A100" t="s">
        <v>347</v>
      </c>
      <c r="B100" t="s">
        <v>161</v>
      </c>
      <c r="C100" t="s">
        <v>348</v>
      </c>
      <c r="D100" s="9">
        <v>33303</v>
      </c>
      <c r="E100">
        <v>1431.36</v>
      </c>
      <c r="F100">
        <v>2023</v>
      </c>
      <c r="G100" t="s">
        <v>28</v>
      </c>
      <c r="H100" t="s">
        <v>29</v>
      </c>
      <c r="I100" t="s">
        <v>49</v>
      </c>
      <c r="J100" t="s">
        <v>143</v>
      </c>
      <c r="K100" t="s">
        <v>32</v>
      </c>
      <c r="L100" t="s">
        <v>33</v>
      </c>
      <c r="M100" s="9">
        <v>45097</v>
      </c>
      <c r="N100" t="s">
        <v>355</v>
      </c>
      <c r="O100" s="9">
        <v>45095</v>
      </c>
      <c r="P100" s="9">
        <v>45099</v>
      </c>
      <c r="Q100" t="s">
        <v>35</v>
      </c>
      <c r="R100" t="s">
        <v>250</v>
      </c>
      <c r="S100">
        <v>822063</v>
      </c>
      <c r="T100" t="s">
        <v>109</v>
      </c>
      <c r="U100" t="s">
        <v>110</v>
      </c>
      <c r="V100" t="s">
        <v>356</v>
      </c>
      <c r="W100">
        <v>9</v>
      </c>
      <c r="X100">
        <v>0</v>
      </c>
      <c r="Y100">
        <v>278.95</v>
      </c>
    </row>
    <row r="101" spans="1:25" x14ac:dyDescent="0.3">
      <c r="A101" t="s">
        <v>347</v>
      </c>
      <c r="B101" t="s">
        <v>161</v>
      </c>
      <c r="C101" t="s">
        <v>348</v>
      </c>
      <c r="D101" s="9">
        <v>33303</v>
      </c>
      <c r="E101">
        <v>1767.08</v>
      </c>
      <c r="F101">
        <v>2023</v>
      </c>
      <c r="G101" t="s">
        <v>87</v>
      </c>
      <c r="H101" t="s">
        <v>29</v>
      </c>
      <c r="I101" t="s">
        <v>78</v>
      </c>
      <c r="J101" t="s">
        <v>143</v>
      </c>
      <c r="K101" t="s">
        <v>32</v>
      </c>
      <c r="L101" t="s">
        <v>33</v>
      </c>
      <c r="M101" s="9">
        <v>45239</v>
      </c>
      <c r="N101" t="s">
        <v>357</v>
      </c>
      <c r="O101" s="9">
        <v>45238</v>
      </c>
      <c r="P101" s="9">
        <v>45240</v>
      </c>
      <c r="Q101" t="s">
        <v>74</v>
      </c>
      <c r="R101" t="s">
        <v>250</v>
      </c>
      <c r="S101">
        <v>869864</v>
      </c>
      <c r="T101" t="s">
        <v>89</v>
      </c>
      <c r="U101" t="s">
        <v>90</v>
      </c>
      <c r="V101" t="s">
        <v>358</v>
      </c>
      <c r="W101">
        <v>7</v>
      </c>
      <c r="X101">
        <v>0</v>
      </c>
      <c r="Y101">
        <v>268.7</v>
      </c>
    </row>
    <row r="102" spans="1:25" x14ac:dyDescent="0.3">
      <c r="A102" t="s">
        <v>347</v>
      </c>
      <c r="B102" t="s">
        <v>161</v>
      </c>
      <c r="C102" t="s">
        <v>348</v>
      </c>
      <c r="D102" s="9">
        <v>33303</v>
      </c>
      <c r="E102">
        <v>1603.14</v>
      </c>
      <c r="F102">
        <v>2024</v>
      </c>
      <c r="G102" t="s">
        <v>28</v>
      </c>
      <c r="H102" t="s">
        <v>29</v>
      </c>
      <c r="I102" t="s">
        <v>43</v>
      </c>
      <c r="J102" t="s">
        <v>143</v>
      </c>
      <c r="K102" t="s">
        <v>32</v>
      </c>
      <c r="L102" t="s">
        <v>33</v>
      </c>
      <c r="M102" s="9">
        <v>45457</v>
      </c>
      <c r="N102" t="s">
        <v>359</v>
      </c>
      <c r="O102" s="9">
        <v>45457</v>
      </c>
      <c r="P102" s="9">
        <v>45461</v>
      </c>
      <c r="Q102" t="s">
        <v>41</v>
      </c>
      <c r="R102" t="s">
        <v>250</v>
      </c>
      <c r="S102">
        <v>359961</v>
      </c>
      <c r="T102" t="s">
        <v>153</v>
      </c>
      <c r="U102" t="s">
        <v>154</v>
      </c>
      <c r="V102" t="s">
        <v>360</v>
      </c>
      <c r="W102">
        <v>6</v>
      </c>
      <c r="X102">
        <v>0</v>
      </c>
      <c r="Y102">
        <v>233.63</v>
      </c>
    </row>
    <row r="103" spans="1:25" x14ac:dyDescent="0.3">
      <c r="A103" t="s">
        <v>347</v>
      </c>
      <c r="B103" t="s">
        <v>161</v>
      </c>
      <c r="C103" t="s">
        <v>348</v>
      </c>
      <c r="D103" s="9">
        <v>33303</v>
      </c>
      <c r="E103">
        <v>1895.12</v>
      </c>
      <c r="F103">
        <v>2025</v>
      </c>
      <c r="G103" t="s">
        <v>28</v>
      </c>
      <c r="H103" t="s">
        <v>29</v>
      </c>
      <c r="I103" t="s">
        <v>61</v>
      </c>
      <c r="J103" t="s">
        <v>143</v>
      </c>
      <c r="K103" t="s">
        <v>32</v>
      </c>
      <c r="L103" t="s">
        <v>33</v>
      </c>
      <c r="M103" s="9">
        <v>45778</v>
      </c>
      <c r="N103" t="s">
        <v>361</v>
      </c>
      <c r="O103" s="9">
        <v>45778</v>
      </c>
      <c r="P103" s="9">
        <v>45780</v>
      </c>
      <c r="Q103" t="s">
        <v>74</v>
      </c>
      <c r="R103" t="s">
        <v>250</v>
      </c>
      <c r="S103">
        <v>299055</v>
      </c>
      <c r="T103" t="s">
        <v>312</v>
      </c>
      <c r="U103" t="s">
        <v>313</v>
      </c>
      <c r="V103" t="s">
        <v>362</v>
      </c>
      <c r="W103">
        <v>5</v>
      </c>
      <c r="X103">
        <v>0.2</v>
      </c>
      <c r="Y103">
        <v>444.62</v>
      </c>
    </row>
    <row r="104" spans="1:25" x14ac:dyDescent="0.3">
      <c r="A104" t="s">
        <v>363</v>
      </c>
      <c r="B104" t="s">
        <v>59</v>
      </c>
      <c r="C104" t="s">
        <v>364</v>
      </c>
      <c r="D104" s="9">
        <v>31828</v>
      </c>
      <c r="E104">
        <v>852.68</v>
      </c>
      <c r="F104">
        <v>2024</v>
      </c>
      <c r="G104" t="s">
        <v>87</v>
      </c>
      <c r="H104" t="s">
        <v>29</v>
      </c>
      <c r="I104" t="s">
        <v>43</v>
      </c>
      <c r="J104" t="s">
        <v>102</v>
      </c>
      <c r="K104" t="s">
        <v>32</v>
      </c>
      <c r="L104" t="s">
        <v>33</v>
      </c>
      <c r="M104" s="9">
        <v>45405</v>
      </c>
      <c r="N104" t="s">
        <v>365</v>
      </c>
      <c r="O104" s="9">
        <v>45405</v>
      </c>
      <c r="P104" s="9">
        <v>45407</v>
      </c>
      <c r="Q104" t="s">
        <v>74</v>
      </c>
      <c r="R104" t="s">
        <v>104</v>
      </c>
      <c r="S104">
        <v>151021</v>
      </c>
      <c r="T104" t="s">
        <v>153</v>
      </c>
      <c r="U104" t="s">
        <v>154</v>
      </c>
      <c r="V104" t="s">
        <v>366</v>
      </c>
      <c r="W104">
        <v>2</v>
      </c>
      <c r="X104">
        <v>0.1</v>
      </c>
      <c r="Y104">
        <v>159.6</v>
      </c>
    </row>
    <row r="105" spans="1:25" x14ac:dyDescent="0.3">
      <c r="A105" t="s">
        <v>363</v>
      </c>
      <c r="B105" t="s">
        <v>59</v>
      </c>
      <c r="C105" t="s">
        <v>364</v>
      </c>
      <c r="D105" s="9">
        <v>31828</v>
      </c>
      <c r="E105">
        <v>3769.92</v>
      </c>
      <c r="F105">
        <v>2024</v>
      </c>
      <c r="G105" t="s">
        <v>48</v>
      </c>
      <c r="H105" t="s">
        <v>29</v>
      </c>
      <c r="I105" t="s">
        <v>78</v>
      </c>
      <c r="J105" t="s">
        <v>102</v>
      </c>
      <c r="K105" t="s">
        <v>32</v>
      </c>
      <c r="L105" t="s">
        <v>33</v>
      </c>
      <c r="M105" s="9">
        <v>45437</v>
      </c>
      <c r="N105" t="s">
        <v>367</v>
      </c>
      <c r="O105" s="9">
        <v>45437</v>
      </c>
      <c r="P105" s="9">
        <v>45440</v>
      </c>
      <c r="Q105" t="s">
        <v>41</v>
      </c>
      <c r="R105" t="s">
        <v>104</v>
      </c>
      <c r="S105">
        <v>240440</v>
      </c>
      <c r="T105" t="s">
        <v>117</v>
      </c>
      <c r="U105" t="s">
        <v>118</v>
      </c>
      <c r="V105" t="s">
        <v>368</v>
      </c>
      <c r="W105">
        <v>10</v>
      </c>
      <c r="X105">
        <v>0.15</v>
      </c>
      <c r="Y105">
        <v>949.1</v>
      </c>
    </row>
    <row r="106" spans="1:25" x14ac:dyDescent="0.3">
      <c r="A106" t="s">
        <v>363</v>
      </c>
      <c r="B106" t="s">
        <v>59</v>
      </c>
      <c r="C106" t="s">
        <v>364</v>
      </c>
      <c r="D106" s="9">
        <v>31828</v>
      </c>
      <c r="E106">
        <v>1301.07</v>
      </c>
      <c r="F106">
        <v>2024</v>
      </c>
      <c r="G106" t="s">
        <v>28</v>
      </c>
      <c r="H106" t="s">
        <v>29</v>
      </c>
      <c r="I106" t="s">
        <v>43</v>
      </c>
      <c r="J106" t="s">
        <v>102</v>
      </c>
      <c r="K106" t="s">
        <v>32</v>
      </c>
      <c r="L106" t="s">
        <v>33</v>
      </c>
      <c r="M106" s="9">
        <v>45438</v>
      </c>
      <c r="N106" t="s">
        <v>369</v>
      </c>
      <c r="O106" s="9">
        <v>45437</v>
      </c>
      <c r="P106" s="9">
        <v>45442</v>
      </c>
      <c r="Q106" t="s">
        <v>74</v>
      </c>
      <c r="R106" t="s">
        <v>104</v>
      </c>
      <c r="S106">
        <v>177103</v>
      </c>
      <c r="T106" t="s">
        <v>70</v>
      </c>
      <c r="U106" t="s">
        <v>71</v>
      </c>
      <c r="V106" t="s">
        <v>370</v>
      </c>
      <c r="W106">
        <v>7</v>
      </c>
      <c r="X106">
        <v>0.05</v>
      </c>
      <c r="Y106">
        <v>85.02</v>
      </c>
    </row>
    <row r="107" spans="1:25" x14ac:dyDescent="0.3">
      <c r="A107" t="s">
        <v>363</v>
      </c>
      <c r="B107" t="s">
        <v>59</v>
      </c>
      <c r="C107" t="s">
        <v>364</v>
      </c>
      <c r="D107" s="9">
        <v>31828</v>
      </c>
      <c r="E107">
        <v>1249.5899999999999</v>
      </c>
      <c r="F107">
        <v>2024</v>
      </c>
      <c r="G107" t="s">
        <v>48</v>
      </c>
      <c r="H107" t="s">
        <v>29</v>
      </c>
      <c r="I107" t="s">
        <v>92</v>
      </c>
      <c r="J107" t="s">
        <v>102</v>
      </c>
      <c r="K107" t="s">
        <v>32</v>
      </c>
      <c r="L107" t="s">
        <v>33</v>
      </c>
      <c r="M107" s="9">
        <v>45454</v>
      </c>
      <c r="N107" t="s">
        <v>371</v>
      </c>
      <c r="O107" s="9">
        <v>45454</v>
      </c>
      <c r="P107" s="9">
        <v>45455</v>
      </c>
      <c r="Q107" t="s">
        <v>41</v>
      </c>
      <c r="R107" t="s">
        <v>104</v>
      </c>
      <c r="S107">
        <v>491326</v>
      </c>
      <c r="T107" t="s">
        <v>127</v>
      </c>
      <c r="U107" t="s">
        <v>128</v>
      </c>
      <c r="V107" t="s">
        <v>372</v>
      </c>
      <c r="W107">
        <v>9</v>
      </c>
      <c r="X107">
        <v>0.1</v>
      </c>
      <c r="Y107">
        <v>317.55</v>
      </c>
    </row>
    <row r="108" spans="1:25" x14ac:dyDescent="0.3">
      <c r="A108" t="s">
        <v>363</v>
      </c>
      <c r="B108" t="s">
        <v>59</v>
      </c>
      <c r="C108" t="s">
        <v>364</v>
      </c>
      <c r="D108" s="9">
        <v>31828</v>
      </c>
      <c r="E108">
        <v>311.99</v>
      </c>
      <c r="F108">
        <v>2025</v>
      </c>
      <c r="G108" t="s">
        <v>48</v>
      </c>
      <c r="H108" t="s">
        <v>29</v>
      </c>
      <c r="I108" t="s">
        <v>43</v>
      </c>
      <c r="J108" t="s">
        <v>102</v>
      </c>
      <c r="K108" t="s">
        <v>32</v>
      </c>
      <c r="L108" t="s">
        <v>33</v>
      </c>
      <c r="M108" s="9">
        <v>45827</v>
      </c>
      <c r="N108" t="s">
        <v>373</v>
      </c>
      <c r="O108" s="9">
        <v>45827</v>
      </c>
      <c r="P108" s="9">
        <v>45828</v>
      </c>
      <c r="Q108" t="s">
        <v>121</v>
      </c>
      <c r="R108" t="s">
        <v>104</v>
      </c>
      <c r="S108">
        <v>848255</v>
      </c>
      <c r="T108" t="s">
        <v>70</v>
      </c>
      <c r="U108" t="s">
        <v>71</v>
      </c>
      <c r="V108" t="s">
        <v>370</v>
      </c>
      <c r="W108">
        <v>3</v>
      </c>
      <c r="X108">
        <v>0.1</v>
      </c>
      <c r="Y108">
        <v>53.17</v>
      </c>
    </row>
    <row r="109" spans="1:25" x14ac:dyDescent="0.3">
      <c r="A109" t="s">
        <v>374</v>
      </c>
      <c r="B109" t="s">
        <v>375</v>
      </c>
      <c r="C109" t="s">
        <v>376</v>
      </c>
      <c r="D109" s="9">
        <v>26364</v>
      </c>
      <c r="E109">
        <v>1642.45</v>
      </c>
      <c r="F109">
        <v>2024</v>
      </c>
      <c r="G109" t="s">
        <v>87</v>
      </c>
      <c r="H109" t="s">
        <v>29</v>
      </c>
      <c r="I109" t="s">
        <v>61</v>
      </c>
      <c r="J109" t="s">
        <v>143</v>
      </c>
      <c r="K109" t="s">
        <v>32</v>
      </c>
      <c r="L109" t="s">
        <v>144</v>
      </c>
      <c r="M109" s="9">
        <v>45396</v>
      </c>
      <c r="N109" t="s">
        <v>377</v>
      </c>
      <c r="O109" s="9">
        <v>45394</v>
      </c>
      <c r="P109" s="9">
        <v>45397</v>
      </c>
      <c r="Q109" t="s">
        <v>41</v>
      </c>
      <c r="R109" t="s">
        <v>146</v>
      </c>
      <c r="S109">
        <v>843167</v>
      </c>
      <c r="T109" t="s">
        <v>66</v>
      </c>
      <c r="U109" t="s">
        <v>67</v>
      </c>
      <c r="V109" t="s">
        <v>378</v>
      </c>
      <c r="W109">
        <v>10</v>
      </c>
      <c r="X109">
        <v>0.05</v>
      </c>
      <c r="Y109">
        <v>570.23</v>
      </c>
    </row>
    <row r="110" spans="1:25" x14ac:dyDescent="0.3">
      <c r="A110" t="s">
        <v>374</v>
      </c>
      <c r="B110" t="s">
        <v>375</v>
      </c>
      <c r="C110" t="s">
        <v>376</v>
      </c>
      <c r="D110" s="9">
        <v>26364</v>
      </c>
      <c r="E110">
        <v>167.29</v>
      </c>
      <c r="F110">
        <v>2024</v>
      </c>
      <c r="G110" t="s">
        <v>28</v>
      </c>
      <c r="H110" t="s">
        <v>29</v>
      </c>
      <c r="I110" t="s">
        <v>30</v>
      </c>
      <c r="J110" t="s">
        <v>143</v>
      </c>
      <c r="K110" t="s">
        <v>32</v>
      </c>
      <c r="L110" t="s">
        <v>144</v>
      </c>
      <c r="M110" s="9">
        <v>45416</v>
      </c>
      <c r="N110" t="s">
        <v>379</v>
      </c>
      <c r="O110" s="9">
        <v>45412</v>
      </c>
      <c r="P110" s="9">
        <v>45416</v>
      </c>
      <c r="Q110" t="s">
        <v>35</v>
      </c>
      <c r="R110" t="s">
        <v>146</v>
      </c>
      <c r="S110">
        <v>725905</v>
      </c>
      <c r="T110" t="s">
        <v>37</v>
      </c>
      <c r="U110" t="s">
        <v>38</v>
      </c>
      <c r="V110" t="s">
        <v>380</v>
      </c>
      <c r="W110">
        <v>1</v>
      </c>
      <c r="X110">
        <v>0.15</v>
      </c>
      <c r="Y110">
        <v>13.87</v>
      </c>
    </row>
    <row r="111" spans="1:25" x14ac:dyDescent="0.3">
      <c r="A111" t="s">
        <v>374</v>
      </c>
      <c r="B111" t="s">
        <v>375</v>
      </c>
      <c r="C111" t="s">
        <v>376</v>
      </c>
      <c r="D111" s="9">
        <v>26364</v>
      </c>
      <c r="E111">
        <v>2526.71</v>
      </c>
      <c r="F111">
        <v>2024</v>
      </c>
      <c r="G111" t="s">
        <v>87</v>
      </c>
      <c r="H111" t="s">
        <v>29</v>
      </c>
      <c r="I111" t="s">
        <v>92</v>
      </c>
      <c r="J111" t="s">
        <v>143</v>
      </c>
      <c r="K111" t="s">
        <v>32</v>
      </c>
      <c r="L111" t="s">
        <v>144</v>
      </c>
      <c r="M111" s="9">
        <v>45459</v>
      </c>
      <c r="N111" t="s">
        <v>381</v>
      </c>
      <c r="O111" s="9">
        <v>45458</v>
      </c>
      <c r="P111" s="9">
        <v>45462</v>
      </c>
      <c r="Q111" t="s">
        <v>41</v>
      </c>
      <c r="R111" t="s">
        <v>146</v>
      </c>
      <c r="S111">
        <v>254954</v>
      </c>
      <c r="T111" t="s">
        <v>94</v>
      </c>
      <c r="U111" t="s">
        <v>95</v>
      </c>
      <c r="V111" t="s">
        <v>382</v>
      </c>
      <c r="W111">
        <v>10</v>
      </c>
      <c r="X111">
        <v>0.15</v>
      </c>
      <c r="Y111">
        <v>165.26</v>
      </c>
    </row>
    <row r="112" spans="1:25" x14ac:dyDescent="0.3">
      <c r="A112" t="s">
        <v>383</v>
      </c>
      <c r="B112" t="s">
        <v>384</v>
      </c>
      <c r="C112" t="s">
        <v>125</v>
      </c>
      <c r="D112" s="9">
        <v>31411</v>
      </c>
      <c r="E112">
        <v>551.51</v>
      </c>
      <c r="F112">
        <v>2023</v>
      </c>
      <c r="G112" t="s">
        <v>28</v>
      </c>
      <c r="H112" t="s">
        <v>29</v>
      </c>
      <c r="I112" t="s">
        <v>78</v>
      </c>
      <c r="J112" t="s">
        <v>62</v>
      </c>
      <c r="K112" t="s">
        <v>32</v>
      </c>
      <c r="L112" t="s">
        <v>63</v>
      </c>
      <c r="M112" s="9">
        <v>44963</v>
      </c>
      <c r="N112" t="s">
        <v>385</v>
      </c>
      <c r="O112" s="9">
        <v>44959</v>
      </c>
      <c r="P112" s="9">
        <v>44964</v>
      </c>
      <c r="Q112" t="s">
        <v>35</v>
      </c>
      <c r="R112" t="s">
        <v>386</v>
      </c>
      <c r="S112">
        <v>840058</v>
      </c>
      <c r="T112" t="s">
        <v>80</v>
      </c>
      <c r="U112" t="s">
        <v>81</v>
      </c>
      <c r="V112" t="s">
        <v>387</v>
      </c>
      <c r="W112">
        <v>7</v>
      </c>
      <c r="X112">
        <v>0.15</v>
      </c>
      <c r="Y112">
        <v>61.31</v>
      </c>
    </row>
    <row r="113" spans="1:25" x14ac:dyDescent="0.3">
      <c r="A113" t="s">
        <v>383</v>
      </c>
      <c r="B113" t="s">
        <v>384</v>
      </c>
      <c r="C113" t="s">
        <v>125</v>
      </c>
      <c r="D113" s="9">
        <v>31411</v>
      </c>
      <c r="E113">
        <v>2844.87</v>
      </c>
      <c r="F113">
        <v>2023</v>
      </c>
      <c r="G113" t="s">
        <v>28</v>
      </c>
      <c r="H113" t="s">
        <v>29</v>
      </c>
      <c r="I113" t="s">
        <v>61</v>
      </c>
      <c r="J113" t="s">
        <v>62</v>
      </c>
      <c r="K113" t="s">
        <v>32</v>
      </c>
      <c r="L113" t="s">
        <v>63</v>
      </c>
      <c r="M113" s="9">
        <v>45040</v>
      </c>
      <c r="N113" t="s">
        <v>388</v>
      </c>
      <c r="O113" s="9">
        <v>45039</v>
      </c>
      <c r="P113" s="9">
        <v>45042</v>
      </c>
      <c r="Q113" t="s">
        <v>74</v>
      </c>
      <c r="R113" t="s">
        <v>386</v>
      </c>
      <c r="S113">
        <v>672808</v>
      </c>
      <c r="T113" t="s">
        <v>66</v>
      </c>
      <c r="U113" t="s">
        <v>67</v>
      </c>
      <c r="V113" t="s">
        <v>389</v>
      </c>
      <c r="W113">
        <v>6</v>
      </c>
      <c r="X113">
        <v>0.05</v>
      </c>
      <c r="Y113">
        <v>590.72</v>
      </c>
    </row>
    <row r="114" spans="1:25" x14ac:dyDescent="0.3">
      <c r="A114" t="s">
        <v>383</v>
      </c>
      <c r="B114" t="s">
        <v>384</v>
      </c>
      <c r="C114" t="s">
        <v>125</v>
      </c>
      <c r="D114" s="9">
        <v>31411</v>
      </c>
      <c r="E114">
        <v>1564.2</v>
      </c>
      <c r="F114">
        <v>2023</v>
      </c>
      <c r="G114" t="s">
        <v>48</v>
      </c>
      <c r="H114" t="s">
        <v>29</v>
      </c>
      <c r="I114" t="s">
        <v>43</v>
      </c>
      <c r="J114" t="s">
        <v>62</v>
      </c>
      <c r="K114" t="s">
        <v>32</v>
      </c>
      <c r="L114" t="s">
        <v>63</v>
      </c>
      <c r="M114" s="9">
        <v>45124</v>
      </c>
      <c r="N114" t="s">
        <v>390</v>
      </c>
      <c r="O114" s="9">
        <v>45122</v>
      </c>
      <c r="P114" s="9">
        <v>45125</v>
      </c>
      <c r="Q114" t="s">
        <v>74</v>
      </c>
      <c r="R114" t="s">
        <v>386</v>
      </c>
      <c r="S114">
        <v>908634</v>
      </c>
      <c r="T114" t="s">
        <v>70</v>
      </c>
      <c r="U114" t="s">
        <v>71</v>
      </c>
      <c r="V114" t="s">
        <v>391</v>
      </c>
      <c r="W114">
        <v>5</v>
      </c>
      <c r="X114">
        <v>0</v>
      </c>
      <c r="Y114">
        <v>527.45000000000005</v>
      </c>
    </row>
    <row r="115" spans="1:25" x14ac:dyDescent="0.3">
      <c r="A115" t="s">
        <v>383</v>
      </c>
      <c r="B115" t="s">
        <v>384</v>
      </c>
      <c r="C115" t="s">
        <v>125</v>
      </c>
      <c r="D115" s="9">
        <v>31411</v>
      </c>
      <c r="E115">
        <v>1377.44</v>
      </c>
      <c r="F115">
        <v>2023</v>
      </c>
      <c r="G115" t="s">
        <v>48</v>
      </c>
      <c r="H115" t="s">
        <v>29</v>
      </c>
      <c r="I115" t="s">
        <v>43</v>
      </c>
      <c r="J115" t="s">
        <v>62</v>
      </c>
      <c r="K115" t="s">
        <v>32</v>
      </c>
      <c r="L115" t="s">
        <v>63</v>
      </c>
      <c r="M115" s="9">
        <v>45177</v>
      </c>
      <c r="N115" t="s">
        <v>392</v>
      </c>
      <c r="O115" s="9">
        <v>45175</v>
      </c>
      <c r="P115" s="9">
        <v>45178</v>
      </c>
      <c r="Q115" t="s">
        <v>41</v>
      </c>
      <c r="R115" t="s">
        <v>386</v>
      </c>
      <c r="S115">
        <v>513697</v>
      </c>
      <c r="T115" t="s">
        <v>70</v>
      </c>
      <c r="U115" t="s">
        <v>71</v>
      </c>
      <c r="V115" t="s">
        <v>393</v>
      </c>
      <c r="W115">
        <v>8</v>
      </c>
      <c r="X115">
        <v>0</v>
      </c>
      <c r="Y115">
        <v>300.48</v>
      </c>
    </row>
    <row r="116" spans="1:25" x14ac:dyDescent="0.3">
      <c r="A116" t="s">
        <v>383</v>
      </c>
      <c r="B116" t="s">
        <v>384</v>
      </c>
      <c r="C116" t="s">
        <v>125</v>
      </c>
      <c r="D116" s="9">
        <v>31411</v>
      </c>
      <c r="E116">
        <v>134.35</v>
      </c>
      <c r="F116">
        <v>2024</v>
      </c>
      <c r="G116" t="s">
        <v>87</v>
      </c>
      <c r="H116" t="s">
        <v>29</v>
      </c>
      <c r="I116" t="s">
        <v>43</v>
      </c>
      <c r="J116" t="s">
        <v>62</v>
      </c>
      <c r="K116" t="s">
        <v>32</v>
      </c>
      <c r="L116" t="s">
        <v>63</v>
      </c>
      <c r="M116" s="9">
        <v>45515</v>
      </c>
      <c r="N116" t="s">
        <v>394</v>
      </c>
      <c r="O116" s="9">
        <v>45513</v>
      </c>
      <c r="P116" s="9">
        <v>45517</v>
      </c>
      <c r="Q116" t="s">
        <v>41</v>
      </c>
      <c r="R116" t="s">
        <v>386</v>
      </c>
      <c r="S116">
        <v>324381</v>
      </c>
      <c r="T116" t="s">
        <v>45</v>
      </c>
      <c r="U116" t="s">
        <v>46</v>
      </c>
      <c r="V116" t="s">
        <v>395</v>
      </c>
      <c r="W116">
        <v>1</v>
      </c>
      <c r="X116">
        <v>0.15</v>
      </c>
      <c r="Y116">
        <v>9.9</v>
      </c>
    </row>
    <row r="117" spans="1:25" x14ac:dyDescent="0.3">
      <c r="A117" t="s">
        <v>383</v>
      </c>
      <c r="B117" t="s">
        <v>384</v>
      </c>
      <c r="C117" t="s">
        <v>125</v>
      </c>
      <c r="D117" s="9">
        <v>31411</v>
      </c>
      <c r="E117">
        <v>386.5</v>
      </c>
      <c r="F117">
        <v>2024</v>
      </c>
      <c r="G117" t="s">
        <v>48</v>
      </c>
      <c r="H117" t="s">
        <v>29</v>
      </c>
      <c r="I117" t="s">
        <v>61</v>
      </c>
      <c r="J117" t="s">
        <v>62</v>
      </c>
      <c r="K117" t="s">
        <v>32</v>
      </c>
      <c r="L117" t="s">
        <v>63</v>
      </c>
      <c r="M117" s="9">
        <v>45644</v>
      </c>
      <c r="N117" t="s">
        <v>396</v>
      </c>
      <c r="O117" s="9">
        <v>45644</v>
      </c>
      <c r="P117" s="9">
        <v>45646</v>
      </c>
      <c r="Q117" t="s">
        <v>121</v>
      </c>
      <c r="R117" t="s">
        <v>386</v>
      </c>
      <c r="S117">
        <v>768933</v>
      </c>
      <c r="T117" t="s">
        <v>204</v>
      </c>
      <c r="U117" t="s">
        <v>205</v>
      </c>
      <c r="V117" t="s">
        <v>397</v>
      </c>
      <c r="W117">
        <v>5</v>
      </c>
      <c r="X117">
        <v>0.1</v>
      </c>
      <c r="Y117">
        <v>105.23</v>
      </c>
    </row>
    <row r="118" spans="1:25" x14ac:dyDescent="0.3">
      <c r="A118" t="s">
        <v>398</v>
      </c>
      <c r="B118" t="s">
        <v>399</v>
      </c>
      <c r="C118" t="s">
        <v>271</v>
      </c>
      <c r="D118" s="9">
        <v>35551</v>
      </c>
      <c r="E118">
        <v>693.94</v>
      </c>
      <c r="F118">
        <v>2023</v>
      </c>
      <c r="G118" t="s">
        <v>28</v>
      </c>
      <c r="H118" t="s">
        <v>29</v>
      </c>
      <c r="I118" t="s">
        <v>43</v>
      </c>
      <c r="J118" t="s">
        <v>102</v>
      </c>
      <c r="K118" t="s">
        <v>32</v>
      </c>
      <c r="L118" t="s">
        <v>63</v>
      </c>
      <c r="M118" s="9">
        <v>45030</v>
      </c>
      <c r="N118" t="s">
        <v>400</v>
      </c>
      <c r="O118" s="9">
        <v>45029</v>
      </c>
      <c r="P118" s="9">
        <v>45034</v>
      </c>
      <c r="Q118" t="s">
        <v>41</v>
      </c>
      <c r="R118" t="s">
        <v>186</v>
      </c>
      <c r="S118">
        <v>600641</v>
      </c>
      <c r="T118" t="s">
        <v>70</v>
      </c>
      <c r="U118" t="s">
        <v>71</v>
      </c>
      <c r="V118" t="s">
        <v>401</v>
      </c>
      <c r="W118">
        <v>2</v>
      </c>
      <c r="X118">
        <v>0</v>
      </c>
      <c r="Y118">
        <v>35.78</v>
      </c>
    </row>
    <row r="119" spans="1:25" x14ac:dyDescent="0.3">
      <c r="A119" t="s">
        <v>398</v>
      </c>
      <c r="B119" t="s">
        <v>399</v>
      </c>
      <c r="C119" t="s">
        <v>271</v>
      </c>
      <c r="D119" s="9">
        <v>35551</v>
      </c>
      <c r="E119">
        <v>740.18</v>
      </c>
      <c r="F119">
        <v>2024</v>
      </c>
      <c r="G119" t="s">
        <v>87</v>
      </c>
      <c r="H119" t="s">
        <v>29</v>
      </c>
      <c r="I119" t="s">
        <v>49</v>
      </c>
      <c r="J119" t="s">
        <v>102</v>
      </c>
      <c r="K119" t="s">
        <v>32</v>
      </c>
      <c r="L119" t="s">
        <v>63</v>
      </c>
      <c r="M119" s="9">
        <v>45350</v>
      </c>
      <c r="N119" t="s">
        <v>402</v>
      </c>
      <c r="O119" s="9">
        <v>45350</v>
      </c>
      <c r="P119" s="9">
        <v>45351</v>
      </c>
      <c r="Q119" t="s">
        <v>35</v>
      </c>
      <c r="R119" t="s">
        <v>186</v>
      </c>
      <c r="S119">
        <v>283568</v>
      </c>
      <c r="T119" t="s">
        <v>109</v>
      </c>
      <c r="U119" t="s">
        <v>110</v>
      </c>
      <c r="V119" t="s">
        <v>403</v>
      </c>
      <c r="W119">
        <v>5</v>
      </c>
      <c r="X119">
        <v>0.15</v>
      </c>
      <c r="Y119">
        <v>50.15</v>
      </c>
    </row>
    <row r="120" spans="1:25" x14ac:dyDescent="0.3">
      <c r="A120" t="s">
        <v>404</v>
      </c>
      <c r="B120" t="s">
        <v>405</v>
      </c>
      <c r="C120" t="s">
        <v>27</v>
      </c>
      <c r="D120" s="9">
        <v>28551</v>
      </c>
      <c r="E120">
        <v>2204.1999999999998</v>
      </c>
      <c r="F120">
        <v>2023</v>
      </c>
      <c r="G120" t="s">
        <v>28</v>
      </c>
      <c r="H120" t="s">
        <v>29</v>
      </c>
      <c r="I120" t="s">
        <v>92</v>
      </c>
      <c r="J120" t="s">
        <v>143</v>
      </c>
      <c r="K120" t="s">
        <v>32</v>
      </c>
      <c r="L120" t="s">
        <v>144</v>
      </c>
      <c r="M120" s="9">
        <v>44964</v>
      </c>
      <c r="N120" t="s">
        <v>406</v>
      </c>
      <c r="O120" s="9">
        <v>44964</v>
      </c>
      <c r="P120" s="9">
        <v>44969</v>
      </c>
      <c r="Q120" t="s">
        <v>74</v>
      </c>
      <c r="R120" t="s">
        <v>146</v>
      </c>
      <c r="S120">
        <v>576419</v>
      </c>
      <c r="T120" t="s">
        <v>127</v>
      </c>
      <c r="U120" t="s">
        <v>128</v>
      </c>
      <c r="V120" t="s">
        <v>407</v>
      </c>
      <c r="W120">
        <v>5</v>
      </c>
      <c r="X120">
        <v>0</v>
      </c>
      <c r="Y120">
        <v>307.52</v>
      </c>
    </row>
    <row r="121" spans="1:25" x14ac:dyDescent="0.3">
      <c r="A121" t="s">
        <v>404</v>
      </c>
      <c r="B121" t="s">
        <v>405</v>
      </c>
      <c r="C121" t="s">
        <v>27</v>
      </c>
      <c r="D121" s="9">
        <v>28551</v>
      </c>
      <c r="E121">
        <v>3574.72</v>
      </c>
      <c r="F121">
        <v>2023</v>
      </c>
      <c r="G121" t="s">
        <v>48</v>
      </c>
      <c r="H121" t="s">
        <v>29</v>
      </c>
      <c r="I121" t="s">
        <v>49</v>
      </c>
      <c r="J121" t="s">
        <v>143</v>
      </c>
      <c r="K121" t="s">
        <v>32</v>
      </c>
      <c r="L121" t="s">
        <v>144</v>
      </c>
      <c r="M121" s="9">
        <v>45109</v>
      </c>
      <c r="N121" t="s">
        <v>408</v>
      </c>
      <c r="O121" s="9">
        <v>45107</v>
      </c>
      <c r="P121" s="9">
        <v>45111</v>
      </c>
      <c r="Q121" t="s">
        <v>35</v>
      </c>
      <c r="R121" t="s">
        <v>146</v>
      </c>
      <c r="S121">
        <v>446747</v>
      </c>
      <c r="T121" t="s">
        <v>51</v>
      </c>
      <c r="U121" t="s">
        <v>52</v>
      </c>
      <c r="V121" t="s">
        <v>409</v>
      </c>
      <c r="W121">
        <v>8</v>
      </c>
      <c r="X121">
        <v>0</v>
      </c>
      <c r="Y121">
        <v>1091.43</v>
      </c>
    </row>
    <row r="122" spans="1:25" x14ac:dyDescent="0.3">
      <c r="A122" t="s">
        <v>404</v>
      </c>
      <c r="B122" t="s">
        <v>405</v>
      </c>
      <c r="C122" t="s">
        <v>27</v>
      </c>
      <c r="D122" s="9">
        <v>28551</v>
      </c>
      <c r="E122">
        <v>1824.65</v>
      </c>
      <c r="F122">
        <v>2025</v>
      </c>
      <c r="G122" t="s">
        <v>48</v>
      </c>
      <c r="H122" t="s">
        <v>29</v>
      </c>
      <c r="I122" t="s">
        <v>61</v>
      </c>
      <c r="J122" t="s">
        <v>143</v>
      </c>
      <c r="K122" t="s">
        <v>32</v>
      </c>
      <c r="L122" t="s">
        <v>144</v>
      </c>
      <c r="M122" s="9">
        <v>45785</v>
      </c>
      <c r="N122" t="s">
        <v>410</v>
      </c>
      <c r="O122" s="9">
        <v>45784</v>
      </c>
      <c r="P122" s="9">
        <v>45787</v>
      </c>
      <c r="Q122" t="s">
        <v>41</v>
      </c>
      <c r="R122" t="s">
        <v>146</v>
      </c>
      <c r="S122">
        <v>967161</v>
      </c>
      <c r="T122" t="s">
        <v>113</v>
      </c>
      <c r="U122" t="s">
        <v>114</v>
      </c>
      <c r="V122" t="s">
        <v>411</v>
      </c>
      <c r="W122">
        <v>5</v>
      </c>
      <c r="X122">
        <v>0</v>
      </c>
      <c r="Y122">
        <v>494.45</v>
      </c>
    </row>
    <row r="123" spans="1:25" x14ac:dyDescent="0.3">
      <c r="A123" t="s">
        <v>412</v>
      </c>
      <c r="B123" t="s">
        <v>399</v>
      </c>
      <c r="C123" t="s">
        <v>60</v>
      </c>
      <c r="D123" s="9">
        <v>35534</v>
      </c>
      <c r="E123">
        <v>747.54</v>
      </c>
      <c r="F123">
        <v>2023</v>
      </c>
      <c r="G123" t="s">
        <v>28</v>
      </c>
      <c r="H123" t="s">
        <v>29</v>
      </c>
      <c r="I123" t="s">
        <v>49</v>
      </c>
      <c r="J123" t="s">
        <v>31</v>
      </c>
      <c r="K123" t="s">
        <v>32</v>
      </c>
      <c r="L123" t="s">
        <v>63</v>
      </c>
      <c r="M123" s="9">
        <v>45016</v>
      </c>
      <c r="N123" t="s">
        <v>413</v>
      </c>
      <c r="O123" s="9">
        <v>45015</v>
      </c>
      <c r="P123" s="9">
        <v>45019</v>
      </c>
      <c r="Q123" t="s">
        <v>74</v>
      </c>
      <c r="R123" t="s">
        <v>36</v>
      </c>
      <c r="S123">
        <v>445637</v>
      </c>
      <c r="T123" t="s">
        <v>109</v>
      </c>
      <c r="U123" t="s">
        <v>110</v>
      </c>
      <c r="V123" t="s">
        <v>414</v>
      </c>
      <c r="W123">
        <v>3</v>
      </c>
      <c r="X123">
        <v>0</v>
      </c>
      <c r="Y123">
        <v>38.909999999999997</v>
      </c>
    </row>
    <row r="124" spans="1:25" x14ac:dyDescent="0.3">
      <c r="A124" t="s">
        <v>412</v>
      </c>
      <c r="B124" t="s">
        <v>399</v>
      </c>
      <c r="C124" t="s">
        <v>60</v>
      </c>
      <c r="D124" s="9">
        <v>35534</v>
      </c>
      <c r="E124">
        <v>216.66</v>
      </c>
      <c r="F124">
        <v>2023</v>
      </c>
      <c r="G124" t="s">
        <v>87</v>
      </c>
      <c r="H124" t="s">
        <v>29</v>
      </c>
      <c r="I124" t="s">
        <v>43</v>
      </c>
      <c r="J124" t="s">
        <v>31</v>
      </c>
      <c r="K124" t="s">
        <v>32</v>
      </c>
      <c r="L124" t="s">
        <v>63</v>
      </c>
      <c r="M124" s="9">
        <v>45262</v>
      </c>
      <c r="N124" t="s">
        <v>415</v>
      </c>
      <c r="O124" s="9">
        <v>45262</v>
      </c>
      <c r="P124" s="9">
        <v>45264</v>
      </c>
      <c r="Q124" t="s">
        <v>35</v>
      </c>
      <c r="R124" t="s">
        <v>36</v>
      </c>
      <c r="S124">
        <v>588002</v>
      </c>
      <c r="T124" t="s">
        <v>70</v>
      </c>
      <c r="U124" t="s">
        <v>71</v>
      </c>
      <c r="V124" t="s">
        <v>416</v>
      </c>
      <c r="W124">
        <v>10</v>
      </c>
      <c r="X124">
        <v>0.15</v>
      </c>
      <c r="Y124">
        <v>34.200000000000003</v>
      </c>
    </row>
    <row r="125" spans="1:25" x14ac:dyDescent="0.3">
      <c r="A125" t="s">
        <v>412</v>
      </c>
      <c r="B125" t="s">
        <v>399</v>
      </c>
      <c r="C125" t="s">
        <v>60</v>
      </c>
      <c r="D125" s="9">
        <v>35534</v>
      </c>
      <c r="E125">
        <v>3542.64</v>
      </c>
      <c r="F125">
        <v>2024</v>
      </c>
      <c r="G125" t="s">
        <v>28</v>
      </c>
      <c r="H125" t="s">
        <v>29</v>
      </c>
      <c r="I125" t="s">
        <v>43</v>
      </c>
      <c r="J125" t="s">
        <v>31</v>
      </c>
      <c r="K125" t="s">
        <v>32</v>
      </c>
      <c r="L125" t="s">
        <v>63</v>
      </c>
      <c r="M125" s="9">
        <v>45338</v>
      </c>
      <c r="N125" t="s">
        <v>417</v>
      </c>
      <c r="O125" s="9">
        <v>45337</v>
      </c>
      <c r="P125" s="9">
        <v>45338</v>
      </c>
      <c r="Q125" t="s">
        <v>121</v>
      </c>
      <c r="R125" t="s">
        <v>36</v>
      </c>
      <c r="S125">
        <v>329772</v>
      </c>
      <c r="T125" t="s">
        <v>45</v>
      </c>
      <c r="U125" t="s">
        <v>46</v>
      </c>
      <c r="V125" t="s">
        <v>418</v>
      </c>
      <c r="W125">
        <v>9</v>
      </c>
      <c r="X125">
        <v>0.15</v>
      </c>
      <c r="Y125">
        <v>995.31</v>
      </c>
    </row>
    <row r="126" spans="1:25" x14ac:dyDescent="0.3">
      <c r="A126" t="s">
        <v>419</v>
      </c>
      <c r="B126" t="s">
        <v>183</v>
      </c>
      <c r="C126" t="s">
        <v>248</v>
      </c>
      <c r="D126" s="9">
        <v>33987</v>
      </c>
      <c r="E126">
        <v>2915.71</v>
      </c>
      <c r="F126">
        <v>2023</v>
      </c>
      <c r="G126" t="s">
        <v>87</v>
      </c>
      <c r="H126" t="s">
        <v>163</v>
      </c>
      <c r="I126" t="s">
        <v>49</v>
      </c>
      <c r="J126" t="s">
        <v>143</v>
      </c>
      <c r="K126" t="s">
        <v>32</v>
      </c>
      <c r="L126" t="s">
        <v>33</v>
      </c>
      <c r="M126" s="9">
        <v>45085</v>
      </c>
      <c r="N126" t="s">
        <v>420</v>
      </c>
      <c r="O126" s="9">
        <v>45083</v>
      </c>
      <c r="P126" s="9">
        <v>45085</v>
      </c>
      <c r="Q126" t="s">
        <v>35</v>
      </c>
      <c r="R126" t="s">
        <v>421</v>
      </c>
      <c r="S126">
        <v>651033</v>
      </c>
      <c r="T126" t="s">
        <v>51</v>
      </c>
      <c r="U126" t="s">
        <v>52</v>
      </c>
      <c r="V126" t="s">
        <v>422</v>
      </c>
      <c r="W126">
        <v>9</v>
      </c>
      <c r="X126">
        <v>0.2</v>
      </c>
      <c r="Y126">
        <v>336.83</v>
      </c>
    </row>
    <row r="127" spans="1:25" x14ac:dyDescent="0.3">
      <c r="A127" t="s">
        <v>419</v>
      </c>
      <c r="B127" t="s">
        <v>183</v>
      </c>
      <c r="C127" t="s">
        <v>248</v>
      </c>
      <c r="D127" s="9">
        <v>33987</v>
      </c>
      <c r="E127">
        <v>590.88</v>
      </c>
      <c r="F127">
        <v>2024</v>
      </c>
      <c r="G127" t="s">
        <v>87</v>
      </c>
      <c r="H127" t="s">
        <v>163</v>
      </c>
      <c r="I127" t="s">
        <v>92</v>
      </c>
      <c r="J127" t="s">
        <v>143</v>
      </c>
      <c r="K127" t="s">
        <v>32</v>
      </c>
      <c r="L127" t="s">
        <v>33</v>
      </c>
      <c r="M127" s="9">
        <v>45310</v>
      </c>
      <c r="N127" t="s">
        <v>423</v>
      </c>
      <c r="O127" s="9">
        <v>45309</v>
      </c>
      <c r="P127" s="9">
        <v>45314</v>
      </c>
      <c r="Q127" t="s">
        <v>121</v>
      </c>
      <c r="R127" t="s">
        <v>421</v>
      </c>
      <c r="S127">
        <v>272529</v>
      </c>
      <c r="T127" t="s">
        <v>94</v>
      </c>
      <c r="U127" t="s">
        <v>95</v>
      </c>
      <c r="V127" t="s">
        <v>424</v>
      </c>
      <c r="W127">
        <v>10</v>
      </c>
      <c r="X127">
        <v>0.2</v>
      </c>
      <c r="Y127">
        <v>126.62</v>
      </c>
    </row>
    <row r="128" spans="1:25" x14ac:dyDescent="0.3">
      <c r="A128" t="s">
        <v>419</v>
      </c>
      <c r="B128" t="s">
        <v>183</v>
      </c>
      <c r="C128" t="s">
        <v>248</v>
      </c>
      <c r="D128" s="9">
        <v>33987</v>
      </c>
      <c r="E128">
        <v>589.12</v>
      </c>
      <c r="F128">
        <v>2024</v>
      </c>
      <c r="G128" t="s">
        <v>48</v>
      </c>
      <c r="H128" t="s">
        <v>163</v>
      </c>
      <c r="I128" t="s">
        <v>43</v>
      </c>
      <c r="J128" t="s">
        <v>143</v>
      </c>
      <c r="K128" t="s">
        <v>32</v>
      </c>
      <c r="L128" t="s">
        <v>33</v>
      </c>
      <c r="M128" s="9">
        <v>45353</v>
      </c>
      <c r="N128" t="s">
        <v>425</v>
      </c>
      <c r="O128" s="9">
        <v>45352</v>
      </c>
      <c r="P128" s="9">
        <v>45353</v>
      </c>
      <c r="Q128" t="s">
        <v>41</v>
      </c>
      <c r="R128" t="s">
        <v>421</v>
      </c>
      <c r="S128">
        <v>238353</v>
      </c>
      <c r="T128" t="s">
        <v>70</v>
      </c>
      <c r="U128" t="s">
        <v>71</v>
      </c>
      <c r="V128" t="s">
        <v>426</v>
      </c>
      <c r="W128">
        <v>2</v>
      </c>
      <c r="X128">
        <v>0.15</v>
      </c>
      <c r="Y128">
        <v>132.52000000000001</v>
      </c>
    </row>
    <row r="129" spans="1:25" x14ac:dyDescent="0.3">
      <c r="A129" t="s">
        <v>419</v>
      </c>
      <c r="B129" t="s">
        <v>183</v>
      </c>
      <c r="C129" t="s">
        <v>248</v>
      </c>
      <c r="D129" s="9">
        <v>33987</v>
      </c>
      <c r="E129">
        <v>453.25</v>
      </c>
      <c r="F129">
        <v>2024</v>
      </c>
      <c r="G129" t="s">
        <v>28</v>
      </c>
      <c r="H129" t="s">
        <v>163</v>
      </c>
      <c r="I129" t="s">
        <v>30</v>
      </c>
      <c r="J129" t="s">
        <v>143</v>
      </c>
      <c r="K129" t="s">
        <v>32</v>
      </c>
      <c r="L129" t="s">
        <v>33</v>
      </c>
      <c r="M129" s="9">
        <v>45392</v>
      </c>
      <c r="N129" t="s">
        <v>427</v>
      </c>
      <c r="O129" s="9">
        <v>45392</v>
      </c>
      <c r="P129" s="9">
        <v>45395</v>
      </c>
      <c r="Q129" t="s">
        <v>74</v>
      </c>
      <c r="R129" t="s">
        <v>421</v>
      </c>
      <c r="S129">
        <v>956113</v>
      </c>
      <c r="T129" t="s">
        <v>37</v>
      </c>
      <c r="U129" t="s">
        <v>38</v>
      </c>
      <c r="V129" t="s">
        <v>428</v>
      </c>
      <c r="W129">
        <v>10</v>
      </c>
      <c r="X129">
        <v>0.05</v>
      </c>
      <c r="Y129">
        <v>114.14</v>
      </c>
    </row>
    <row r="130" spans="1:25" x14ac:dyDescent="0.3">
      <c r="A130" t="s">
        <v>419</v>
      </c>
      <c r="B130" t="s">
        <v>183</v>
      </c>
      <c r="C130" t="s">
        <v>248</v>
      </c>
      <c r="D130" s="9">
        <v>33987</v>
      </c>
      <c r="E130">
        <v>83.48</v>
      </c>
      <c r="F130">
        <v>2024</v>
      </c>
      <c r="G130" t="s">
        <v>48</v>
      </c>
      <c r="H130" t="s">
        <v>163</v>
      </c>
      <c r="I130" t="s">
        <v>78</v>
      </c>
      <c r="J130" t="s">
        <v>143</v>
      </c>
      <c r="K130" t="s">
        <v>32</v>
      </c>
      <c r="L130" t="s">
        <v>33</v>
      </c>
      <c r="M130" s="9">
        <v>45416</v>
      </c>
      <c r="N130" t="s">
        <v>429</v>
      </c>
      <c r="O130" s="9">
        <v>45416</v>
      </c>
      <c r="P130" s="9">
        <v>45421</v>
      </c>
      <c r="Q130" t="s">
        <v>41</v>
      </c>
      <c r="R130" t="s">
        <v>421</v>
      </c>
      <c r="S130">
        <v>133276</v>
      </c>
      <c r="T130" t="s">
        <v>89</v>
      </c>
      <c r="U130" t="s">
        <v>90</v>
      </c>
      <c r="V130" t="s">
        <v>430</v>
      </c>
      <c r="W130">
        <v>2</v>
      </c>
      <c r="X130">
        <v>0</v>
      </c>
      <c r="Y130">
        <v>21.71</v>
      </c>
    </row>
    <row r="131" spans="1:25" x14ac:dyDescent="0.3">
      <c r="A131" t="s">
        <v>419</v>
      </c>
      <c r="B131" t="s">
        <v>183</v>
      </c>
      <c r="C131" t="s">
        <v>248</v>
      </c>
      <c r="D131" s="9">
        <v>33987</v>
      </c>
      <c r="E131">
        <v>988.38</v>
      </c>
      <c r="F131">
        <v>2024</v>
      </c>
      <c r="G131" t="s">
        <v>28</v>
      </c>
      <c r="H131" t="s">
        <v>163</v>
      </c>
      <c r="I131" t="s">
        <v>43</v>
      </c>
      <c r="J131" t="s">
        <v>143</v>
      </c>
      <c r="K131" t="s">
        <v>32</v>
      </c>
      <c r="L131" t="s">
        <v>33</v>
      </c>
      <c r="M131" s="9">
        <v>45549</v>
      </c>
      <c r="N131" t="s">
        <v>431</v>
      </c>
      <c r="O131" s="9">
        <v>45547</v>
      </c>
      <c r="P131" s="9">
        <v>45551</v>
      </c>
      <c r="Q131" t="s">
        <v>41</v>
      </c>
      <c r="R131" t="s">
        <v>421</v>
      </c>
      <c r="S131">
        <v>495833</v>
      </c>
      <c r="T131" t="s">
        <v>153</v>
      </c>
      <c r="U131" t="s">
        <v>154</v>
      </c>
      <c r="V131" t="s">
        <v>432</v>
      </c>
      <c r="W131">
        <v>3</v>
      </c>
      <c r="X131">
        <v>0.15</v>
      </c>
      <c r="Y131">
        <v>240.93</v>
      </c>
    </row>
    <row r="132" spans="1:25" x14ac:dyDescent="0.3">
      <c r="A132" t="s">
        <v>419</v>
      </c>
      <c r="B132" t="s">
        <v>183</v>
      </c>
      <c r="C132" t="s">
        <v>248</v>
      </c>
      <c r="D132" s="9">
        <v>33987</v>
      </c>
      <c r="E132">
        <v>603.65</v>
      </c>
      <c r="F132">
        <v>2025</v>
      </c>
      <c r="G132" t="s">
        <v>28</v>
      </c>
      <c r="H132" t="s">
        <v>163</v>
      </c>
      <c r="I132" t="s">
        <v>92</v>
      </c>
      <c r="J132" t="s">
        <v>143</v>
      </c>
      <c r="K132" t="s">
        <v>32</v>
      </c>
      <c r="L132" t="s">
        <v>33</v>
      </c>
      <c r="M132" s="9">
        <v>45694</v>
      </c>
      <c r="N132" t="s">
        <v>433</v>
      </c>
      <c r="O132" s="9">
        <v>45692</v>
      </c>
      <c r="P132" s="9">
        <v>45694</v>
      </c>
      <c r="Q132" t="s">
        <v>121</v>
      </c>
      <c r="R132" t="s">
        <v>421</v>
      </c>
      <c r="S132">
        <v>863214</v>
      </c>
      <c r="T132" t="s">
        <v>187</v>
      </c>
      <c r="U132" t="s">
        <v>188</v>
      </c>
      <c r="V132" t="s">
        <v>434</v>
      </c>
      <c r="W132">
        <v>9</v>
      </c>
      <c r="X132">
        <v>0.2</v>
      </c>
      <c r="Y132">
        <v>93.16</v>
      </c>
    </row>
    <row r="133" spans="1:25" x14ac:dyDescent="0.3">
      <c r="A133" t="s">
        <v>435</v>
      </c>
      <c r="B133" t="s">
        <v>436</v>
      </c>
      <c r="C133" t="s">
        <v>437</v>
      </c>
      <c r="D133" s="9">
        <v>26389</v>
      </c>
      <c r="E133">
        <v>2906.47</v>
      </c>
      <c r="F133">
        <v>2023</v>
      </c>
      <c r="G133" t="s">
        <v>48</v>
      </c>
      <c r="H133" t="s">
        <v>29</v>
      </c>
      <c r="I133" t="s">
        <v>30</v>
      </c>
      <c r="J133" t="s">
        <v>62</v>
      </c>
      <c r="K133" t="s">
        <v>32</v>
      </c>
      <c r="L133" t="s">
        <v>63</v>
      </c>
      <c r="M133" s="9">
        <v>44931</v>
      </c>
      <c r="N133" t="s">
        <v>438</v>
      </c>
      <c r="O133" s="9">
        <v>44930</v>
      </c>
      <c r="P133" s="9">
        <v>44932</v>
      </c>
      <c r="Q133" t="s">
        <v>35</v>
      </c>
      <c r="R133" t="s">
        <v>65</v>
      </c>
      <c r="S133">
        <v>133782</v>
      </c>
      <c r="T133" t="s">
        <v>37</v>
      </c>
      <c r="U133" t="s">
        <v>38</v>
      </c>
      <c r="V133" t="s">
        <v>439</v>
      </c>
      <c r="W133">
        <v>7</v>
      </c>
      <c r="X133">
        <v>0</v>
      </c>
      <c r="Y133">
        <v>546.96</v>
      </c>
    </row>
    <row r="134" spans="1:25" x14ac:dyDescent="0.3">
      <c r="A134" t="s">
        <v>435</v>
      </c>
      <c r="B134" t="s">
        <v>436</v>
      </c>
      <c r="C134" t="s">
        <v>437</v>
      </c>
      <c r="D134" s="9">
        <v>26389</v>
      </c>
      <c r="E134">
        <v>135.52000000000001</v>
      </c>
      <c r="F134">
        <v>2023</v>
      </c>
      <c r="G134" t="s">
        <v>87</v>
      </c>
      <c r="H134" t="s">
        <v>29</v>
      </c>
      <c r="I134" t="s">
        <v>49</v>
      </c>
      <c r="J134" t="s">
        <v>62</v>
      </c>
      <c r="K134" t="s">
        <v>32</v>
      </c>
      <c r="L134" t="s">
        <v>63</v>
      </c>
      <c r="M134" s="9">
        <v>44951</v>
      </c>
      <c r="N134" t="s">
        <v>440</v>
      </c>
      <c r="O134" s="9">
        <v>44950</v>
      </c>
      <c r="P134" s="9">
        <v>44951</v>
      </c>
      <c r="Q134" t="s">
        <v>35</v>
      </c>
      <c r="R134" t="s">
        <v>65</v>
      </c>
      <c r="S134">
        <v>356622</v>
      </c>
      <c r="T134" t="s">
        <v>84</v>
      </c>
      <c r="U134" t="s">
        <v>85</v>
      </c>
      <c r="V134" t="s">
        <v>352</v>
      </c>
      <c r="W134">
        <v>1</v>
      </c>
      <c r="X134">
        <v>0</v>
      </c>
      <c r="Y134">
        <v>10.88</v>
      </c>
    </row>
    <row r="135" spans="1:25" x14ac:dyDescent="0.3">
      <c r="A135" t="s">
        <v>435</v>
      </c>
      <c r="B135" t="s">
        <v>436</v>
      </c>
      <c r="C135" t="s">
        <v>437</v>
      </c>
      <c r="D135" s="9">
        <v>26389</v>
      </c>
      <c r="E135">
        <v>1059.8399999999999</v>
      </c>
      <c r="F135">
        <v>2023</v>
      </c>
      <c r="G135" t="s">
        <v>87</v>
      </c>
      <c r="H135" t="s">
        <v>29</v>
      </c>
      <c r="I135" t="s">
        <v>49</v>
      </c>
      <c r="J135" t="s">
        <v>62</v>
      </c>
      <c r="K135" t="s">
        <v>32</v>
      </c>
      <c r="L135" t="s">
        <v>63</v>
      </c>
      <c r="M135" s="9">
        <v>45232</v>
      </c>
      <c r="N135" t="s">
        <v>441</v>
      </c>
      <c r="O135" s="9">
        <v>45232</v>
      </c>
      <c r="P135" s="9">
        <v>45233</v>
      </c>
      <c r="Q135" t="s">
        <v>74</v>
      </c>
      <c r="R135" t="s">
        <v>65</v>
      </c>
      <c r="S135">
        <v>345536</v>
      </c>
      <c r="T135" t="s">
        <v>109</v>
      </c>
      <c r="U135" t="s">
        <v>110</v>
      </c>
      <c r="V135" t="s">
        <v>442</v>
      </c>
      <c r="W135">
        <v>8</v>
      </c>
      <c r="X135">
        <v>0</v>
      </c>
      <c r="Y135">
        <v>292.85000000000002</v>
      </c>
    </row>
    <row r="136" spans="1:25" x14ac:dyDescent="0.3">
      <c r="A136" t="s">
        <v>435</v>
      </c>
      <c r="B136" t="s">
        <v>436</v>
      </c>
      <c r="C136" t="s">
        <v>437</v>
      </c>
      <c r="D136" s="9">
        <v>26389</v>
      </c>
      <c r="E136">
        <v>2609.5</v>
      </c>
      <c r="F136">
        <v>2024</v>
      </c>
      <c r="G136" t="s">
        <v>48</v>
      </c>
      <c r="H136" t="s">
        <v>29</v>
      </c>
      <c r="I136" t="s">
        <v>49</v>
      </c>
      <c r="J136" t="s">
        <v>62</v>
      </c>
      <c r="K136" t="s">
        <v>32</v>
      </c>
      <c r="L136" t="s">
        <v>63</v>
      </c>
      <c r="M136" s="9">
        <v>45402</v>
      </c>
      <c r="N136" t="s">
        <v>443</v>
      </c>
      <c r="O136" s="9">
        <v>45401</v>
      </c>
      <c r="P136" s="9">
        <v>45403</v>
      </c>
      <c r="Q136" t="s">
        <v>121</v>
      </c>
      <c r="R136" t="s">
        <v>65</v>
      </c>
      <c r="S136">
        <v>533649</v>
      </c>
      <c r="T136" t="s">
        <v>51</v>
      </c>
      <c r="U136" t="s">
        <v>52</v>
      </c>
      <c r="V136" t="s">
        <v>444</v>
      </c>
      <c r="W136">
        <v>10</v>
      </c>
      <c r="X136">
        <v>0.15</v>
      </c>
      <c r="Y136">
        <v>771.15</v>
      </c>
    </row>
    <row r="137" spans="1:25" x14ac:dyDescent="0.3">
      <c r="A137" t="s">
        <v>435</v>
      </c>
      <c r="B137" t="s">
        <v>436</v>
      </c>
      <c r="C137" t="s">
        <v>437</v>
      </c>
      <c r="D137" s="9">
        <v>26389</v>
      </c>
      <c r="E137">
        <v>3635.97</v>
      </c>
      <c r="F137">
        <v>2024</v>
      </c>
      <c r="G137" t="s">
        <v>28</v>
      </c>
      <c r="H137" t="s">
        <v>29</v>
      </c>
      <c r="I137" t="s">
        <v>43</v>
      </c>
      <c r="J137" t="s">
        <v>62</v>
      </c>
      <c r="K137" t="s">
        <v>32</v>
      </c>
      <c r="L137" t="s">
        <v>63</v>
      </c>
      <c r="M137" s="9">
        <v>45620</v>
      </c>
      <c r="N137" t="s">
        <v>445</v>
      </c>
      <c r="O137" s="9">
        <v>45616</v>
      </c>
      <c r="P137" s="9">
        <v>45620</v>
      </c>
      <c r="Q137" t="s">
        <v>35</v>
      </c>
      <c r="R137" t="s">
        <v>65</v>
      </c>
      <c r="S137">
        <v>461145</v>
      </c>
      <c r="T137" t="s">
        <v>153</v>
      </c>
      <c r="U137" t="s">
        <v>154</v>
      </c>
      <c r="V137" t="s">
        <v>446</v>
      </c>
      <c r="W137">
        <v>9</v>
      </c>
      <c r="X137">
        <v>0.15</v>
      </c>
      <c r="Y137">
        <v>1176.1400000000001</v>
      </c>
    </row>
    <row r="138" spans="1:25" x14ac:dyDescent="0.3">
      <c r="A138" t="s">
        <v>435</v>
      </c>
      <c r="B138" t="s">
        <v>436</v>
      </c>
      <c r="C138" t="s">
        <v>437</v>
      </c>
      <c r="D138" s="9">
        <v>26389</v>
      </c>
      <c r="E138">
        <v>1479.06</v>
      </c>
      <c r="F138">
        <v>2025</v>
      </c>
      <c r="G138" t="s">
        <v>48</v>
      </c>
      <c r="H138" t="s">
        <v>29</v>
      </c>
      <c r="I138" t="s">
        <v>49</v>
      </c>
      <c r="J138" t="s">
        <v>62</v>
      </c>
      <c r="K138" t="s">
        <v>32</v>
      </c>
      <c r="L138" t="s">
        <v>63</v>
      </c>
      <c r="M138" s="9">
        <v>45666</v>
      </c>
      <c r="N138" t="s">
        <v>447</v>
      </c>
      <c r="O138" s="9">
        <v>45663</v>
      </c>
      <c r="P138" s="9">
        <v>45666</v>
      </c>
      <c r="Q138" t="s">
        <v>41</v>
      </c>
      <c r="R138" t="s">
        <v>65</v>
      </c>
      <c r="S138">
        <v>352673</v>
      </c>
      <c r="T138" t="s">
        <v>51</v>
      </c>
      <c r="U138" t="s">
        <v>52</v>
      </c>
      <c r="V138" t="s">
        <v>448</v>
      </c>
      <c r="W138">
        <v>9</v>
      </c>
      <c r="X138">
        <v>0.05</v>
      </c>
      <c r="Y138">
        <v>255.1</v>
      </c>
    </row>
    <row r="139" spans="1:25" x14ac:dyDescent="0.3">
      <c r="A139" t="s">
        <v>435</v>
      </c>
      <c r="B139" t="s">
        <v>436</v>
      </c>
      <c r="C139" t="s">
        <v>437</v>
      </c>
      <c r="D139" s="9">
        <v>26389</v>
      </c>
      <c r="E139">
        <v>1220.31</v>
      </c>
      <c r="F139">
        <v>2025</v>
      </c>
      <c r="G139" t="s">
        <v>87</v>
      </c>
      <c r="H139" t="s">
        <v>29</v>
      </c>
      <c r="I139" t="s">
        <v>61</v>
      </c>
      <c r="J139" t="s">
        <v>62</v>
      </c>
      <c r="K139" t="s">
        <v>32</v>
      </c>
      <c r="L139" t="s">
        <v>63</v>
      </c>
      <c r="M139" s="9">
        <v>45705</v>
      </c>
      <c r="N139" t="s">
        <v>449</v>
      </c>
      <c r="O139" s="9">
        <v>45701</v>
      </c>
      <c r="P139" s="9">
        <v>45705</v>
      </c>
      <c r="Q139" t="s">
        <v>121</v>
      </c>
      <c r="R139" t="s">
        <v>65</v>
      </c>
      <c r="S139">
        <v>507286</v>
      </c>
      <c r="T139" t="s">
        <v>204</v>
      </c>
      <c r="U139" t="s">
        <v>205</v>
      </c>
      <c r="V139" t="s">
        <v>450</v>
      </c>
      <c r="W139">
        <v>3</v>
      </c>
      <c r="X139">
        <v>0</v>
      </c>
      <c r="Y139">
        <v>266.89999999999998</v>
      </c>
    </row>
    <row r="140" spans="1:25" x14ac:dyDescent="0.3">
      <c r="A140" t="s">
        <v>435</v>
      </c>
      <c r="B140" t="s">
        <v>436</v>
      </c>
      <c r="C140" t="s">
        <v>437</v>
      </c>
      <c r="D140" s="9">
        <v>26389</v>
      </c>
      <c r="E140">
        <v>1883.39</v>
      </c>
      <c r="F140">
        <v>2025</v>
      </c>
      <c r="G140" t="s">
        <v>48</v>
      </c>
      <c r="H140" t="s">
        <v>29</v>
      </c>
      <c r="I140" t="s">
        <v>61</v>
      </c>
      <c r="J140" t="s">
        <v>62</v>
      </c>
      <c r="K140" t="s">
        <v>32</v>
      </c>
      <c r="L140" t="s">
        <v>63</v>
      </c>
      <c r="M140" s="9">
        <v>45781</v>
      </c>
      <c r="N140" t="s">
        <v>451</v>
      </c>
      <c r="O140" s="9">
        <v>45781</v>
      </c>
      <c r="P140" s="9">
        <v>45782</v>
      </c>
      <c r="Q140" t="s">
        <v>74</v>
      </c>
      <c r="R140" t="s">
        <v>65</v>
      </c>
      <c r="S140">
        <v>495489</v>
      </c>
      <c r="T140" t="s">
        <v>204</v>
      </c>
      <c r="U140" t="s">
        <v>205</v>
      </c>
      <c r="V140" t="s">
        <v>452</v>
      </c>
      <c r="W140">
        <v>6</v>
      </c>
      <c r="X140">
        <v>0.05</v>
      </c>
      <c r="Y140">
        <v>572.80999999999995</v>
      </c>
    </row>
    <row r="141" spans="1:25" x14ac:dyDescent="0.3">
      <c r="A141" t="s">
        <v>453</v>
      </c>
      <c r="B141" t="s">
        <v>454</v>
      </c>
      <c r="C141" t="s">
        <v>455</v>
      </c>
      <c r="D141" s="9">
        <v>24062</v>
      </c>
      <c r="E141">
        <v>1117.53</v>
      </c>
      <c r="F141">
        <v>2023</v>
      </c>
      <c r="G141" t="s">
        <v>48</v>
      </c>
      <c r="H141" t="s">
        <v>29</v>
      </c>
      <c r="I141" t="s">
        <v>30</v>
      </c>
      <c r="J141" t="s">
        <v>102</v>
      </c>
      <c r="K141" t="s">
        <v>32</v>
      </c>
      <c r="L141" t="s">
        <v>144</v>
      </c>
      <c r="M141" s="9">
        <v>44969</v>
      </c>
      <c r="N141" t="s">
        <v>456</v>
      </c>
      <c r="O141" s="9">
        <v>44967</v>
      </c>
      <c r="P141" s="9">
        <v>44970</v>
      </c>
      <c r="Q141" t="s">
        <v>121</v>
      </c>
      <c r="R141" t="s">
        <v>186</v>
      </c>
      <c r="S141">
        <v>299254</v>
      </c>
      <c r="T141" t="s">
        <v>55</v>
      </c>
      <c r="U141" t="s">
        <v>56</v>
      </c>
      <c r="V141" t="s">
        <v>457</v>
      </c>
      <c r="W141">
        <v>9</v>
      </c>
      <c r="X141">
        <v>0</v>
      </c>
      <c r="Y141">
        <v>347.38</v>
      </c>
    </row>
    <row r="142" spans="1:25" x14ac:dyDescent="0.3">
      <c r="A142" t="s">
        <v>453</v>
      </c>
      <c r="B142" t="s">
        <v>454</v>
      </c>
      <c r="C142" t="s">
        <v>455</v>
      </c>
      <c r="D142" s="9">
        <v>24062</v>
      </c>
      <c r="E142">
        <v>3120.72</v>
      </c>
      <c r="F142">
        <v>2023</v>
      </c>
      <c r="G142" t="s">
        <v>48</v>
      </c>
      <c r="H142" t="s">
        <v>29</v>
      </c>
      <c r="I142" t="s">
        <v>49</v>
      </c>
      <c r="J142" t="s">
        <v>102</v>
      </c>
      <c r="K142" t="s">
        <v>32</v>
      </c>
      <c r="L142" t="s">
        <v>144</v>
      </c>
      <c r="M142" s="9">
        <v>45002</v>
      </c>
      <c r="N142" t="s">
        <v>458</v>
      </c>
      <c r="O142" s="9">
        <v>45001</v>
      </c>
      <c r="P142" s="9">
        <v>45003</v>
      </c>
      <c r="Q142" t="s">
        <v>74</v>
      </c>
      <c r="R142" t="s">
        <v>186</v>
      </c>
      <c r="S142">
        <v>913185</v>
      </c>
      <c r="T142" t="s">
        <v>109</v>
      </c>
      <c r="U142" t="s">
        <v>110</v>
      </c>
      <c r="V142" t="s">
        <v>459</v>
      </c>
      <c r="W142">
        <v>8</v>
      </c>
      <c r="X142">
        <v>0.15</v>
      </c>
      <c r="Y142">
        <v>721.89</v>
      </c>
    </row>
    <row r="143" spans="1:25" x14ac:dyDescent="0.3">
      <c r="A143" t="s">
        <v>453</v>
      </c>
      <c r="B143" t="s">
        <v>454</v>
      </c>
      <c r="C143" t="s">
        <v>455</v>
      </c>
      <c r="D143" s="9">
        <v>24062</v>
      </c>
      <c r="E143">
        <v>2982.51</v>
      </c>
      <c r="F143">
        <v>2023</v>
      </c>
      <c r="G143" t="s">
        <v>28</v>
      </c>
      <c r="H143" t="s">
        <v>29</v>
      </c>
      <c r="I143" t="s">
        <v>43</v>
      </c>
      <c r="J143" t="s">
        <v>102</v>
      </c>
      <c r="K143" t="s">
        <v>32</v>
      </c>
      <c r="L143" t="s">
        <v>144</v>
      </c>
      <c r="M143" s="9">
        <v>45122</v>
      </c>
      <c r="N143" t="s">
        <v>460</v>
      </c>
      <c r="O143" s="9">
        <v>45119</v>
      </c>
      <c r="P143" s="9">
        <v>45124</v>
      </c>
      <c r="Q143" t="s">
        <v>35</v>
      </c>
      <c r="R143" t="s">
        <v>186</v>
      </c>
      <c r="S143">
        <v>941814</v>
      </c>
      <c r="T143" t="s">
        <v>153</v>
      </c>
      <c r="U143" t="s">
        <v>154</v>
      </c>
      <c r="V143" t="s">
        <v>461</v>
      </c>
      <c r="W143">
        <v>9</v>
      </c>
      <c r="X143">
        <v>0</v>
      </c>
      <c r="Y143">
        <v>383.16</v>
      </c>
    </row>
    <row r="144" spans="1:25" x14ac:dyDescent="0.3">
      <c r="A144" t="s">
        <v>453</v>
      </c>
      <c r="B144" t="s">
        <v>454</v>
      </c>
      <c r="C144" t="s">
        <v>455</v>
      </c>
      <c r="D144" s="9">
        <v>24062</v>
      </c>
      <c r="E144">
        <v>2753.28</v>
      </c>
      <c r="F144">
        <v>2024</v>
      </c>
      <c r="G144" t="s">
        <v>87</v>
      </c>
      <c r="H144" t="s">
        <v>29</v>
      </c>
      <c r="I144" t="s">
        <v>49</v>
      </c>
      <c r="J144" t="s">
        <v>102</v>
      </c>
      <c r="K144" t="s">
        <v>32</v>
      </c>
      <c r="L144" t="s">
        <v>144</v>
      </c>
      <c r="M144" s="9">
        <v>45544</v>
      </c>
      <c r="N144" t="s">
        <v>462</v>
      </c>
      <c r="O144" s="9">
        <v>45544</v>
      </c>
      <c r="P144" s="9">
        <v>45545</v>
      </c>
      <c r="Q144" t="s">
        <v>121</v>
      </c>
      <c r="R144" t="s">
        <v>186</v>
      </c>
      <c r="S144">
        <v>117007</v>
      </c>
      <c r="T144" t="s">
        <v>84</v>
      </c>
      <c r="U144" t="s">
        <v>85</v>
      </c>
      <c r="V144" t="s">
        <v>463</v>
      </c>
      <c r="W144">
        <v>6</v>
      </c>
      <c r="X144">
        <v>0</v>
      </c>
      <c r="Y144">
        <v>396.13</v>
      </c>
    </row>
    <row r="145" spans="1:25" x14ac:dyDescent="0.3">
      <c r="A145" t="s">
        <v>453</v>
      </c>
      <c r="B145" t="s">
        <v>454</v>
      </c>
      <c r="C145" t="s">
        <v>455</v>
      </c>
      <c r="D145" s="9">
        <v>24062</v>
      </c>
      <c r="E145">
        <v>3656.1</v>
      </c>
      <c r="F145">
        <v>2025</v>
      </c>
      <c r="G145" t="s">
        <v>28</v>
      </c>
      <c r="H145" t="s">
        <v>29</v>
      </c>
      <c r="I145" t="s">
        <v>43</v>
      </c>
      <c r="J145" t="s">
        <v>102</v>
      </c>
      <c r="K145" t="s">
        <v>32</v>
      </c>
      <c r="L145" t="s">
        <v>144</v>
      </c>
      <c r="M145" s="9">
        <v>45822</v>
      </c>
      <c r="N145" t="s">
        <v>464</v>
      </c>
      <c r="O145" s="9">
        <v>45821</v>
      </c>
      <c r="P145" s="9">
        <v>45824</v>
      </c>
      <c r="Q145" t="s">
        <v>121</v>
      </c>
      <c r="R145" t="s">
        <v>186</v>
      </c>
      <c r="S145">
        <v>623555</v>
      </c>
      <c r="T145" t="s">
        <v>70</v>
      </c>
      <c r="U145" t="s">
        <v>71</v>
      </c>
      <c r="V145" t="s">
        <v>465</v>
      </c>
      <c r="W145">
        <v>10</v>
      </c>
      <c r="X145">
        <v>0</v>
      </c>
      <c r="Y145">
        <v>349.97</v>
      </c>
    </row>
    <row r="146" spans="1:25" x14ac:dyDescent="0.3">
      <c r="A146" t="s">
        <v>466</v>
      </c>
      <c r="B146" t="s">
        <v>467</v>
      </c>
      <c r="C146" t="s">
        <v>101</v>
      </c>
      <c r="D146" s="9">
        <v>27689</v>
      </c>
      <c r="E146">
        <v>1115.19</v>
      </c>
      <c r="F146">
        <v>2023</v>
      </c>
      <c r="G146" t="s">
        <v>48</v>
      </c>
      <c r="H146" t="s">
        <v>29</v>
      </c>
      <c r="I146" t="s">
        <v>92</v>
      </c>
      <c r="J146" t="s">
        <v>227</v>
      </c>
      <c r="K146" t="s">
        <v>32</v>
      </c>
      <c r="L146" t="s">
        <v>33</v>
      </c>
      <c r="M146" s="9">
        <v>45193</v>
      </c>
      <c r="N146" t="s">
        <v>468</v>
      </c>
      <c r="O146" s="9">
        <v>45190</v>
      </c>
      <c r="P146" s="9">
        <v>45195</v>
      </c>
      <c r="Q146" t="s">
        <v>35</v>
      </c>
      <c r="R146" t="s">
        <v>229</v>
      </c>
      <c r="S146">
        <v>649395</v>
      </c>
      <c r="T146" t="s">
        <v>127</v>
      </c>
      <c r="U146" t="s">
        <v>128</v>
      </c>
      <c r="V146" t="s">
        <v>469</v>
      </c>
      <c r="W146">
        <v>3</v>
      </c>
      <c r="X146">
        <v>0</v>
      </c>
      <c r="Y146">
        <v>112.39</v>
      </c>
    </row>
    <row r="147" spans="1:25" x14ac:dyDescent="0.3">
      <c r="A147" t="s">
        <v>466</v>
      </c>
      <c r="B147" t="s">
        <v>467</v>
      </c>
      <c r="C147" t="s">
        <v>101</v>
      </c>
      <c r="D147" s="9">
        <v>27689</v>
      </c>
      <c r="E147">
        <v>367.54</v>
      </c>
      <c r="F147">
        <v>2023</v>
      </c>
      <c r="G147" t="s">
        <v>87</v>
      </c>
      <c r="H147" t="s">
        <v>29</v>
      </c>
      <c r="I147" t="s">
        <v>78</v>
      </c>
      <c r="J147" t="s">
        <v>227</v>
      </c>
      <c r="K147" t="s">
        <v>32</v>
      </c>
      <c r="L147" t="s">
        <v>33</v>
      </c>
      <c r="M147" s="9">
        <v>45272</v>
      </c>
      <c r="N147" t="s">
        <v>470</v>
      </c>
      <c r="O147" s="9">
        <v>45272</v>
      </c>
      <c r="P147" s="9">
        <v>45274</v>
      </c>
      <c r="Q147" t="s">
        <v>121</v>
      </c>
      <c r="R147" t="s">
        <v>229</v>
      </c>
      <c r="S147">
        <v>109585</v>
      </c>
      <c r="T147" t="s">
        <v>135</v>
      </c>
      <c r="U147" t="s">
        <v>136</v>
      </c>
      <c r="V147" t="s">
        <v>471</v>
      </c>
      <c r="W147">
        <v>1</v>
      </c>
      <c r="X147">
        <v>0.05</v>
      </c>
      <c r="Y147">
        <v>33.54</v>
      </c>
    </row>
    <row r="148" spans="1:25" x14ac:dyDescent="0.3">
      <c r="A148" t="s">
        <v>466</v>
      </c>
      <c r="B148" t="s">
        <v>467</v>
      </c>
      <c r="C148" t="s">
        <v>101</v>
      </c>
      <c r="D148" s="9">
        <v>27689</v>
      </c>
      <c r="E148">
        <v>269.08</v>
      </c>
      <c r="F148">
        <v>2024</v>
      </c>
      <c r="G148" t="s">
        <v>48</v>
      </c>
      <c r="H148" t="s">
        <v>29</v>
      </c>
      <c r="I148" t="s">
        <v>61</v>
      </c>
      <c r="J148" t="s">
        <v>227</v>
      </c>
      <c r="K148" t="s">
        <v>32</v>
      </c>
      <c r="L148" t="s">
        <v>33</v>
      </c>
      <c r="M148" s="9">
        <v>45631</v>
      </c>
      <c r="N148" t="s">
        <v>472</v>
      </c>
      <c r="O148" s="9">
        <v>45628</v>
      </c>
      <c r="P148" s="9">
        <v>45632</v>
      </c>
      <c r="Q148" t="s">
        <v>35</v>
      </c>
      <c r="R148" t="s">
        <v>229</v>
      </c>
      <c r="S148">
        <v>658065</v>
      </c>
      <c r="T148" t="s">
        <v>113</v>
      </c>
      <c r="U148" t="s">
        <v>114</v>
      </c>
      <c r="V148" t="s">
        <v>473</v>
      </c>
      <c r="W148">
        <v>1</v>
      </c>
      <c r="X148">
        <v>0.15</v>
      </c>
      <c r="Y148">
        <v>88.84</v>
      </c>
    </row>
    <row r="149" spans="1:25" x14ac:dyDescent="0.3">
      <c r="A149" t="s">
        <v>466</v>
      </c>
      <c r="B149" t="s">
        <v>467</v>
      </c>
      <c r="C149" t="s">
        <v>101</v>
      </c>
      <c r="D149" s="9">
        <v>27689</v>
      </c>
      <c r="E149">
        <v>274.12</v>
      </c>
      <c r="F149">
        <v>2025</v>
      </c>
      <c r="G149" t="s">
        <v>87</v>
      </c>
      <c r="H149" t="s">
        <v>29</v>
      </c>
      <c r="I149" t="s">
        <v>30</v>
      </c>
      <c r="J149" t="s">
        <v>227</v>
      </c>
      <c r="K149" t="s">
        <v>32</v>
      </c>
      <c r="L149" t="s">
        <v>33</v>
      </c>
      <c r="M149" s="9">
        <v>45708</v>
      </c>
      <c r="N149" t="s">
        <v>474</v>
      </c>
      <c r="O149" s="9">
        <v>45708</v>
      </c>
      <c r="P149" s="9">
        <v>45711</v>
      </c>
      <c r="Q149" t="s">
        <v>41</v>
      </c>
      <c r="R149" t="s">
        <v>229</v>
      </c>
      <c r="S149">
        <v>945328</v>
      </c>
      <c r="T149" t="s">
        <v>37</v>
      </c>
      <c r="U149" t="s">
        <v>38</v>
      </c>
      <c r="V149" t="s">
        <v>475</v>
      </c>
      <c r="W149">
        <v>1</v>
      </c>
      <c r="X149">
        <v>0</v>
      </c>
      <c r="Y149">
        <v>57.76</v>
      </c>
    </row>
    <row r="150" spans="1:25" x14ac:dyDescent="0.3">
      <c r="A150" t="s">
        <v>476</v>
      </c>
      <c r="B150" t="s">
        <v>283</v>
      </c>
      <c r="C150" t="s">
        <v>455</v>
      </c>
      <c r="D150" s="9">
        <v>37112</v>
      </c>
      <c r="E150">
        <v>845.42</v>
      </c>
      <c r="F150">
        <v>2023</v>
      </c>
      <c r="G150" t="s">
        <v>87</v>
      </c>
      <c r="H150" t="s">
        <v>29</v>
      </c>
      <c r="I150" t="s">
        <v>30</v>
      </c>
      <c r="J150" t="s">
        <v>102</v>
      </c>
      <c r="K150" t="s">
        <v>32</v>
      </c>
      <c r="L150" t="s">
        <v>33</v>
      </c>
      <c r="M150" s="9">
        <v>45028</v>
      </c>
      <c r="N150" t="s">
        <v>477</v>
      </c>
      <c r="O150" s="9">
        <v>45025</v>
      </c>
      <c r="P150" s="9">
        <v>45029</v>
      </c>
      <c r="Q150" t="s">
        <v>121</v>
      </c>
      <c r="R150" t="s">
        <v>104</v>
      </c>
      <c r="S150">
        <v>831105</v>
      </c>
      <c r="T150" t="s">
        <v>55</v>
      </c>
      <c r="U150" t="s">
        <v>56</v>
      </c>
      <c r="V150" t="s">
        <v>478</v>
      </c>
      <c r="W150">
        <v>6</v>
      </c>
      <c r="X150">
        <v>0.05</v>
      </c>
      <c r="Y150">
        <v>62.31</v>
      </c>
    </row>
    <row r="151" spans="1:25" x14ac:dyDescent="0.3">
      <c r="A151" t="s">
        <v>476</v>
      </c>
      <c r="B151" t="s">
        <v>283</v>
      </c>
      <c r="C151" t="s">
        <v>455</v>
      </c>
      <c r="D151" s="9">
        <v>37112</v>
      </c>
      <c r="E151">
        <v>534.05999999999995</v>
      </c>
      <c r="F151">
        <v>2023</v>
      </c>
      <c r="G151" t="s">
        <v>28</v>
      </c>
      <c r="H151" t="s">
        <v>29</v>
      </c>
      <c r="I151" t="s">
        <v>61</v>
      </c>
      <c r="J151" t="s">
        <v>102</v>
      </c>
      <c r="K151" t="s">
        <v>32</v>
      </c>
      <c r="L151" t="s">
        <v>33</v>
      </c>
      <c r="M151" s="9">
        <v>45036</v>
      </c>
      <c r="N151" t="s">
        <v>479</v>
      </c>
      <c r="O151" s="9">
        <v>45036</v>
      </c>
      <c r="P151" s="9">
        <v>45037</v>
      </c>
      <c r="Q151" t="s">
        <v>41</v>
      </c>
      <c r="R151" t="s">
        <v>104</v>
      </c>
      <c r="S151">
        <v>495490</v>
      </c>
      <c r="T151" t="s">
        <v>204</v>
      </c>
      <c r="U151" t="s">
        <v>205</v>
      </c>
      <c r="V151" t="s">
        <v>480</v>
      </c>
      <c r="W151">
        <v>2</v>
      </c>
      <c r="X151">
        <v>0.2</v>
      </c>
      <c r="Y151">
        <v>130.83000000000001</v>
      </c>
    </row>
    <row r="152" spans="1:25" x14ac:dyDescent="0.3">
      <c r="A152" t="s">
        <v>476</v>
      </c>
      <c r="B152" t="s">
        <v>283</v>
      </c>
      <c r="C152" t="s">
        <v>455</v>
      </c>
      <c r="D152" s="9">
        <v>37112</v>
      </c>
      <c r="E152">
        <v>357.37</v>
      </c>
      <c r="F152">
        <v>2023</v>
      </c>
      <c r="G152" t="s">
        <v>87</v>
      </c>
      <c r="H152" t="s">
        <v>29</v>
      </c>
      <c r="I152" t="s">
        <v>30</v>
      </c>
      <c r="J152" t="s">
        <v>102</v>
      </c>
      <c r="K152" t="s">
        <v>32</v>
      </c>
      <c r="L152" t="s">
        <v>33</v>
      </c>
      <c r="M152" s="9">
        <v>45081</v>
      </c>
      <c r="N152" t="s">
        <v>481</v>
      </c>
      <c r="O152" s="9">
        <v>45079</v>
      </c>
      <c r="P152" s="9">
        <v>45083</v>
      </c>
      <c r="Q152" t="s">
        <v>35</v>
      </c>
      <c r="R152" t="s">
        <v>104</v>
      </c>
      <c r="S152">
        <v>653815</v>
      </c>
      <c r="T152" t="s">
        <v>37</v>
      </c>
      <c r="U152" t="s">
        <v>38</v>
      </c>
      <c r="V152" t="s">
        <v>482</v>
      </c>
      <c r="W152">
        <v>1</v>
      </c>
      <c r="X152">
        <v>0</v>
      </c>
      <c r="Y152">
        <v>71.459999999999994</v>
      </c>
    </row>
    <row r="153" spans="1:25" x14ac:dyDescent="0.3">
      <c r="A153" t="s">
        <v>476</v>
      </c>
      <c r="B153" t="s">
        <v>283</v>
      </c>
      <c r="C153" t="s">
        <v>455</v>
      </c>
      <c r="D153" s="9">
        <v>37112</v>
      </c>
      <c r="E153">
        <v>2482.4</v>
      </c>
      <c r="F153">
        <v>2023</v>
      </c>
      <c r="G153" t="s">
        <v>48</v>
      </c>
      <c r="H153" t="s">
        <v>29</v>
      </c>
      <c r="I153" t="s">
        <v>78</v>
      </c>
      <c r="J153" t="s">
        <v>102</v>
      </c>
      <c r="K153" t="s">
        <v>32</v>
      </c>
      <c r="L153" t="s">
        <v>33</v>
      </c>
      <c r="M153" s="9">
        <v>45110</v>
      </c>
      <c r="N153" t="s">
        <v>483</v>
      </c>
      <c r="O153" s="9">
        <v>45110</v>
      </c>
      <c r="P153" s="9">
        <v>45113</v>
      </c>
      <c r="Q153" t="s">
        <v>74</v>
      </c>
      <c r="R153" t="s">
        <v>104</v>
      </c>
      <c r="S153">
        <v>116418</v>
      </c>
      <c r="T153" t="s">
        <v>89</v>
      </c>
      <c r="U153" t="s">
        <v>90</v>
      </c>
      <c r="V153" t="s">
        <v>484</v>
      </c>
      <c r="W153">
        <v>10</v>
      </c>
      <c r="X153">
        <v>0</v>
      </c>
      <c r="Y153">
        <v>812.36</v>
      </c>
    </row>
    <row r="154" spans="1:25" x14ac:dyDescent="0.3">
      <c r="A154" t="s">
        <v>476</v>
      </c>
      <c r="B154" t="s">
        <v>283</v>
      </c>
      <c r="C154" t="s">
        <v>455</v>
      </c>
      <c r="D154" s="9">
        <v>37112</v>
      </c>
      <c r="E154">
        <v>3261.02</v>
      </c>
      <c r="F154">
        <v>2023</v>
      </c>
      <c r="G154" t="s">
        <v>28</v>
      </c>
      <c r="H154" t="s">
        <v>29</v>
      </c>
      <c r="I154" t="s">
        <v>61</v>
      </c>
      <c r="J154" t="s">
        <v>102</v>
      </c>
      <c r="K154" t="s">
        <v>32</v>
      </c>
      <c r="L154" t="s">
        <v>33</v>
      </c>
      <c r="M154" s="9">
        <v>45125</v>
      </c>
      <c r="N154" t="s">
        <v>485</v>
      </c>
      <c r="O154" s="9">
        <v>45123</v>
      </c>
      <c r="P154" s="9">
        <v>45125</v>
      </c>
      <c r="Q154" t="s">
        <v>74</v>
      </c>
      <c r="R154" t="s">
        <v>104</v>
      </c>
      <c r="S154">
        <v>502491</v>
      </c>
      <c r="T154" t="s">
        <v>66</v>
      </c>
      <c r="U154" t="s">
        <v>67</v>
      </c>
      <c r="V154" t="s">
        <v>486</v>
      </c>
      <c r="W154">
        <v>7</v>
      </c>
      <c r="X154">
        <v>0</v>
      </c>
      <c r="Y154">
        <v>321.98</v>
      </c>
    </row>
    <row r="155" spans="1:25" x14ac:dyDescent="0.3">
      <c r="A155" t="s">
        <v>476</v>
      </c>
      <c r="B155" t="s">
        <v>283</v>
      </c>
      <c r="C155" t="s">
        <v>455</v>
      </c>
      <c r="D155" s="9">
        <v>37112</v>
      </c>
      <c r="E155">
        <v>520.76</v>
      </c>
      <c r="F155">
        <v>2023</v>
      </c>
      <c r="G155" t="s">
        <v>48</v>
      </c>
      <c r="H155" t="s">
        <v>29</v>
      </c>
      <c r="I155" t="s">
        <v>49</v>
      </c>
      <c r="J155" t="s">
        <v>102</v>
      </c>
      <c r="K155" t="s">
        <v>32</v>
      </c>
      <c r="L155" t="s">
        <v>33</v>
      </c>
      <c r="M155" s="9">
        <v>45174</v>
      </c>
      <c r="N155" t="s">
        <v>487</v>
      </c>
      <c r="O155" s="9">
        <v>45173</v>
      </c>
      <c r="P155" s="9">
        <v>45177</v>
      </c>
      <c r="Q155" t="s">
        <v>74</v>
      </c>
      <c r="R155" t="s">
        <v>104</v>
      </c>
      <c r="S155">
        <v>734565</v>
      </c>
      <c r="T155" t="s">
        <v>109</v>
      </c>
      <c r="U155" t="s">
        <v>110</v>
      </c>
      <c r="V155" t="s">
        <v>488</v>
      </c>
      <c r="W155">
        <v>2</v>
      </c>
      <c r="X155">
        <v>0</v>
      </c>
      <c r="Y155">
        <v>34.43</v>
      </c>
    </row>
    <row r="156" spans="1:25" x14ac:dyDescent="0.3">
      <c r="A156" t="s">
        <v>476</v>
      </c>
      <c r="B156" t="s">
        <v>283</v>
      </c>
      <c r="C156" t="s">
        <v>455</v>
      </c>
      <c r="D156" s="9">
        <v>37112</v>
      </c>
      <c r="E156">
        <v>205.32</v>
      </c>
      <c r="F156">
        <v>2024</v>
      </c>
      <c r="G156" t="s">
        <v>48</v>
      </c>
      <c r="H156" t="s">
        <v>29</v>
      </c>
      <c r="I156" t="s">
        <v>30</v>
      </c>
      <c r="J156" t="s">
        <v>102</v>
      </c>
      <c r="K156" t="s">
        <v>32</v>
      </c>
      <c r="L156" t="s">
        <v>33</v>
      </c>
      <c r="M156" s="9">
        <v>45466</v>
      </c>
      <c r="N156" t="s">
        <v>489</v>
      </c>
      <c r="O156" s="9">
        <v>45463</v>
      </c>
      <c r="P156" s="9">
        <v>45467</v>
      </c>
      <c r="Q156" t="s">
        <v>74</v>
      </c>
      <c r="R156" t="s">
        <v>104</v>
      </c>
      <c r="S156">
        <v>679902</v>
      </c>
      <c r="T156" t="s">
        <v>55</v>
      </c>
      <c r="U156" t="s">
        <v>56</v>
      </c>
      <c r="V156" t="s">
        <v>490</v>
      </c>
      <c r="W156">
        <v>6</v>
      </c>
      <c r="X156">
        <v>0</v>
      </c>
      <c r="Y156">
        <v>58.53</v>
      </c>
    </row>
    <row r="157" spans="1:25" x14ac:dyDescent="0.3">
      <c r="A157" t="s">
        <v>491</v>
      </c>
      <c r="B157" t="s">
        <v>492</v>
      </c>
      <c r="C157" t="s">
        <v>455</v>
      </c>
      <c r="D157" s="9">
        <v>32750</v>
      </c>
      <c r="E157">
        <v>1449.16</v>
      </c>
      <c r="F157">
        <v>2023</v>
      </c>
      <c r="G157" t="s">
        <v>87</v>
      </c>
      <c r="H157" t="s">
        <v>163</v>
      </c>
      <c r="I157" t="s">
        <v>30</v>
      </c>
      <c r="J157" t="s">
        <v>31</v>
      </c>
      <c r="K157" t="s">
        <v>32</v>
      </c>
      <c r="L157" t="s">
        <v>63</v>
      </c>
      <c r="M157" s="9">
        <v>45015</v>
      </c>
      <c r="N157" t="s">
        <v>493</v>
      </c>
      <c r="O157" s="9">
        <v>45014</v>
      </c>
      <c r="P157" s="9">
        <v>45018</v>
      </c>
      <c r="Q157" t="s">
        <v>41</v>
      </c>
      <c r="R157" t="s">
        <v>261</v>
      </c>
      <c r="S157">
        <v>432061</v>
      </c>
      <c r="T157" t="s">
        <v>37</v>
      </c>
      <c r="U157" t="s">
        <v>38</v>
      </c>
      <c r="V157" t="s">
        <v>494</v>
      </c>
      <c r="W157">
        <v>4</v>
      </c>
      <c r="X157">
        <v>0</v>
      </c>
      <c r="Y157">
        <v>188.96</v>
      </c>
    </row>
    <row r="158" spans="1:25" x14ac:dyDescent="0.3">
      <c r="A158" t="s">
        <v>491</v>
      </c>
      <c r="B158" t="s">
        <v>492</v>
      </c>
      <c r="C158" t="s">
        <v>455</v>
      </c>
      <c r="D158" s="9">
        <v>32750</v>
      </c>
      <c r="E158">
        <v>448.99</v>
      </c>
      <c r="F158">
        <v>2023</v>
      </c>
      <c r="G158" t="s">
        <v>48</v>
      </c>
      <c r="H158" t="s">
        <v>163</v>
      </c>
      <c r="I158" t="s">
        <v>43</v>
      </c>
      <c r="J158" t="s">
        <v>31</v>
      </c>
      <c r="K158" t="s">
        <v>32</v>
      </c>
      <c r="L158" t="s">
        <v>63</v>
      </c>
      <c r="M158" s="9">
        <v>45117</v>
      </c>
      <c r="N158" t="s">
        <v>495</v>
      </c>
      <c r="O158" s="9">
        <v>45117</v>
      </c>
      <c r="P158" s="9">
        <v>45120</v>
      </c>
      <c r="Q158" t="s">
        <v>35</v>
      </c>
      <c r="R158" t="s">
        <v>261</v>
      </c>
      <c r="S158">
        <v>296494</v>
      </c>
      <c r="T158" t="s">
        <v>45</v>
      </c>
      <c r="U158" t="s">
        <v>46</v>
      </c>
      <c r="V158" t="s">
        <v>496</v>
      </c>
      <c r="W158">
        <v>1</v>
      </c>
      <c r="X158">
        <v>0.05</v>
      </c>
      <c r="Y158">
        <v>70.930000000000007</v>
      </c>
    </row>
    <row r="159" spans="1:25" x14ac:dyDescent="0.3">
      <c r="A159" t="s">
        <v>491</v>
      </c>
      <c r="B159" t="s">
        <v>492</v>
      </c>
      <c r="C159" t="s">
        <v>455</v>
      </c>
      <c r="D159" s="9">
        <v>32750</v>
      </c>
      <c r="E159">
        <v>2393.73</v>
      </c>
      <c r="F159">
        <v>2024</v>
      </c>
      <c r="G159" t="s">
        <v>87</v>
      </c>
      <c r="H159" t="s">
        <v>163</v>
      </c>
      <c r="I159" t="s">
        <v>92</v>
      </c>
      <c r="J159" t="s">
        <v>31</v>
      </c>
      <c r="K159" t="s">
        <v>32</v>
      </c>
      <c r="L159" t="s">
        <v>63</v>
      </c>
      <c r="M159" s="9">
        <v>45316</v>
      </c>
      <c r="N159" t="s">
        <v>497</v>
      </c>
      <c r="O159" s="9">
        <v>45316</v>
      </c>
      <c r="P159" s="9">
        <v>45319</v>
      </c>
      <c r="Q159" t="s">
        <v>74</v>
      </c>
      <c r="R159" t="s">
        <v>261</v>
      </c>
      <c r="S159">
        <v>503951</v>
      </c>
      <c r="T159" t="s">
        <v>127</v>
      </c>
      <c r="U159" t="s">
        <v>128</v>
      </c>
      <c r="V159" t="s">
        <v>498</v>
      </c>
      <c r="W159">
        <v>9</v>
      </c>
      <c r="X159">
        <v>0</v>
      </c>
      <c r="Y159">
        <v>138.55000000000001</v>
      </c>
    </row>
    <row r="160" spans="1:25" x14ac:dyDescent="0.3">
      <c r="A160" t="s">
        <v>491</v>
      </c>
      <c r="B160" t="s">
        <v>492</v>
      </c>
      <c r="C160" t="s">
        <v>455</v>
      </c>
      <c r="D160" s="9">
        <v>32750</v>
      </c>
      <c r="E160">
        <v>2344.3000000000002</v>
      </c>
      <c r="F160">
        <v>2024</v>
      </c>
      <c r="G160" t="s">
        <v>87</v>
      </c>
      <c r="H160" t="s">
        <v>163</v>
      </c>
      <c r="I160" t="s">
        <v>78</v>
      </c>
      <c r="J160" t="s">
        <v>31</v>
      </c>
      <c r="K160" t="s">
        <v>32</v>
      </c>
      <c r="L160" t="s">
        <v>63</v>
      </c>
      <c r="M160" s="9">
        <v>45371</v>
      </c>
      <c r="N160" t="s">
        <v>499</v>
      </c>
      <c r="O160" s="9">
        <v>45369</v>
      </c>
      <c r="P160" s="9">
        <v>45371</v>
      </c>
      <c r="Q160" t="s">
        <v>121</v>
      </c>
      <c r="R160" t="s">
        <v>261</v>
      </c>
      <c r="S160">
        <v>818605</v>
      </c>
      <c r="T160" t="s">
        <v>117</v>
      </c>
      <c r="U160" t="s">
        <v>118</v>
      </c>
      <c r="V160" t="s">
        <v>500</v>
      </c>
      <c r="W160">
        <v>7</v>
      </c>
      <c r="X160">
        <v>0.15</v>
      </c>
      <c r="Y160">
        <v>750.97</v>
      </c>
    </row>
    <row r="161" spans="1:25" x14ac:dyDescent="0.3">
      <c r="A161" t="s">
        <v>491</v>
      </c>
      <c r="B161" t="s">
        <v>492</v>
      </c>
      <c r="C161" t="s">
        <v>455</v>
      </c>
      <c r="D161" s="9">
        <v>32750</v>
      </c>
      <c r="E161">
        <v>781.56</v>
      </c>
      <c r="F161">
        <v>2024</v>
      </c>
      <c r="G161" t="s">
        <v>28</v>
      </c>
      <c r="H161" t="s">
        <v>163</v>
      </c>
      <c r="I161" t="s">
        <v>92</v>
      </c>
      <c r="J161" t="s">
        <v>31</v>
      </c>
      <c r="K161" t="s">
        <v>32</v>
      </c>
      <c r="L161" t="s">
        <v>63</v>
      </c>
      <c r="M161" s="9">
        <v>45527</v>
      </c>
      <c r="N161" t="s">
        <v>501</v>
      </c>
      <c r="O161" s="9">
        <v>45526</v>
      </c>
      <c r="P161" s="9">
        <v>45528</v>
      </c>
      <c r="Q161" t="s">
        <v>41</v>
      </c>
      <c r="R161" t="s">
        <v>261</v>
      </c>
      <c r="S161">
        <v>414313</v>
      </c>
      <c r="T161" t="s">
        <v>147</v>
      </c>
      <c r="U161" t="s">
        <v>148</v>
      </c>
      <c r="V161" t="s">
        <v>502</v>
      </c>
      <c r="W161">
        <v>5</v>
      </c>
      <c r="X161">
        <v>0.05</v>
      </c>
      <c r="Y161">
        <v>73.3</v>
      </c>
    </row>
    <row r="162" spans="1:25" x14ac:dyDescent="0.3">
      <c r="A162" t="s">
        <v>491</v>
      </c>
      <c r="B162" t="s">
        <v>492</v>
      </c>
      <c r="C162" t="s">
        <v>455</v>
      </c>
      <c r="D162" s="9">
        <v>32750</v>
      </c>
      <c r="E162">
        <v>2011.23</v>
      </c>
      <c r="F162">
        <v>2024</v>
      </c>
      <c r="G162" t="s">
        <v>48</v>
      </c>
      <c r="H162" t="s">
        <v>163</v>
      </c>
      <c r="I162" t="s">
        <v>92</v>
      </c>
      <c r="J162" t="s">
        <v>31</v>
      </c>
      <c r="K162" t="s">
        <v>32</v>
      </c>
      <c r="L162" t="s">
        <v>63</v>
      </c>
      <c r="M162" s="9">
        <v>45607</v>
      </c>
      <c r="N162" t="s">
        <v>503</v>
      </c>
      <c r="O162" s="9">
        <v>45603</v>
      </c>
      <c r="P162" s="9">
        <v>45608</v>
      </c>
      <c r="Q162" t="s">
        <v>41</v>
      </c>
      <c r="R162" t="s">
        <v>261</v>
      </c>
      <c r="S162">
        <v>212168</v>
      </c>
      <c r="T162" t="s">
        <v>187</v>
      </c>
      <c r="U162" t="s">
        <v>188</v>
      </c>
      <c r="V162" t="s">
        <v>504</v>
      </c>
      <c r="W162">
        <v>5</v>
      </c>
      <c r="X162">
        <v>0.15</v>
      </c>
      <c r="Y162">
        <v>477.69</v>
      </c>
    </row>
    <row r="163" spans="1:25" x14ac:dyDescent="0.3">
      <c r="A163" t="s">
        <v>491</v>
      </c>
      <c r="B163" t="s">
        <v>492</v>
      </c>
      <c r="C163" t="s">
        <v>455</v>
      </c>
      <c r="D163" s="9">
        <v>32750</v>
      </c>
      <c r="E163">
        <v>1130.5999999999999</v>
      </c>
      <c r="F163">
        <v>2024</v>
      </c>
      <c r="G163" t="s">
        <v>28</v>
      </c>
      <c r="H163" t="s">
        <v>163</v>
      </c>
      <c r="I163" t="s">
        <v>61</v>
      </c>
      <c r="J163" t="s">
        <v>31</v>
      </c>
      <c r="K163" t="s">
        <v>32</v>
      </c>
      <c r="L163" t="s">
        <v>63</v>
      </c>
      <c r="M163" s="9">
        <v>45626</v>
      </c>
      <c r="N163" t="s">
        <v>505</v>
      </c>
      <c r="O163" s="9">
        <v>45623</v>
      </c>
      <c r="P163" s="9">
        <v>45626</v>
      </c>
      <c r="Q163" t="s">
        <v>41</v>
      </c>
      <c r="R163" t="s">
        <v>261</v>
      </c>
      <c r="S163">
        <v>955088</v>
      </c>
      <c r="T163" t="s">
        <v>204</v>
      </c>
      <c r="U163" t="s">
        <v>205</v>
      </c>
      <c r="V163" t="s">
        <v>506</v>
      </c>
      <c r="W163">
        <v>7</v>
      </c>
      <c r="X163">
        <v>0.1</v>
      </c>
      <c r="Y163">
        <v>185.38</v>
      </c>
    </row>
    <row r="164" spans="1:25" x14ac:dyDescent="0.3">
      <c r="A164" t="s">
        <v>507</v>
      </c>
      <c r="B164" t="s">
        <v>195</v>
      </c>
      <c r="C164" t="s">
        <v>348</v>
      </c>
      <c r="D164" s="9">
        <v>27213</v>
      </c>
      <c r="E164">
        <v>600.04</v>
      </c>
      <c r="F164">
        <v>2023</v>
      </c>
      <c r="G164" t="s">
        <v>87</v>
      </c>
      <c r="H164" t="s">
        <v>29</v>
      </c>
      <c r="I164" t="s">
        <v>49</v>
      </c>
      <c r="J164" t="s">
        <v>62</v>
      </c>
      <c r="K164" t="s">
        <v>32</v>
      </c>
      <c r="L164" t="s">
        <v>63</v>
      </c>
      <c r="M164" s="9">
        <v>45069</v>
      </c>
      <c r="N164" t="s">
        <v>508</v>
      </c>
      <c r="O164" s="9">
        <v>45066</v>
      </c>
      <c r="P164" s="9">
        <v>45069</v>
      </c>
      <c r="Q164" t="s">
        <v>121</v>
      </c>
      <c r="R164" t="s">
        <v>65</v>
      </c>
      <c r="S164">
        <v>441716</v>
      </c>
      <c r="T164" t="s">
        <v>109</v>
      </c>
      <c r="U164" t="s">
        <v>110</v>
      </c>
      <c r="V164" t="s">
        <v>509</v>
      </c>
      <c r="W164">
        <v>6</v>
      </c>
      <c r="X164">
        <v>0.05</v>
      </c>
      <c r="Y164">
        <v>204.38</v>
      </c>
    </row>
    <row r="165" spans="1:25" x14ac:dyDescent="0.3">
      <c r="A165" t="s">
        <v>507</v>
      </c>
      <c r="B165" t="s">
        <v>195</v>
      </c>
      <c r="C165" t="s">
        <v>348</v>
      </c>
      <c r="D165" s="9">
        <v>27213</v>
      </c>
      <c r="E165">
        <v>1229.82</v>
      </c>
      <c r="F165">
        <v>2023</v>
      </c>
      <c r="G165" t="s">
        <v>87</v>
      </c>
      <c r="H165" t="s">
        <v>29</v>
      </c>
      <c r="I165" t="s">
        <v>92</v>
      </c>
      <c r="J165" t="s">
        <v>62</v>
      </c>
      <c r="K165" t="s">
        <v>32</v>
      </c>
      <c r="L165" t="s">
        <v>63</v>
      </c>
      <c r="M165" s="9">
        <v>45235</v>
      </c>
      <c r="N165" t="s">
        <v>510</v>
      </c>
      <c r="O165" s="9">
        <v>45234</v>
      </c>
      <c r="P165" s="9">
        <v>45239</v>
      </c>
      <c r="Q165" t="s">
        <v>35</v>
      </c>
      <c r="R165" t="s">
        <v>65</v>
      </c>
      <c r="S165">
        <v>862538</v>
      </c>
      <c r="T165" t="s">
        <v>94</v>
      </c>
      <c r="U165" t="s">
        <v>95</v>
      </c>
      <c r="V165" t="s">
        <v>511</v>
      </c>
      <c r="W165">
        <v>7</v>
      </c>
      <c r="X165">
        <v>0.1</v>
      </c>
      <c r="Y165">
        <v>135.21</v>
      </c>
    </row>
    <row r="166" spans="1:25" x14ac:dyDescent="0.3">
      <c r="A166" t="s">
        <v>507</v>
      </c>
      <c r="B166" t="s">
        <v>195</v>
      </c>
      <c r="C166" t="s">
        <v>348</v>
      </c>
      <c r="D166" s="9">
        <v>27213</v>
      </c>
      <c r="E166">
        <v>2095.1</v>
      </c>
      <c r="F166">
        <v>2023</v>
      </c>
      <c r="G166" t="s">
        <v>48</v>
      </c>
      <c r="H166" t="s">
        <v>29</v>
      </c>
      <c r="I166" t="s">
        <v>92</v>
      </c>
      <c r="J166" t="s">
        <v>62</v>
      </c>
      <c r="K166" t="s">
        <v>32</v>
      </c>
      <c r="L166" t="s">
        <v>63</v>
      </c>
      <c r="M166" s="9">
        <v>45258</v>
      </c>
      <c r="N166" t="s">
        <v>512</v>
      </c>
      <c r="O166" s="9">
        <v>45255</v>
      </c>
      <c r="P166" s="9">
        <v>45259</v>
      </c>
      <c r="Q166" t="s">
        <v>74</v>
      </c>
      <c r="R166" t="s">
        <v>65</v>
      </c>
      <c r="S166">
        <v>353777</v>
      </c>
      <c r="T166" t="s">
        <v>147</v>
      </c>
      <c r="U166" t="s">
        <v>148</v>
      </c>
      <c r="V166" t="s">
        <v>513</v>
      </c>
      <c r="W166">
        <v>5</v>
      </c>
      <c r="X166">
        <v>0</v>
      </c>
      <c r="Y166">
        <v>619.5</v>
      </c>
    </row>
    <row r="167" spans="1:25" x14ac:dyDescent="0.3">
      <c r="A167" t="s">
        <v>507</v>
      </c>
      <c r="B167" t="s">
        <v>195</v>
      </c>
      <c r="C167" t="s">
        <v>348</v>
      </c>
      <c r="D167" s="9">
        <v>27213</v>
      </c>
      <c r="E167">
        <v>2791.32</v>
      </c>
      <c r="F167">
        <v>2024</v>
      </c>
      <c r="G167" t="s">
        <v>87</v>
      </c>
      <c r="H167" t="s">
        <v>29</v>
      </c>
      <c r="I167" t="s">
        <v>43</v>
      </c>
      <c r="J167" t="s">
        <v>62</v>
      </c>
      <c r="K167" t="s">
        <v>32</v>
      </c>
      <c r="L167" t="s">
        <v>63</v>
      </c>
      <c r="M167" s="9">
        <v>45538</v>
      </c>
      <c r="N167" t="s">
        <v>514</v>
      </c>
      <c r="O167" s="9">
        <v>45535</v>
      </c>
      <c r="P167" s="9">
        <v>45540</v>
      </c>
      <c r="Q167" t="s">
        <v>41</v>
      </c>
      <c r="R167" t="s">
        <v>65</v>
      </c>
      <c r="S167">
        <v>660324</v>
      </c>
      <c r="T167" t="s">
        <v>70</v>
      </c>
      <c r="U167" t="s">
        <v>71</v>
      </c>
      <c r="V167" t="s">
        <v>515</v>
      </c>
      <c r="W167">
        <v>7</v>
      </c>
      <c r="X167">
        <v>0</v>
      </c>
      <c r="Y167">
        <v>515.61</v>
      </c>
    </row>
    <row r="168" spans="1:25" x14ac:dyDescent="0.3">
      <c r="A168" t="s">
        <v>507</v>
      </c>
      <c r="B168" t="s">
        <v>195</v>
      </c>
      <c r="C168" t="s">
        <v>348</v>
      </c>
      <c r="D168" s="9">
        <v>27213</v>
      </c>
      <c r="E168">
        <v>338.85</v>
      </c>
      <c r="F168">
        <v>2024</v>
      </c>
      <c r="G168" t="s">
        <v>87</v>
      </c>
      <c r="H168" t="s">
        <v>29</v>
      </c>
      <c r="I168" t="s">
        <v>30</v>
      </c>
      <c r="J168" t="s">
        <v>62</v>
      </c>
      <c r="K168" t="s">
        <v>32</v>
      </c>
      <c r="L168" t="s">
        <v>63</v>
      </c>
      <c r="M168" s="9">
        <v>45548</v>
      </c>
      <c r="N168" t="s">
        <v>516</v>
      </c>
      <c r="O168" s="9">
        <v>45544</v>
      </c>
      <c r="P168" s="9">
        <v>45549</v>
      </c>
      <c r="Q168" t="s">
        <v>35</v>
      </c>
      <c r="R168" t="s">
        <v>65</v>
      </c>
      <c r="S168">
        <v>214682</v>
      </c>
      <c r="T168" t="s">
        <v>55</v>
      </c>
      <c r="U168" t="s">
        <v>56</v>
      </c>
      <c r="V168" t="s">
        <v>517</v>
      </c>
      <c r="W168">
        <v>9</v>
      </c>
      <c r="X168">
        <v>0</v>
      </c>
      <c r="Y168">
        <v>88.27</v>
      </c>
    </row>
    <row r="169" spans="1:25" x14ac:dyDescent="0.3">
      <c r="A169" t="s">
        <v>507</v>
      </c>
      <c r="B169" t="s">
        <v>195</v>
      </c>
      <c r="C169" t="s">
        <v>348</v>
      </c>
      <c r="D169" s="9">
        <v>27213</v>
      </c>
      <c r="E169">
        <v>350.71</v>
      </c>
      <c r="F169">
        <v>2024</v>
      </c>
      <c r="G169" t="s">
        <v>28</v>
      </c>
      <c r="H169" t="s">
        <v>29</v>
      </c>
      <c r="I169" t="s">
        <v>61</v>
      </c>
      <c r="J169" t="s">
        <v>62</v>
      </c>
      <c r="K169" t="s">
        <v>32</v>
      </c>
      <c r="L169" t="s">
        <v>63</v>
      </c>
      <c r="M169" s="9">
        <v>45595</v>
      </c>
      <c r="N169" t="s">
        <v>518</v>
      </c>
      <c r="O169" s="9">
        <v>45593</v>
      </c>
      <c r="P169" s="9">
        <v>45597</v>
      </c>
      <c r="Q169" t="s">
        <v>35</v>
      </c>
      <c r="R169" t="s">
        <v>65</v>
      </c>
      <c r="S169">
        <v>111060</v>
      </c>
      <c r="T169" t="s">
        <v>204</v>
      </c>
      <c r="U169" t="s">
        <v>205</v>
      </c>
      <c r="V169" t="s">
        <v>519</v>
      </c>
      <c r="W169">
        <v>10</v>
      </c>
      <c r="X169">
        <v>0.15</v>
      </c>
      <c r="Y169">
        <v>88.81</v>
      </c>
    </row>
    <row r="170" spans="1:25" x14ac:dyDescent="0.3">
      <c r="A170" t="s">
        <v>520</v>
      </c>
      <c r="B170" t="s">
        <v>521</v>
      </c>
      <c r="C170" t="s">
        <v>327</v>
      </c>
      <c r="D170" s="9">
        <v>34747</v>
      </c>
      <c r="E170">
        <v>2419.0700000000002</v>
      </c>
      <c r="F170">
        <v>2023</v>
      </c>
      <c r="G170" t="s">
        <v>28</v>
      </c>
      <c r="H170" t="s">
        <v>29</v>
      </c>
      <c r="I170" t="s">
        <v>30</v>
      </c>
      <c r="J170" t="s">
        <v>143</v>
      </c>
      <c r="K170" t="s">
        <v>32</v>
      </c>
      <c r="L170" t="s">
        <v>63</v>
      </c>
      <c r="M170" s="9">
        <v>45157</v>
      </c>
      <c r="N170" t="s">
        <v>522</v>
      </c>
      <c r="O170" s="9">
        <v>45154</v>
      </c>
      <c r="P170" s="9">
        <v>45157</v>
      </c>
      <c r="Q170" t="s">
        <v>121</v>
      </c>
      <c r="R170" t="s">
        <v>523</v>
      </c>
      <c r="S170">
        <v>461724</v>
      </c>
      <c r="T170" t="s">
        <v>55</v>
      </c>
      <c r="U170" t="s">
        <v>56</v>
      </c>
      <c r="V170" t="s">
        <v>524</v>
      </c>
      <c r="W170">
        <v>9</v>
      </c>
      <c r="X170">
        <v>0.1</v>
      </c>
      <c r="Y170">
        <v>281.36</v>
      </c>
    </row>
    <row r="171" spans="1:25" x14ac:dyDescent="0.3">
      <c r="A171" t="s">
        <v>525</v>
      </c>
      <c r="B171" t="s">
        <v>526</v>
      </c>
      <c r="C171" t="s">
        <v>27</v>
      </c>
      <c r="D171" s="9">
        <v>27804</v>
      </c>
      <c r="E171">
        <v>1431.36</v>
      </c>
      <c r="F171">
        <v>2023</v>
      </c>
      <c r="G171" t="s">
        <v>48</v>
      </c>
      <c r="H171" t="s">
        <v>29</v>
      </c>
      <c r="I171" t="s">
        <v>61</v>
      </c>
      <c r="J171" t="s">
        <v>31</v>
      </c>
      <c r="K171" t="s">
        <v>32</v>
      </c>
      <c r="L171" t="s">
        <v>144</v>
      </c>
      <c r="M171" s="9">
        <v>45017</v>
      </c>
      <c r="N171" t="s">
        <v>527</v>
      </c>
      <c r="O171" s="9">
        <v>45014</v>
      </c>
      <c r="P171" s="9">
        <v>45017</v>
      </c>
      <c r="Q171" t="s">
        <v>41</v>
      </c>
      <c r="R171" t="s">
        <v>236</v>
      </c>
      <c r="S171">
        <v>857065</v>
      </c>
      <c r="T171" t="s">
        <v>204</v>
      </c>
      <c r="U171" t="s">
        <v>205</v>
      </c>
      <c r="V171" t="s">
        <v>528</v>
      </c>
      <c r="W171">
        <v>6</v>
      </c>
      <c r="X171">
        <v>0</v>
      </c>
      <c r="Y171">
        <v>295.33999999999997</v>
      </c>
    </row>
    <row r="172" spans="1:25" x14ac:dyDescent="0.3">
      <c r="A172" t="s">
        <v>525</v>
      </c>
      <c r="B172" t="s">
        <v>526</v>
      </c>
      <c r="C172" t="s">
        <v>27</v>
      </c>
      <c r="D172" s="9">
        <v>27804</v>
      </c>
      <c r="E172">
        <v>262.61</v>
      </c>
      <c r="F172">
        <v>2023</v>
      </c>
      <c r="G172" t="s">
        <v>87</v>
      </c>
      <c r="H172" t="s">
        <v>29</v>
      </c>
      <c r="I172" t="s">
        <v>49</v>
      </c>
      <c r="J172" t="s">
        <v>31</v>
      </c>
      <c r="K172" t="s">
        <v>32</v>
      </c>
      <c r="L172" t="s">
        <v>144</v>
      </c>
      <c r="M172" s="9">
        <v>45035</v>
      </c>
      <c r="N172" t="s">
        <v>529</v>
      </c>
      <c r="O172" s="9">
        <v>45034</v>
      </c>
      <c r="P172" s="9">
        <v>45035</v>
      </c>
      <c r="Q172" t="s">
        <v>35</v>
      </c>
      <c r="R172" t="s">
        <v>236</v>
      </c>
      <c r="S172">
        <v>810032</v>
      </c>
      <c r="T172" t="s">
        <v>84</v>
      </c>
      <c r="U172" t="s">
        <v>85</v>
      </c>
      <c r="V172" t="s">
        <v>530</v>
      </c>
      <c r="W172">
        <v>2</v>
      </c>
      <c r="X172">
        <v>0.2</v>
      </c>
      <c r="Y172">
        <v>69.13</v>
      </c>
    </row>
    <row r="173" spans="1:25" x14ac:dyDescent="0.3">
      <c r="A173" t="s">
        <v>525</v>
      </c>
      <c r="B173" t="s">
        <v>526</v>
      </c>
      <c r="C173" t="s">
        <v>27</v>
      </c>
      <c r="D173" s="9">
        <v>27804</v>
      </c>
      <c r="E173">
        <v>854.76</v>
      </c>
      <c r="F173">
        <v>2023</v>
      </c>
      <c r="G173" t="s">
        <v>28</v>
      </c>
      <c r="H173" t="s">
        <v>29</v>
      </c>
      <c r="I173" t="s">
        <v>61</v>
      </c>
      <c r="J173" t="s">
        <v>31</v>
      </c>
      <c r="K173" t="s">
        <v>32</v>
      </c>
      <c r="L173" t="s">
        <v>144</v>
      </c>
      <c r="M173" s="9">
        <v>45046</v>
      </c>
      <c r="N173" t="s">
        <v>531</v>
      </c>
      <c r="O173" s="9">
        <v>45045</v>
      </c>
      <c r="P173" s="9">
        <v>45049</v>
      </c>
      <c r="Q173" t="s">
        <v>121</v>
      </c>
      <c r="R173" t="s">
        <v>236</v>
      </c>
      <c r="S173">
        <v>295440</v>
      </c>
      <c r="T173" t="s">
        <v>66</v>
      </c>
      <c r="U173" t="s">
        <v>67</v>
      </c>
      <c r="V173" t="s">
        <v>532</v>
      </c>
      <c r="W173">
        <v>3</v>
      </c>
      <c r="X173">
        <v>0</v>
      </c>
      <c r="Y173">
        <v>186.3</v>
      </c>
    </row>
    <row r="174" spans="1:25" x14ac:dyDescent="0.3">
      <c r="A174" t="s">
        <v>525</v>
      </c>
      <c r="B174" t="s">
        <v>526</v>
      </c>
      <c r="C174" t="s">
        <v>27</v>
      </c>
      <c r="D174" s="9">
        <v>27804</v>
      </c>
      <c r="E174">
        <v>214.26</v>
      </c>
      <c r="F174">
        <v>2023</v>
      </c>
      <c r="G174" t="s">
        <v>28</v>
      </c>
      <c r="H174" t="s">
        <v>29</v>
      </c>
      <c r="I174" t="s">
        <v>49</v>
      </c>
      <c r="J174" t="s">
        <v>31</v>
      </c>
      <c r="K174" t="s">
        <v>32</v>
      </c>
      <c r="L174" t="s">
        <v>144</v>
      </c>
      <c r="M174" s="9">
        <v>45233</v>
      </c>
      <c r="N174" t="s">
        <v>533</v>
      </c>
      <c r="O174" s="9">
        <v>45229</v>
      </c>
      <c r="P174" s="9">
        <v>45233</v>
      </c>
      <c r="Q174" t="s">
        <v>41</v>
      </c>
      <c r="R174" t="s">
        <v>236</v>
      </c>
      <c r="S174">
        <v>104666</v>
      </c>
      <c r="T174" t="s">
        <v>51</v>
      </c>
      <c r="U174" t="s">
        <v>52</v>
      </c>
      <c r="V174" t="s">
        <v>534</v>
      </c>
      <c r="W174">
        <v>7</v>
      </c>
      <c r="X174">
        <v>0.1</v>
      </c>
      <c r="Y174">
        <v>67.48</v>
      </c>
    </row>
    <row r="175" spans="1:25" x14ac:dyDescent="0.3">
      <c r="A175" t="s">
        <v>525</v>
      </c>
      <c r="B175" t="s">
        <v>526</v>
      </c>
      <c r="C175" t="s">
        <v>27</v>
      </c>
      <c r="D175" s="9">
        <v>27804</v>
      </c>
      <c r="E175">
        <v>1524.48</v>
      </c>
      <c r="F175">
        <v>2024</v>
      </c>
      <c r="G175" t="s">
        <v>87</v>
      </c>
      <c r="H175" t="s">
        <v>29</v>
      </c>
      <c r="I175" t="s">
        <v>49</v>
      </c>
      <c r="J175" t="s">
        <v>31</v>
      </c>
      <c r="K175" t="s">
        <v>32</v>
      </c>
      <c r="L175" t="s">
        <v>144</v>
      </c>
      <c r="M175" s="9">
        <v>45352</v>
      </c>
      <c r="N175" t="s">
        <v>535</v>
      </c>
      <c r="O175" s="9">
        <v>45352</v>
      </c>
      <c r="P175" s="9">
        <v>45357</v>
      </c>
      <c r="Q175" t="s">
        <v>121</v>
      </c>
      <c r="R175" t="s">
        <v>236</v>
      </c>
      <c r="S175">
        <v>483561</v>
      </c>
      <c r="T175" t="s">
        <v>109</v>
      </c>
      <c r="U175" t="s">
        <v>110</v>
      </c>
      <c r="V175" t="s">
        <v>536</v>
      </c>
      <c r="W175">
        <v>5</v>
      </c>
      <c r="X175">
        <v>0.2</v>
      </c>
      <c r="Y175">
        <v>440.27</v>
      </c>
    </row>
    <row r="176" spans="1:25" x14ac:dyDescent="0.3">
      <c r="A176" t="s">
        <v>525</v>
      </c>
      <c r="B176" t="s">
        <v>526</v>
      </c>
      <c r="C176" t="s">
        <v>27</v>
      </c>
      <c r="D176" s="9">
        <v>27804</v>
      </c>
      <c r="E176">
        <v>233.49</v>
      </c>
      <c r="F176">
        <v>2024</v>
      </c>
      <c r="G176" t="s">
        <v>87</v>
      </c>
      <c r="H176" t="s">
        <v>29</v>
      </c>
      <c r="I176" t="s">
        <v>43</v>
      </c>
      <c r="J176" t="s">
        <v>31</v>
      </c>
      <c r="K176" t="s">
        <v>32</v>
      </c>
      <c r="L176" t="s">
        <v>144</v>
      </c>
      <c r="M176" s="9">
        <v>45424</v>
      </c>
      <c r="N176" t="s">
        <v>537</v>
      </c>
      <c r="O176" s="9">
        <v>45421</v>
      </c>
      <c r="P176" s="9">
        <v>45424</v>
      </c>
      <c r="Q176" t="s">
        <v>41</v>
      </c>
      <c r="R176" t="s">
        <v>236</v>
      </c>
      <c r="S176">
        <v>715519</v>
      </c>
      <c r="T176" t="s">
        <v>45</v>
      </c>
      <c r="U176" t="s">
        <v>46</v>
      </c>
      <c r="V176" t="s">
        <v>538</v>
      </c>
      <c r="W176">
        <v>2</v>
      </c>
      <c r="X176">
        <v>0.2</v>
      </c>
      <c r="Y176">
        <v>45.96</v>
      </c>
    </row>
    <row r="177" spans="1:25" x14ac:dyDescent="0.3">
      <c r="A177" t="s">
        <v>525</v>
      </c>
      <c r="B177" t="s">
        <v>526</v>
      </c>
      <c r="C177" t="s">
        <v>27</v>
      </c>
      <c r="D177" s="9">
        <v>27804</v>
      </c>
      <c r="E177">
        <v>2024.51</v>
      </c>
      <c r="F177">
        <v>2025</v>
      </c>
      <c r="G177" t="s">
        <v>87</v>
      </c>
      <c r="H177" t="s">
        <v>29</v>
      </c>
      <c r="I177" t="s">
        <v>78</v>
      </c>
      <c r="J177" t="s">
        <v>31</v>
      </c>
      <c r="K177" t="s">
        <v>32</v>
      </c>
      <c r="L177" t="s">
        <v>144</v>
      </c>
      <c r="M177" s="9">
        <v>45674</v>
      </c>
      <c r="N177" t="s">
        <v>539</v>
      </c>
      <c r="O177" s="9">
        <v>45674</v>
      </c>
      <c r="P177" s="9">
        <v>45677</v>
      </c>
      <c r="Q177" t="s">
        <v>121</v>
      </c>
      <c r="R177" t="s">
        <v>236</v>
      </c>
      <c r="S177">
        <v>428399</v>
      </c>
      <c r="T177" t="s">
        <v>117</v>
      </c>
      <c r="U177" t="s">
        <v>118</v>
      </c>
      <c r="V177" t="s">
        <v>540</v>
      </c>
      <c r="W177">
        <v>8</v>
      </c>
      <c r="X177">
        <v>0.2</v>
      </c>
      <c r="Y177">
        <v>510.33</v>
      </c>
    </row>
    <row r="178" spans="1:25" x14ac:dyDescent="0.3">
      <c r="A178" t="s">
        <v>525</v>
      </c>
      <c r="B178" t="s">
        <v>526</v>
      </c>
      <c r="C178" t="s">
        <v>27</v>
      </c>
      <c r="D178" s="9">
        <v>27804</v>
      </c>
      <c r="E178">
        <v>183.36</v>
      </c>
      <c r="F178">
        <v>2025</v>
      </c>
      <c r="G178" t="s">
        <v>87</v>
      </c>
      <c r="H178" t="s">
        <v>29</v>
      </c>
      <c r="I178" t="s">
        <v>78</v>
      </c>
      <c r="J178" t="s">
        <v>31</v>
      </c>
      <c r="K178" t="s">
        <v>32</v>
      </c>
      <c r="L178" t="s">
        <v>144</v>
      </c>
      <c r="M178" s="9">
        <v>45781</v>
      </c>
      <c r="N178" t="s">
        <v>541</v>
      </c>
      <c r="O178" s="9">
        <v>45778</v>
      </c>
      <c r="P178" s="9">
        <v>45782</v>
      </c>
      <c r="Q178" t="s">
        <v>121</v>
      </c>
      <c r="R178" t="s">
        <v>236</v>
      </c>
      <c r="S178">
        <v>702727</v>
      </c>
      <c r="T178" t="s">
        <v>89</v>
      </c>
      <c r="U178" t="s">
        <v>90</v>
      </c>
      <c r="V178" t="s">
        <v>542</v>
      </c>
      <c r="W178">
        <v>2</v>
      </c>
      <c r="X178">
        <v>0.15</v>
      </c>
      <c r="Y178">
        <v>16.940000000000001</v>
      </c>
    </row>
    <row r="179" spans="1:25" x14ac:dyDescent="0.3">
      <c r="A179" t="s">
        <v>543</v>
      </c>
      <c r="B179" t="s">
        <v>544</v>
      </c>
      <c r="C179" t="s">
        <v>545</v>
      </c>
      <c r="D179" s="9">
        <v>32818</v>
      </c>
      <c r="E179">
        <v>816.13</v>
      </c>
      <c r="F179">
        <v>2023</v>
      </c>
      <c r="G179" t="s">
        <v>28</v>
      </c>
      <c r="H179" t="s">
        <v>29</v>
      </c>
      <c r="I179" t="s">
        <v>30</v>
      </c>
      <c r="J179" t="s">
        <v>31</v>
      </c>
      <c r="K179" t="s">
        <v>32</v>
      </c>
      <c r="L179" t="s">
        <v>33</v>
      </c>
      <c r="M179" s="9">
        <v>45118</v>
      </c>
      <c r="N179" t="s">
        <v>546</v>
      </c>
      <c r="O179" s="9">
        <v>45117</v>
      </c>
      <c r="P179" s="9">
        <v>45119</v>
      </c>
      <c r="Q179" t="s">
        <v>35</v>
      </c>
      <c r="R179" t="s">
        <v>236</v>
      </c>
      <c r="S179">
        <v>476479</v>
      </c>
      <c r="T179" t="s">
        <v>55</v>
      </c>
      <c r="U179" t="s">
        <v>56</v>
      </c>
      <c r="V179" t="s">
        <v>547</v>
      </c>
      <c r="W179">
        <v>3</v>
      </c>
      <c r="X179">
        <v>0.05</v>
      </c>
      <c r="Y179">
        <v>111.52</v>
      </c>
    </row>
    <row r="180" spans="1:25" x14ac:dyDescent="0.3">
      <c r="A180" t="s">
        <v>543</v>
      </c>
      <c r="B180" t="s">
        <v>544</v>
      </c>
      <c r="C180" t="s">
        <v>545</v>
      </c>
      <c r="D180" s="9">
        <v>32818</v>
      </c>
      <c r="E180">
        <v>1480.68</v>
      </c>
      <c r="F180">
        <v>2024</v>
      </c>
      <c r="G180" t="s">
        <v>87</v>
      </c>
      <c r="H180" t="s">
        <v>29</v>
      </c>
      <c r="I180" t="s">
        <v>78</v>
      </c>
      <c r="J180" t="s">
        <v>31</v>
      </c>
      <c r="K180" t="s">
        <v>32</v>
      </c>
      <c r="L180" t="s">
        <v>33</v>
      </c>
      <c r="M180" s="9">
        <v>45428</v>
      </c>
      <c r="N180" t="s">
        <v>548</v>
      </c>
      <c r="O180" s="9">
        <v>45425</v>
      </c>
      <c r="P180" s="9">
        <v>45429</v>
      </c>
      <c r="Q180" t="s">
        <v>41</v>
      </c>
      <c r="R180" t="s">
        <v>236</v>
      </c>
      <c r="S180">
        <v>535820</v>
      </c>
      <c r="T180" t="s">
        <v>80</v>
      </c>
      <c r="U180" t="s">
        <v>81</v>
      </c>
      <c r="V180" t="s">
        <v>549</v>
      </c>
      <c r="W180">
        <v>4</v>
      </c>
      <c r="X180">
        <v>0.1</v>
      </c>
      <c r="Y180">
        <v>298.55</v>
      </c>
    </row>
    <row r="181" spans="1:25" x14ac:dyDescent="0.3">
      <c r="A181" t="s">
        <v>543</v>
      </c>
      <c r="B181" t="s">
        <v>544</v>
      </c>
      <c r="C181" t="s">
        <v>545</v>
      </c>
      <c r="D181" s="9">
        <v>32818</v>
      </c>
      <c r="E181">
        <v>179.04</v>
      </c>
      <c r="F181">
        <v>2024</v>
      </c>
      <c r="G181" t="s">
        <v>48</v>
      </c>
      <c r="H181" t="s">
        <v>29</v>
      </c>
      <c r="I181" t="s">
        <v>49</v>
      </c>
      <c r="J181" t="s">
        <v>31</v>
      </c>
      <c r="K181" t="s">
        <v>32</v>
      </c>
      <c r="L181" t="s">
        <v>33</v>
      </c>
      <c r="M181" s="9">
        <v>45578</v>
      </c>
      <c r="N181" t="s">
        <v>550</v>
      </c>
      <c r="O181" s="9">
        <v>45577</v>
      </c>
      <c r="P181" s="9">
        <v>45579</v>
      </c>
      <c r="Q181" t="s">
        <v>74</v>
      </c>
      <c r="R181" t="s">
        <v>236</v>
      </c>
      <c r="S181">
        <v>335765</v>
      </c>
      <c r="T181" t="s">
        <v>84</v>
      </c>
      <c r="U181" t="s">
        <v>85</v>
      </c>
      <c r="V181" t="s">
        <v>551</v>
      </c>
      <c r="W181">
        <v>3</v>
      </c>
      <c r="X181">
        <v>0</v>
      </c>
      <c r="Y181">
        <v>51.7</v>
      </c>
    </row>
    <row r="182" spans="1:25" x14ac:dyDescent="0.3">
      <c r="A182" t="s">
        <v>552</v>
      </c>
      <c r="B182" t="s">
        <v>234</v>
      </c>
      <c r="C182" t="s">
        <v>142</v>
      </c>
      <c r="D182" s="9">
        <v>34082</v>
      </c>
      <c r="E182">
        <v>669.06</v>
      </c>
      <c r="F182">
        <v>2023</v>
      </c>
      <c r="G182" t="s">
        <v>87</v>
      </c>
      <c r="H182" t="s">
        <v>163</v>
      </c>
      <c r="I182" t="s">
        <v>49</v>
      </c>
      <c r="J182" t="s">
        <v>102</v>
      </c>
      <c r="K182" t="s">
        <v>32</v>
      </c>
      <c r="L182" t="s">
        <v>33</v>
      </c>
      <c r="M182" s="9">
        <v>45101</v>
      </c>
      <c r="N182" t="s">
        <v>553</v>
      </c>
      <c r="O182" s="9">
        <v>45099</v>
      </c>
      <c r="P182" s="9">
        <v>45104</v>
      </c>
      <c r="Q182" t="s">
        <v>35</v>
      </c>
      <c r="R182" t="s">
        <v>197</v>
      </c>
      <c r="S182">
        <v>896922</v>
      </c>
      <c r="T182" t="s">
        <v>84</v>
      </c>
      <c r="U182" t="s">
        <v>85</v>
      </c>
      <c r="V182" t="s">
        <v>554</v>
      </c>
      <c r="W182">
        <v>9</v>
      </c>
      <c r="X182">
        <v>0</v>
      </c>
      <c r="Y182">
        <v>87.22</v>
      </c>
    </row>
    <row r="183" spans="1:25" x14ac:dyDescent="0.3">
      <c r="A183" t="s">
        <v>552</v>
      </c>
      <c r="B183" t="s">
        <v>234</v>
      </c>
      <c r="C183" t="s">
        <v>142</v>
      </c>
      <c r="D183" s="9">
        <v>34082</v>
      </c>
      <c r="E183">
        <v>1980.36</v>
      </c>
      <c r="F183">
        <v>2024</v>
      </c>
      <c r="G183" t="s">
        <v>48</v>
      </c>
      <c r="H183" t="s">
        <v>163</v>
      </c>
      <c r="I183" t="s">
        <v>49</v>
      </c>
      <c r="J183" t="s">
        <v>102</v>
      </c>
      <c r="K183" t="s">
        <v>32</v>
      </c>
      <c r="L183" t="s">
        <v>33</v>
      </c>
      <c r="M183" s="9">
        <v>45396</v>
      </c>
      <c r="N183" t="s">
        <v>555</v>
      </c>
      <c r="O183" s="9">
        <v>45395</v>
      </c>
      <c r="P183" s="9">
        <v>45397</v>
      </c>
      <c r="Q183" t="s">
        <v>41</v>
      </c>
      <c r="R183" t="s">
        <v>197</v>
      </c>
      <c r="S183">
        <v>375581</v>
      </c>
      <c r="T183" t="s">
        <v>84</v>
      </c>
      <c r="U183" t="s">
        <v>85</v>
      </c>
      <c r="V183" t="s">
        <v>556</v>
      </c>
      <c r="W183">
        <v>4</v>
      </c>
      <c r="X183">
        <v>0</v>
      </c>
      <c r="Y183">
        <v>536.27</v>
      </c>
    </row>
    <row r="184" spans="1:25" x14ac:dyDescent="0.3">
      <c r="A184" t="s">
        <v>552</v>
      </c>
      <c r="B184" t="s">
        <v>234</v>
      </c>
      <c r="C184" t="s">
        <v>142</v>
      </c>
      <c r="D184" s="9">
        <v>34082</v>
      </c>
      <c r="E184">
        <v>784.6</v>
      </c>
      <c r="F184">
        <v>2024</v>
      </c>
      <c r="G184" t="s">
        <v>28</v>
      </c>
      <c r="H184" t="s">
        <v>163</v>
      </c>
      <c r="I184" t="s">
        <v>43</v>
      </c>
      <c r="J184" t="s">
        <v>102</v>
      </c>
      <c r="K184" t="s">
        <v>32</v>
      </c>
      <c r="L184" t="s">
        <v>33</v>
      </c>
      <c r="M184" s="9">
        <v>45511</v>
      </c>
      <c r="N184" t="s">
        <v>557</v>
      </c>
      <c r="O184" s="9">
        <v>45506</v>
      </c>
      <c r="P184" s="9">
        <v>45511</v>
      </c>
      <c r="Q184" t="s">
        <v>41</v>
      </c>
      <c r="R184" t="s">
        <v>197</v>
      </c>
      <c r="S184">
        <v>274044</v>
      </c>
      <c r="T184" t="s">
        <v>45</v>
      </c>
      <c r="U184" t="s">
        <v>46</v>
      </c>
      <c r="V184" t="s">
        <v>558</v>
      </c>
      <c r="W184">
        <v>2</v>
      </c>
      <c r="X184">
        <v>0</v>
      </c>
      <c r="Y184">
        <v>88.63</v>
      </c>
    </row>
    <row r="185" spans="1:25" x14ac:dyDescent="0.3">
      <c r="A185" t="s">
        <v>552</v>
      </c>
      <c r="B185" t="s">
        <v>234</v>
      </c>
      <c r="C185" t="s">
        <v>142</v>
      </c>
      <c r="D185" s="9">
        <v>34082</v>
      </c>
      <c r="E185">
        <v>1313.57</v>
      </c>
      <c r="F185">
        <v>2025</v>
      </c>
      <c r="G185" t="s">
        <v>87</v>
      </c>
      <c r="H185" t="s">
        <v>163</v>
      </c>
      <c r="I185" t="s">
        <v>30</v>
      </c>
      <c r="J185" t="s">
        <v>102</v>
      </c>
      <c r="K185" t="s">
        <v>32</v>
      </c>
      <c r="L185" t="s">
        <v>33</v>
      </c>
      <c r="M185" s="9">
        <v>45728</v>
      </c>
      <c r="N185" t="s">
        <v>559</v>
      </c>
      <c r="O185" s="9">
        <v>45726</v>
      </c>
      <c r="P185" s="9">
        <v>45729</v>
      </c>
      <c r="Q185" t="s">
        <v>121</v>
      </c>
      <c r="R185" t="s">
        <v>197</v>
      </c>
      <c r="S185">
        <v>439375</v>
      </c>
      <c r="T185" t="s">
        <v>75</v>
      </c>
      <c r="U185" t="s">
        <v>76</v>
      </c>
      <c r="V185" t="s">
        <v>560</v>
      </c>
      <c r="W185">
        <v>4</v>
      </c>
      <c r="X185">
        <v>0.2</v>
      </c>
      <c r="Y185">
        <v>89.07</v>
      </c>
    </row>
    <row r="186" spans="1:25" x14ac:dyDescent="0.3">
      <c r="A186" t="s">
        <v>561</v>
      </c>
      <c r="B186" t="s">
        <v>562</v>
      </c>
      <c r="C186" t="s">
        <v>248</v>
      </c>
      <c r="D186" s="9">
        <v>29156</v>
      </c>
      <c r="E186">
        <v>3227.07</v>
      </c>
      <c r="F186">
        <v>2023</v>
      </c>
      <c r="G186" t="s">
        <v>48</v>
      </c>
      <c r="H186" t="s">
        <v>29</v>
      </c>
      <c r="I186" t="s">
        <v>78</v>
      </c>
      <c r="J186" t="s">
        <v>102</v>
      </c>
      <c r="K186" t="s">
        <v>32</v>
      </c>
      <c r="L186" t="s">
        <v>144</v>
      </c>
      <c r="M186" s="9">
        <v>45202</v>
      </c>
      <c r="N186" t="s">
        <v>563</v>
      </c>
      <c r="O186" s="9">
        <v>45200</v>
      </c>
      <c r="P186" s="9">
        <v>45202</v>
      </c>
      <c r="Q186" t="s">
        <v>121</v>
      </c>
      <c r="R186" t="s">
        <v>104</v>
      </c>
      <c r="S186">
        <v>253347</v>
      </c>
      <c r="T186" t="s">
        <v>89</v>
      </c>
      <c r="U186" t="s">
        <v>90</v>
      </c>
      <c r="V186" t="s">
        <v>564</v>
      </c>
      <c r="W186">
        <v>7</v>
      </c>
      <c r="X186">
        <v>0</v>
      </c>
      <c r="Y186">
        <v>1000.76</v>
      </c>
    </row>
    <row r="187" spans="1:25" x14ac:dyDescent="0.3">
      <c r="A187" t="s">
        <v>561</v>
      </c>
      <c r="B187" t="s">
        <v>562</v>
      </c>
      <c r="C187" t="s">
        <v>248</v>
      </c>
      <c r="D187" s="9">
        <v>29156</v>
      </c>
      <c r="E187">
        <v>1310.73</v>
      </c>
      <c r="F187">
        <v>2023</v>
      </c>
      <c r="G187" t="s">
        <v>87</v>
      </c>
      <c r="H187" t="s">
        <v>29</v>
      </c>
      <c r="I187" t="s">
        <v>49</v>
      </c>
      <c r="J187" t="s">
        <v>102</v>
      </c>
      <c r="K187" t="s">
        <v>32</v>
      </c>
      <c r="L187" t="s">
        <v>144</v>
      </c>
      <c r="M187" s="9">
        <v>45225</v>
      </c>
      <c r="N187" t="s">
        <v>565</v>
      </c>
      <c r="O187" s="9">
        <v>45223</v>
      </c>
      <c r="P187" s="9">
        <v>45225</v>
      </c>
      <c r="Q187" t="s">
        <v>74</v>
      </c>
      <c r="R187" t="s">
        <v>104</v>
      </c>
      <c r="S187">
        <v>758309</v>
      </c>
      <c r="T187" t="s">
        <v>84</v>
      </c>
      <c r="U187" t="s">
        <v>85</v>
      </c>
      <c r="V187" t="s">
        <v>566</v>
      </c>
      <c r="W187">
        <v>4</v>
      </c>
      <c r="X187">
        <v>0.15</v>
      </c>
      <c r="Y187">
        <v>219.95</v>
      </c>
    </row>
    <row r="188" spans="1:25" x14ac:dyDescent="0.3">
      <c r="A188" t="s">
        <v>561</v>
      </c>
      <c r="B188" t="s">
        <v>562</v>
      </c>
      <c r="C188" t="s">
        <v>248</v>
      </c>
      <c r="D188" s="9">
        <v>29156</v>
      </c>
      <c r="E188">
        <v>518.62</v>
      </c>
      <c r="F188">
        <v>2023</v>
      </c>
      <c r="G188" t="s">
        <v>28</v>
      </c>
      <c r="H188" t="s">
        <v>29</v>
      </c>
      <c r="I188" t="s">
        <v>92</v>
      </c>
      <c r="J188" t="s">
        <v>102</v>
      </c>
      <c r="K188" t="s">
        <v>32</v>
      </c>
      <c r="L188" t="s">
        <v>144</v>
      </c>
      <c r="M188" s="9">
        <v>45231</v>
      </c>
      <c r="N188" t="s">
        <v>567</v>
      </c>
      <c r="O188" s="9">
        <v>45226</v>
      </c>
      <c r="P188" s="9">
        <v>45231</v>
      </c>
      <c r="Q188" t="s">
        <v>74</v>
      </c>
      <c r="R188" t="s">
        <v>104</v>
      </c>
      <c r="S188">
        <v>576782</v>
      </c>
      <c r="T188" t="s">
        <v>127</v>
      </c>
      <c r="U188" t="s">
        <v>128</v>
      </c>
      <c r="V188" t="s">
        <v>568</v>
      </c>
      <c r="W188">
        <v>2</v>
      </c>
      <c r="X188">
        <v>0.2</v>
      </c>
      <c r="Y188">
        <v>40.42</v>
      </c>
    </row>
    <row r="189" spans="1:25" x14ac:dyDescent="0.3">
      <c r="A189" t="s">
        <v>561</v>
      </c>
      <c r="B189" t="s">
        <v>562</v>
      </c>
      <c r="C189" t="s">
        <v>248</v>
      </c>
      <c r="D189" s="9">
        <v>29156</v>
      </c>
      <c r="E189">
        <v>349.66</v>
      </c>
      <c r="F189">
        <v>2024</v>
      </c>
      <c r="G189" t="s">
        <v>48</v>
      </c>
      <c r="H189" t="s">
        <v>29</v>
      </c>
      <c r="I189" t="s">
        <v>92</v>
      </c>
      <c r="J189" t="s">
        <v>102</v>
      </c>
      <c r="K189" t="s">
        <v>32</v>
      </c>
      <c r="L189" t="s">
        <v>144</v>
      </c>
      <c r="M189" s="9">
        <v>45455</v>
      </c>
      <c r="N189" t="s">
        <v>569</v>
      </c>
      <c r="O189" s="9">
        <v>45453</v>
      </c>
      <c r="P189" s="9">
        <v>45457</v>
      </c>
      <c r="Q189" t="s">
        <v>41</v>
      </c>
      <c r="R189" t="s">
        <v>104</v>
      </c>
      <c r="S189">
        <v>328411</v>
      </c>
      <c r="T189" t="s">
        <v>94</v>
      </c>
      <c r="U189" t="s">
        <v>95</v>
      </c>
      <c r="V189" t="s">
        <v>570</v>
      </c>
      <c r="W189">
        <v>1</v>
      </c>
      <c r="X189">
        <v>0.2</v>
      </c>
      <c r="Y189">
        <v>94.34</v>
      </c>
    </row>
    <row r="190" spans="1:25" x14ac:dyDescent="0.3">
      <c r="A190" t="s">
        <v>561</v>
      </c>
      <c r="B190" t="s">
        <v>562</v>
      </c>
      <c r="C190" t="s">
        <v>248</v>
      </c>
      <c r="D190" s="9">
        <v>29156</v>
      </c>
      <c r="E190">
        <v>874.9</v>
      </c>
      <c r="F190">
        <v>2024</v>
      </c>
      <c r="G190" t="s">
        <v>87</v>
      </c>
      <c r="H190" t="s">
        <v>29</v>
      </c>
      <c r="I190" t="s">
        <v>92</v>
      </c>
      <c r="J190" t="s">
        <v>102</v>
      </c>
      <c r="K190" t="s">
        <v>32</v>
      </c>
      <c r="L190" t="s">
        <v>144</v>
      </c>
      <c r="M190" s="9">
        <v>45514</v>
      </c>
      <c r="N190" t="s">
        <v>571</v>
      </c>
      <c r="O190" s="9">
        <v>45513</v>
      </c>
      <c r="P190" s="9">
        <v>45518</v>
      </c>
      <c r="Q190" t="s">
        <v>41</v>
      </c>
      <c r="R190" t="s">
        <v>104</v>
      </c>
      <c r="S190">
        <v>926596</v>
      </c>
      <c r="T190" t="s">
        <v>147</v>
      </c>
      <c r="U190" t="s">
        <v>148</v>
      </c>
      <c r="V190" t="s">
        <v>572</v>
      </c>
      <c r="W190">
        <v>5</v>
      </c>
      <c r="X190">
        <v>0</v>
      </c>
      <c r="Y190">
        <v>132.4</v>
      </c>
    </row>
    <row r="191" spans="1:25" x14ac:dyDescent="0.3">
      <c r="A191" t="s">
        <v>561</v>
      </c>
      <c r="B191" t="s">
        <v>562</v>
      </c>
      <c r="C191" t="s">
        <v>248</v>
      </c>
      <c r="D191" s="9">
        <v>29156</v>
      </c>
      <c r="E191">
        <v>35.74</v>
      </c>
      <c r="F191">
        <v>2024</v>
      </c>
      <c r="G191" t="s">
        <v>48</v>
      </c>
      <c r="H191" t="s">
        <v>29</v>
      </c>
      <c r="I191" t="s">
        <v>43</v>
      </c>
      <c r="J191" t="s">
        <v>102</v>
      </c>
      <c r="K191" t="s">
        <v>32</v>
      </c>
      <c r="L191" t="s">
        <v>144</v>
      </c>
      <c r="M191" s="9">
        <v>45622</v>
      </c>
      <c r="N191" t="s">
        <v>573</v>
      </c>
      <c r="O191" s="9">
        <v>45622</v>
      </c>
      <c r="P191" s="9">
        <v>45626</v>
      </c>
      <c r="Q191" t="s">
        <v>121</v>
      </c>
      <c r="R191" t="s">
        <v>104</v>
      </c>
      <c r="S191">
        <v>562721</v>
      </c>
      <c r="T191" t="s">
        <v>70</v>
      </c>
      <c r="U191" t="s">
        <v>71</v>
      </c>
      <c r="V191" t="s">
        <v>574</v>
      </c>
      <c r="W191">
        <v>1</v>
      </c>
      <c r="X191">
        <v>0.15</v>
      </c>
      <c r="Y191">
        <v>10.19</v>
      </c>
    </row>
    <row r="192" spans="1:25" x14ac:dyDescent="0.3">
      <c r="A192" t="s">
        <v>561</v>
      </c>
      <c r="B192" t="s">
        <v>562</v>
      </c>
      <c r="C192" t="s">
        <v>248</v>
      </c>
      <c r="D192" s="9">
        <v>29156</v>
      </c>
      <c r="E192">
        <v>1991.72</v>
      </c>
      <c r="F192">
        <v>2025</v>
      </c>
      <c r="G192" t="s">
        <v>28</v>
      </c>
      <c r="H192" t="s">
        <v>29</v>
      </c>
      <c r="I192" t="s">
        <v>92</v>
      </c>
      <c r="J192" t="s">
        <v>102</v>
      </c>
      <c r="K192" t="s">
        <v>32</v>
      </c>
      <c r="L192" t="s">
        <v>144</v>
      </c>
      <c r="M192" s="9">
        <v>45762</v>
      </c>
      <c r="N192" t="s">
        <v>575</v>
      </c>
      <c r="O192" s="9">
        <v>45761</v>
      </c>
      <c r="P192" s="9">
        <v>45764</v>
      </c>
      <c r="Q192" t="s">
        <v>35</v>
      </c>
      <c r="R192" t="s">
        <v>104</v>
      </c>
      <c r="S192">
        <v>786385</v>
      </c>
      <c r="T192" t="s">
        <v>187</v>
      </c>
      <c r="U192" t="s">
        <v>188</v>
      </c>
      <c r="V192" t="s">
        <v>576</v>
      </c>
      <c r="W192">
        <v>4</v>
      </c>
      <c r="X192">
        <v>0</v>
      </c>
      <c r="Y192">
        <v>626.67999999999995</v>
      </c>
    </row>
    <row r="193" spans="1:25" x14ac:dyDescent="0.3">
      <c r="A193" t="s">
        <v>561</v>
      </c>
      <c r="B193" t="s">
        <v>562</v>
      </c>
      <c r="C193" t="s">
        <v>248</v>
      </c>
      <c r="D193" s="9">
        <v>29156</v>
      </c>
      <c r="E193">
        <v>1728.7</v>
      </c>
      <c r="F193">
        <v>2025</v>
      </c>
      <c r="G193" t="s">
        <v>87</v>
      </c>
      <c r="H193" t="s">
        <v>29</v>
      </c>
      <c r="I193" t="s">
        <v>43</v>
      </c>
      <c r="J193" t="s">
        <v>102</v>
      </c>
      <c r="K193" t="s">
        <v>32</v>
      </c>
      <c r="L193" t="s">
        <v>144</v>
      </c>
      <c r="M193" s="9">
        <v>45807</v>
      </c>
      <c r="N193" t="s">
        <v>577</v>
      </c>
      <c r="O193" s="9">
        <v>45805</v>
      </c>
      <c r="P193" s="9">
        <v>45809</v>
      </c>
      <c r="Q193" t="s">
        <v>121</v>
      </c>
      <c r="R193" t="s">
        <v>104</v>
      </c>
      <c r="S193">
        <v>550081</v>
      </c>
      <c r="T193" t="s">
        <v>153</v>
      </c>
      <c r="U193" t="s">
        <v>154</v>
      </c>
      <c r="V193" t="s">
        <v>578</v>
      </c>
      <c r="W193">
        <v>6</v>
      </c>
      <c r="X193">
        <v>0.15</v>
      </c>
      <c r="Y193">
        <v>172.28</v>
      </c>
    </row>
    <row r="194" spans="1:25" x14ac:dyDescent="0.3">
      <c r="A194" t="s">
        <v>579</v>
      </c>
      <c r="B194" t="s">
        <v>492</v>
      </c>
      <c r="C194" t="s">
        <v>455</v>
      </c>
      <c r="D194" s="9">
        <v>27253</v>
      </c>
      <c r="E194">
        <v>1023.45</v>
      </c>
      <c r="F194">
        <v>2023</v>
      </c>
      <c r="G194" t="s">
        <v>28</v>
      </c>
      <c r="H194" t="s">
        <v>29</v>
      </c>
      <c r="I194" t="s">
        <v>78</v>
      </c>
      <c r="J194" t="s">
        <v>62</v>
      </c>
      <c r="K194" t="s">
        <v>32</v>
      </c>
      <c r="L194" t="s">
        <v>63</v>
      </c>
      <c r="M194" s="9">
        <v>44928</v>
      </c>
      <c r="N194" t="s">
        <v>580</v>
      </c>
      <c r="O194" s="9">
        <v>44928</v>
      </c>
      <c r="P194" s="9">
        <v>44931</v>
      </c>
      <c r="Q194" t="s">
        <v>121</v>
      </c>
      <c r="R194" t="s">
        <v>65</v>
      </c>
      <c r="S194">
        <v>600905</v>
      </c>
      <c r="T194" t="s">
        <v>89</v>
      </c>
      <c r="U194" t="s">
        <v>90</v>
      </c>
      <c r="V194" t="s">
        <v>581</v>
      </c>
      <c r="W194">
        <v>4</v>
      </c>
      <c r="X194">
        <v>0.05</v>
      </c>
      <c r="Y194">
        <v>54.02</v>
      </c>
    </row>
    <row r="195" spans="1:25" x14ac:dyDescent="0.3">
      <c r="A195" t="s">
        <v>579</v>
      </c>
      <c r="B195" t="s">
        <v>492</v>
      </c>
      <c r="C195" t="s">
        <v>455</v>
      </c>
      <c r="D195" s="9">
        <v>27253</v>
      </c>
      <c r="E195">
        <v>741.54</v>
      </c>
      <c r="F195">
        <v>2023</v>
      </c>
      <c r="G195" t="s">
        <v>48</v>
      </c>
      <c r="H195" t="s">
        <v>29</v>
      </c>
      <c r="I195" t="s">
        <v>78</v>
      </c>
      <c r="J195" t="s">
        <v>62</v>
      </c>
      <c r="K195" t="s">
        <v>32</v>
      </c>
      <c r="L195" t="s">
        <v>63</v>
      </c>
      <c r="M195" s="9">
        <v>45026</v>
      </c>
      <c r="N195" t="s">
        <v>582</v>
      </c>
      <c r="O195" s="9">
        <v>45024</v>
      </c>
      <c r="P195" s="9">
        <v>45027</v>
      </c>
      <c r="Q195" t="s">
        <v>41</v>
      </c>
      <c r="R195" t="s">
        <v>65</v>
      </c>
      <c r="S195">
        <v>911032</v>
      </c>
      <c r="T195" t="s">
        <v>89</v>
      </c>
      <c r="U195" t="s">
        <v>90</v>
      </c>
      <c r="V195" t="s">
        <v>583</v>
      </c>
      <c r="W195">
        <v>2</v>
      </c>
      <c r="X195">
        <v>0</v>
      </c>
      <c r="Y195">
        <v>60.04</v>
      </c>
    </row>
    <row r="196" spans="1:25" x14ac:dyDescent="0.3">
      <c r="A196" t="s">
        <v>579</v>
      </c>
      <c r="B196" t="s">
        <v>492</v>
      </c>
      <c r="C196" t="s">
        <v>455</v>
      </c>
      <c r="D196" s="9">
        <v>27253</v>
      </c>
      <c r="E196">
        <v>2352.08</v>
      </c>
      <c r="F196">
        <v>2023</v>
      </c>
      <c r="G196" t="s">
        <v>87</v>
      </c>
      <c r="H196" t="s">
        <v>29</v>
      </c>
      <c r="I196" t="s">
        <v>61</v>
      </c>
      <c r="J196" t="s">
        <v>62</v>
      </c>
      <c r="K196" t="s">
        <v>32</v>
      </c>
      <c r="L196" t="s">
        <v>63</v>
      </c>
      <c r="M196" s="9">
        <v>45147</v>
      </c>
      <c r="N196" t="s">
        <v>584</v>
      </c>
      <c r="O196" s="9">
        <v>45145</v>
      </c>
      <c r="P196" s="9">
        <v>45149</v>
      </c>
      <c r="Q196" t="s">
        <v>121</v>
      </c>
      <c r="R196" t="s">
        <v>65</v>
      </c>
      <c r="S196">
        <v>758589</v>
      </c>
      <c r="T196" t="s">
        <v>66</v>
      </c>
      <c r="U196" t="s">
        <v>67</v>
      </c>
      <c r="V196" t="s">
        <v>585</v>
      </c>
      <c r="W196">
        <v>9</v>
      </c>
      <c r="X196">
        <v>0.1</v>
      </c>
      <c r="Y196">
        <v>576.27</v>
      </c>
    </row>
    <row r="197" spans="1:25" x14ac:dyDescent="0.3">
      <c r="A197" t="s">
        <v>579</v>
      </c>
      <c r="B197" t="s">
        <v>492</v>
      </c>
      <c r="C197" t="s">
        <v>455</v>
      </c>
      <c r="D197" s="9">
        <v>27253</v>
      </c>
      <c r="E197">
        <v>2796.4</v>
      </c>
      <c r="F197">
        <v>2024</v>
      </c>
      <c r="G197" t="s">
        <v>48</v>
      </c>
      <c r="H197" t="s">
        <v>29</v>
      </c>
      <c r="I197" t="s">
        <v>49</v>
      </c>
      <c r="J197" t="s">
        <v>62</v>
      </c>
      <c r="K197" t="s">
        <v>32</v>
      </c>
      <c r="L197" t="s">
        <v>63</v>
      </c>
      <c r="M197" s="9">
        <v>45415</v>
      </c>
      <c r="N197" t="s">
        <v>586</v>
      </c>
      <c r="O197" s="9">
        <v>45415</v>
      </c>
      <c r="P197" s="9">
        <v>45416</v>
      </c>
      <c r="Q197" t="s">
        <v>41</v>
      </c>
      <c r="R197" t="s">
        <v>65</v>
      </c>
      <c r="S197">
        <v>468611</v>
      </c>
      <c r="T197" t="s">
        <v>109</v>
      </c>
      <c r="U197" t="s">
        <v>110</v>
      </c>
      <c r="V197" t="s">
        <v>587</v>
      </c>
      <c r="W197">
        <v>10</v>
      </c>
      <c r="X197">
        <v>0.2</v>
      </c>
      <c r="Y197">
        <v>322.07</v>
      </c>
    </row>
    <row r="198" spans="1:25" x14ac:dyDescent="0.3">
      <c r="A198" t="s">
        <v>579</v>
      </c>
      <c r="B198" t="s">
        <v>492</v>
      </c>
      <c r="C198" t="s">
        <v>455</v>
      </c>
      <c r="D198" s="9">
        <v>27253</v>
      </c>
      <c r="E198">
        <v>354.3</v>
      </c>
      <c r="F198">
        <v>2024</v>
      </c>
      <c r="G198" t="s">
        <v>87</v>
      </c>
      <c r="H198" t="s">
        <v>29</v>
      </c>
      <c r="I198" t="s">
        <v>92</v>
      </c>
      <c r="J198" t="s">
        <v>62</v>
      </c>
      <c r="K198" t="s">
        <v>32</v>
      </c>
      <c r="L198" t="s">
        <v>63</v>
      </c>
      <c r="M198" s="9">
        <v>45651</v>
      </c>
      <c r="N198" t="s">
        <v>588</v>
      </c>
      <c r="O198" s="9">
        <v>45647</v>
      </c>
      <c r="P198" s="9">
        <v>45652</v>
      </c>
      <c r="Q198" t="s">
        <v>74</v>
      </c>
      <c r="R198" t="s">
        <v>65</v>
      </c>
      <c r="S198">
        <v>916808</v>
      </c>
      <c r="T198" t="s">
        <v>94</v>
      </c>
      <c r="U198" t="s">
        <v>95</v>
      </c>
      <c r="V198" t="s">
        <v>589</v>
      </c>
      <c r="W198">
        <v>3</v>
      </c>
      <c r="X198">
        <v>0.15</v>
      </c>
      <c r="Y198">
        <v>26.67</v>
      </c>
    </row>
    <row r="199" spans="1:25" x14ac:dyDescent="0.3">
      <c r="A199" t="s">
        <v>590</v>
      </c>
      <c r="B199" t="s">
        <v>591</v>
      </c>
      <c r="C199" t="s">
        <v>545</v>
      </c>
      <c r="D199" s="9">
        <v>31487</v>
      </c>
      <c r="E199">
        <v>1515.84</v>
      </c>
      <c r="F199">
        <v>2023</v>
      </c>
      <c r="G199" t="s">
        <v>28</v>
      </c>
      <c r="H199" t="s">
        <v>29</v>
      </c>
      <c r="I199" t="s">
        <v>30</v>
      </c>
      <c r="J199" t="s">
        <v>31</v>
      </c>
      <c r="K199" t="s">
        <v>32</v>
      </c>
      <c r="L199" t="s">
        <v>144</v>
      </c>
      <c r="M199" s="9">
        <v>44955</v>
      </c>
      <c r="N199" t="s">
        <v>592</v>
      </c>
      <c r="O199" s="9">
        <v>44954</v>
      </c>
      <c r="P199" s="9">
        <v>44956</v>
      </c>
      <c r="Q199" t="s">
        <v>35</v>
      </c>
      <c r="R199" t="s">
        <v>236</v>
      </c>
      <c r="S199">
        <v>352792</v>
      </c>
      <c r="T199" t="s">
        <v>55</v>
      </c>
      <c r="U199" t="s">
        <v>56</v>
      </c>
      <c r="V199" t="s">
        <v>593</v>
      </c>
      <c r="W199">
        <v>4</v>
      </c>
      <c r="X199">
        <v>0</v>
      </c>
      <c r="Y199">
        <v>369.64</v>
      </c>
    </row>
    <row r="200" spans="1:25" x14ac:dyDescent="0.3">
      <c r="A200" t="s">
        <v>590</v>
      </c>
      <c r="B200" t="s">
        <v>591</v>
      </c>
      <c r="C200" t="s">
        <v>545</v>
      </c>
      <c r="D200" s="9">
        <v>31487</v>
      </c>
      <c r="E200">
        <v>493.7</v>
      </c>
      <c r="F200">
        <v>2023</v>
      </c>
      <c r="G200" t="s">
        <v>28</v>
      </c>
      <c r="H200" t="s">
        <v>29</v>
      </c>
      <c r="I200" t="s">
        <v>92</v>
      </c>
      <c r="J200" t="s">
        <v>31</v>
      </c>
      <c r="K200" t="s">
        <v>32</v>
      </c>
      <c r="L200" t="s">
        <v>144</v>
      </c>
      <c r="M200" s="9">
        <v>45140</v>
      </c>
      <c r="N200" t="s">
        <v>594</v>
      </c>
      <c r="O200" s="9">
        <v>45137</v>
      </c>
      <c r="P200" s="9">
        <v>45142</v>
      </c>
      <c r="Q200" t="s">
        <v>121</v>
      </c>
      <c r="R200" t="s">
        <v>236</v>
      </c>
      <c r="S200">
        <v>899776</v>
      </c>
      <c r="T200" t="s">
        <v>187</v>
      </c>
      <c r="U200" t="s">
        <v>188</v>
      </c>
      <c r="V200" t="s">
        <v>595</v>
      </c>
      <c r="W200">
        <v>1</v>
      </c>
      <c r="X200">
        <v>0</v>
      </c>
      <c r="Y200">
        <v>44.23</v>
      </c>
    </row>
    <row r="201" spans="1:25" x14ac:dyDescent="0.3">
      <c r="A201" t="s">
        <v>590</v>
      </c>
      <c r="B201" t="s">
        <v>591</v>
      </c>
      <c r="C201" t="s">
        <v>545</v>
      </c>
      <c r="D201" s="9">
        <v>31487</v>
      </c>
      <c r="E201">
        <v>524.20000000000005</v>
      </c>
      <c r="F201">
        <v>2023</v>
      </c>
      <c r="G201" t="s">
        <v>87</v>
      </c>
      <c r="H201" t="s">
        <v>29</v>
      </c>
      <c r="I201" t="s">
        <v>92</v>
      </c>
      <c r="J201" t="s">
        <v>31</v>
      </c>
      <c r="K201" t="s">
        <v>32</v>
      </c>
      <c r="L201" t="s">
        <v>144</v>
      </c>
      <c r="M201" s="9">
        <v>45236</v>
      </c>
      <c r="N201" t="s">
        <v>596</v>
      </c>
      <c r="O201" s="9">
        <v>45235</v>
      </c>
      <c r="P201" s="9">
        <v>45236</v>
      </c>
      <c r="Q201" t="s">
        <v>74</v>
      </c>
      <c r="R201" t="s">
        <v>236</v>
      </c>
      <c r="S201">
        <v>759104</v>
      </c>
      <c r="T201" t="s">
        <v>187</v>
      </c>
      <c r="U201" t="s">
        <v>188</v>
      </c>
      <c r="V201" t="s">
        <v>597</v>
      </c>
      <c r="W201">
        <v>10</v>
      </c>
      <c r="X201">
        <v>0</v>
      </c>
      <c r="Y201">
        <v>60.14</v>
      </c>
    </row>
    <row r="202" spans="1:25" x14ac:dyDescent="0.3">
      <c r="A202" t="s">
        <v>590</v>
      </c>
      <c r="B202" t="s">
        <v>591</v>
      </c>
      <c r="C202" t="s">
        <v>545</v>
      </c>
      <c r="D202" s="9">
        <v>31487</v>
      </c>
      <c r="E202">
        <v>1485.08</v>
      </c>
      <c r="F202">
        <v>2024</v>
      </c>
      <c r="G202" t="s">
        <v>87</v>
      </c>
      <c r="H202" t="s">
        <v>29</v>
      </c>
      <c r="I202" t="s">
        <v>49</v>
      </c>
      <c r="J202" t="s">
        <v>31</v>
      </c>
      <c r="K202" t="s">
        <v>32</v>
      </c>
      <c r="L202" t="s">
        <v>144</v>
      </c>
      <c r="M202" s="9">
        <v>45605</v>
      </c>
      <c r="N202" t="s">
        <v>598</v>
      </c>
      <c r="O202" s="9">
        <v>45601</v>
      </c>
      <c r="P202" s="9">
        <v>45606</v>
      </c>
      <c r="Q202" t="s">
        <v>121</v>
      </c>
      <c r="R202" t="s">
        <v>236</v>
      </c>
      <c r="S202">
        <v>390946</v>
      </c>
      <c r="T202" t="s">
        <v>51</v>
      </c>
      <c r="U202" t="s">
        <v>52</v>
      </c>
      <c r="V202" t="s">
        <v>599</v>
      </c>
      <c r="W202">
        <v>7</v>
      </c>
      <c r="X202">
        <v>0.05</v>
      </c>
      <c r="Y202">
        <v>110.98</v>
      </c>
    </row>
    <row r="203" spans="1:25" x14ac:dyDescent="0.3">
      <c r="A203" t="s">
        <v>590</v>
      </c>
      <c r="B203" t="s">
        <v>591</v>
      </c>
      <c r="C203" t="s">
        <v>545</v>
      </c>
      <c r="D203" s="9">
        <v>31487</v>
      </c>
      <c r="E203">
        <v>3326.69</v>
      </c>
      <c r="F203">
        <v>2025</v>
      </c>
      <c r="G203" t="s">
        <v>87</v>
      </c>
      <c r="H203" t="s">
        <v>29</v>
      </c>
      <c r="I203" t="s">
        <v>78</v>
      </c>
      <c r="J203" t="s">
        <v>31</v>
      </c>
      <c r="K203" t="s">
        <v>32</v>
      </c>
      <c r="L203" t="s">
        <v>144</v>
      </c>
      <c r="M203" s="9">
        <v>45797</v>
      </c>
      <c r="N203" t="s">
        <v>600</v>
      </c>
      <c r="O203" s="9">
        <v>45794</v>
      </c>
      <c r="P203" s="9">
        <v>45797</v>
      </c>
      <c r="Q203" t="s">
        <v>35</v>
      </c>
      <c r="R203" t="s">
        <v>236</v>
      </c>
      <c r="S203">
        <v>425236</v>
      </c>
      <c r="T203" t="s">
        <v>117</v>
      </c>
      <c r="U203" t="s">
        <v>118</v>
      </c>
      <c r="V203" t="s">
        <v>601</v>
      </c>
      <c r="W203">
        <v>9</v>
      </c>
      <c r="X203">
        <v>0.2</v>
      </c>
      <c r="Y203">
        <v>321.39999999999998</v>
      </c>
    </row>
    <row r="204" spans="1:25" x14ac:dyDescent="0.3">
      <c r="A204" t="s">
        <v>590</v>
      </c>
      <c r="B204" t="s">
        <v>591</v>
      </c>
      <c r="C204" t="s">
        <v>545</v>
      </c>
      <c r="D204" s="9">
        <v>31487</v>
      </c>
      <c r="E204">
        <v>191.16</v>
      </c>
      <c r="F204">
        <v>2025</v>
      </c>
      <c r="G204" t="s">
        <v>87</v>
      </c>
      <c r="H204" t="s">
        <v>29</v>
      </c>
      <c r="I204" t="s">
        <v>49</v>
      </c>
      <c r="J204" t="s">
        <v>31</v>
      </c>
      <c r="K204" t="s">
        <v>32</v>
      </c>
      <c r="L204" t="s">
        <v>144</v>
      </c>
      <c r="M204" s="9">
        <v>45796</v>
      </c>
      <c r="N204" t="s">
        <v>602</v>
      </c>
      <c r="O204" s="9">
        <v>45795</v>
      </c>
      <c r="P204" s="9">
        <v>45796</v>
      </c>
      <c r="Q204" t="s">
        <v>35</v>
      </c>
      <c r="R204" t="s">
        <v>236</v>
      </c>
      <c r="S204">
        <v>424314</v>
      </c>
      <c r="T204" t="s">
        <v>84</v>
      </c>
      <c r="U204" t="s">
        <v>85</v>
      </c>
      <c r="V204" t="s">
        <v>603</v>
      </c>
      <c r="W204">
        <v>4</v>
      </c>
      <c r="X204">
        <v>0</v>
      </c>
      <c r="Y204">
        <v>62.58</v>
      </c>
    </row>
    <row r="205" spans="1:25" x14ac:dyDescent="0.3">
      <c r="A205" t="s">
        <v>590</v>
      </c>
      <c r="B205" t="s">
        <v>591</v>
      </c>
      <c r="C205" t="s">
        <v>545</v>
      </c>
      <c r="D205" s="9">
        <v>31487</v>
      </c>
      <c r="E205">
        <v>197.19</v>
      </c>
      <c r="F205">
        <v>2025</v>
      </c>
      <c r="G205" t="s">
        <v>28</v>
      </c>
      <c r="H205" t="s">
        <v>29</v>
      </c>
      <c r="I205" t="s">
        <v>49</v>
      </c>
      <c r="J205" t="s">
        <v>31</v>
      </c>
      <c r="K205" t="s">
        <v>32</v>
      </c>
      <c r="L205" t="s">
        <v>144</v>
      </c>
      <c r="M205" s="9">
        <v>45823</v>
      </c>
      <c r="N205" t="s">
        <v>604</v>
      </c>
      <c r="O205" s="9">
        <v>45823</v>
      </c>
      <c r="P205" s="9">
        <v>45824</v>
      </c>
      <c r="Q205" t="s">
        <v>74</v>
      </c>
      <c r="R205" t="s">
        <v>236</v>
      </c>
      <c r="S205">
        <v>648410</v>
      </c>
      <c r="T205" t="s">
        <v>51</v>
      </c>
      <c r="U205" t="s">
        <v>52</v>
      </c>
      <c r="V205" t="s">
        <v>605</v>
      </c>
      <c r="W205">
        <v>3</v>
      </c>
      <c r="X205">
        <v>0.15</v>
      </c>
      <c r="Y205">
        <v>17.98</v>
      </c>
    </row>
    <row r="206" spans="1:25" x14ac:dyDescent="0.3">
      <c r="A206" t="s">
        <v>606</v>
      </c>
      <c r="B206" t="s">
        <v>607</v>
      </c>
      <c r="C206" t="s">
        <v>27</v>
      </c>
      <c r="D206" s="9">
        <v>25331</v>
      </c>
      <c r="E206">
        <v>1859.05</v>
      </c>
      <c r="F206">
        <v>2023</v>
      </c>
      <c r="G206" t="s">
        <v>28</v>
      </c>
      <c r="H206" t="s">
        <v>29</v>
      </c>
      <c r="I206" t="s">
        <v>43</v>
      </c>
      <c r="J206" t="s">
        <v>143</v>
      </c>
      <c r="K206" t="s">
        <v>32</v>
      </c>
      <c r="L206" t="s">
        <v>144</v>
      </c>
      <c r="M206" s="9">
        <v>45098</v>
      </c>
      <c r="N206" t="s">
        <v>608</v>
      </c>
      <c r="O206" s="9">
        <v>45097</v>
      </c>
      <c r="P206" s="9">
        <v>45098</v>
      </c>
      <c r="Q206" t="s">
        <v>74</v>
      </c>
      <c r="R206" t="s">
        <v>146</v>
      </c>
      <c r="S206">
        <v>649300</v>
      </c>
      <c r="T206" t="s">
        <v>45</v>
      </c>
      <c r="U206" t="s">
        <v>46</v>
      </c>
      <c r="V206" t="s">
        <v>609</v>
      </c>
      <c r="W206">
        <v>5</v>
      </c>
      <c r="X206">
        <v>0</v>
      </c>
      <c r="Y206">
        <v>523.19000000000005</v>
      </c>
    </row>
    <row r="207" spans="1:25" x14ac:dyDescent="0.3">
      <c r="A207" t="s">
        <v>606</v>
      </c>
      <c r="B207" t="s">
        <v>607</v>
      </c>
      <c r="C207" t="s">
        <v>27</v>
      </c>
      <c r="D207" s="9">
        <v>25331</v>
      </c>
      <c r="E207">
        <v>3051.59</v>
      </c>
      <c r="F207">
        <v>2023</v>
      </c>
      <c r="G207" t="s">
        <v>28</v>
      </c>
      <c r="H207" t="s">
        <v>29</v>
      </c>
      <c r="I207" t="s">
        <v>78</v>
      </c>
      <c r="J207" t="s">
        <v>143</v>
      </c>
      <c r="K207" t="s">
        <v>32</v>
      </c>
      <c r="L207" t="s">
        <v>144</v>
      </c>
      <c r="M207" s="9">
        <v>45192</v>
      </c>
      <c r="N207" t="s">
        <v>610</v>
      </c>
      <c r="O207" s="9">
        <v>45192</v>
      </c>
      <c r="P207" s="9">
        <v>45195</v>
      </c>
      <c r="Q207" t="s">
        <v>121</v>
      </c>
      <c r="R207" t="s">
        <v>146</v>
      </c>
      <c r="S207">
        <v>485548</v>
      </c>
      <c r="T207" t="s">
        <v>117</v>
      </c>
      <c r="U207" t="s">
        <v>118</v>
      </c>
      <c r="V207" t="s">
        <v>611</v>
      </c>
      <c r="W207">
        <v>10</v>
      </c>
      <c r="X207">
        <v>0.05</v>
      </c>
      <c r="Y207">
        <v>569.29999999999995</v>
      </c>
    </row>
    <row r="208" spans="1:25" x14ac:dyDescent="0.3">
      <c r="A208" t="s">
        <v>606</v>
      </c>
      <c r="B208" t="s">
        <v>607</v>
      </c>
      <c r="C208" t="s">
        <v>27</v>
      </c>
      <c r="D208" s="9">
        <v>25331</v>
      </c>
      <c r="E208">
        <v>763.73</v>
      </c>
      <c r="F208">
        <v>2025</v>
      </c>
      <c r="G208" t="s">
        <v>87</v>
      </c>
      <c r="H208" t="s">
        <v>29</v>
      </c>
      <c r="I208" t="s">
        <v>61</v>
      </c>
      <c r="J208" t="s">
        <v>143</v>
      </c>
      <c r="K208" t="s">
        <v>32</v>
      </c>
      <c r="L208" t="s">
        <v>144</v>
      </c>
      <c r="M208" s="9">
        <v>45667</v>
      </c>
      <c r="N208" t="s">
        <v>612</v>
      </c>
      <c r="O208" s="9">
        <v>45665</v>
      </c>
      <c r="P208" s="9">
        <v>45667</v>
      </c>
      <c r="Q208" t="s">
        <v>35</v>
      </c>
      <c r="R208" t="s">
        <v>146</v>
      </c>
      <c r="S208">
        <v>146177</v>
      </c>
      <c r="T208" t="s">
        <v>204</v>
      </c>
      <c r="U208" t="s">
        <v>205</v>
      </c>
      <c r="V208" t="s">
        <v>613</v>
      </c>
      <c r="W208">
        <v>2</v>
      </c>
      <c r="X208">
        <v>0.15</v>
      </c>
      <c r="Y208">
        <v>203.79</v>
      </c>
    </row>
    <row r="209" spans="1:25" x14ac:dyDescent="0.3">
      <c r="A209" t="s">
        <v>606</v>
      </c>
      <c r="B209" t="s">
        <v>607</v>
      </c>
      <c r="C209" t="s">
        <v>27</v>
      </c>
      <c r="D209" s="9">
        <v>25331</v>
      </c>
      <c r="E209">
        <v>1557.68</v>
      </c>
      <c r="F209">
        <v>2025</v>
      </c>
      <c r="G209" t="s">
        <v>48</v>
      </c>
      <c r="H209" t="s">
        <v>29</v>
      </c>
      <c r="I209" t="s">
        <v>78</v>
      </c>
      <c r="J209" t="s">
        <v>143</v>
      </c>
      <c r="K209" t="s">
        <v>32</v>
      </c>
      <c r="L209" t="s">
        <v>144</v>
      </c>
      <c r="M209" s="9">
        <v>45770</v>
      </c>
      <c r="N209" t="s">
        <v>614</v>
      </c>
      <c r="O209" s="9">
        <v>45769</v>
      </c>
      <c r="P209" s="9">
        <v>45770</v>
      </c>
      <c r="Q209" t="s">
        <v>74</v>
      </c>
      <c r="R209" t="s">
        <v>146</v>
      </c>
      <c r="S209">
        <v>360322</v>
      </c>
      <c r="T209" t="s">
        <v>89</v>
      </c>
      <c r="U209" t="s">
        <v>90</v>
      </c>
      <c r="V209" t="s">
        <v>615</v>
      </c>
      <c r="W209">
        <v>8</v>
      </c>
      <c r="X209">
        <v>0</v>
      </c>
      <c r="Y209">
        <v>161.51</v>
      </c>
    </row>
    <row r="210" spans="1:25" x14ac:dyDescent="0.3">
      <c r="A210" t="s">
        <v>616</v>
      </c>
      <c r="B210" t="s">
        <v>617</v>
      </c>
      <c r="C210" t="s">
        <v>618</v>
      </c>
      <c r="D210" s="9">
        <v>35688</v>
      </c>
      <c r="E210">
        <v>3088.8</v>
      </c>
      <c r="F210">
        <v>2023</v>
      </c>
      <c r="G210" t="s">
        <v>28</v>
      </c>
      <c r="H210" t="s">
        <v>163</v>
      </c>
      <c r="I210" t="s">
        <v>78</v>
      </c>
      <c r="J210" t="s">
        <v>102</v>
      </c>
      <c r="K210" t="s">
        <v>32</v>
      </c>
      <c r="L210" t="s">
        <v>33</v>
      </c>
      <c r="M210" s="9">
        <v>45204</v>
      </c>
      <c r="N210" t="s">
        <v>619</v>
      </c>
      <c r="O210" s="9">
        <v>45204</v>
      </c>
      <c r="P210" s="9">
        <v>45209</v>
      </c>
      <c r="Q210" t="s">
        <v>35</v>
      </c>
      <c r="R210" t="s">
        <v>197</v>
      </c>
      <c r="S210">
        <v>587686</v>
      </c>
      <c r="T210" t="s">
        <v>117</v>
      </c>
      <c r="U210" t="s">
        <v>118</v>
      </c>
      <c r="V210" t="s">
        <v>620</v>
      </c>
      <c r="W210">
        <v>9</v>
      </c>
      <c r="X210">
        <v>0</v>
      </c>
      <c r="Y210">
        <v>320.63</v>
      </c>
    </row>
    <row r="211" spans="1:25" x14ac:dyDescent="0.3">
      <c r="A211" t="s">
        <v>616</v>
      </c>
      <c r="B211" t="s">
        <v>617</v>
      </c>
      <c r="C211" t="s">
        <v>618</v>
      </c>
      <c r="D211" s="9">
        <v>35688</v>
      </c>
      <c r="E211">
        <v>570.96</v>
      </c>
      <c r="F211">
        <v>2023</v>
      </c>
      <c r="G211" t="s">
        <v>87</v>
      </c>
      <c r="H211" t="s">
        <v>163</v>
      </c>
      <c r="I211" t="s">
        <v>43</v>
      </c>
      <c r="J211" t="s">
        <v>102</v>
      </c>
      <c r="K211" t="s">
        <v>32</v>
      </c>
      <c r="L211" t="s">
        <v>33</v>
      </c>
      <c r="M211" s="9">
        <v>45256</v>
      </c>
      <c r="N211" t="s">
        <v>621</v>
      </c>
      <c r="O211" s="9">
        <v>45254</v>
      </c>
      <c r="P211" s="9">
        <v>45257</v>
      </c>
      <c r="Q211" t="s">
        <v>121</v>
      </c>
      <c r="R211" t="s">
        <v>197</v>
      </c>
      <c r="S211">
        <v>586462</v>
      </c>
      <c r="T211" t="s">
        <v>153</v>
      </c>
      <c r="U211" t="s">
        <v>154</v>
      </c>
      <c r="V211" t="s">
        <v>622</v>
      </c>
      <c r="W211">
        <v>2</v>
      </c>
      <c r="X211">
        <v>0</v>
      </c>
      <c r="Y211">
        <v>91.74</v>
      </c>
    </row>
    <row r="212" spans="1:25" x14ac:dyDescent="0.3">
      <c r="A212" t="s">
        <v>616</v>
      </c>
      <c r="B212" t="s">
        <v>617</v>
      </c>
      <c r="C212" t="s">
        <v>618</v>
      </c>
      <c r="D212" s="9">
        <v>35688</v>
      </c>
      <c r="E212">
        <v>1337.69</v>
      </c>
      <c r="F212">
        <v>2025</v>
      </c>
      <c r="G212" t="s">
        <v>48</v>
      </c>
      <c r="H212" t="s">
        <v>163</v>
      </c>
      <c r="I212" t="s">
        <v>43</v>
      </c>
      <c r="J212" t="s">
        <v>102</v>
      </c>
      <c r="K212" t="s">
        <v>32</v>
      </c>
      <c r="L212" t="s">
        <v>33</v>
      </c>
      <c r="M212" s="9">
        <v>45664</v>
      </c>
      <c r="N212" t="s">
        <v>623</v>
      </c>
      <c r="O212" s="9">
        <v>45664</v>
      </c>
      <c r="P212" s="9">
        <v>45666</v>
      </c>
      <c r="Q212" t="s">
        <v>41</v>
      </c>
      <c r="R212" t="s">
        <v>197</v>
      </c>
      <c r="S212">
        <v>125071</v>
      </c>
      <c r="T212" t="s">
        <v>70</v>
      </c>
      <c r="U212" t="s">
        <v>71</v>
      </c>
      <c r="V212" t="s">
        <v>624</v>
      </c>
      <c r="W212">
        <v>4</v>
      </c>
      <c r="X212">
        <v>0.1</v>
      </c>
      <c r="Y212">
        <v>372.07</v>
      </c>
    </row>
    <row r="213" spans="1:25" x14ac:dyDescent="0.3">
      <c r="A213" t="s">
        <v>625</v>
      </c>
      <c r="B213" t="s">
        <v>626</v>
      </c>
      <c r="C213" t="s">
        <v>60</v>
      </c>
      <c r="D213" s="9">
        <v>29302</v>
      </c>
      <c r="E213">
        <v>365.08</v>
      </c>
      <c r="F213">
        <v>2023</v>
      </c>
      <c r="G213" t="s">
        <v>48</v>
      </c>
      <c r="H213" t="s">
        <v>29</v>
      </c>
      <c r="I213" t="s">
        <v>49</v>
      </c>
      <c r="J213" t="s">
        <v>102</v>
      </c>
      <c r="K213" t="s">
        <v>32</v>
      </c>
      <c r="L213" t="s">
        <v>33</v>
      </c>
      <c r="M213" s="9">
        <v>45281</v>
      </c>
      <c r="N213" t="s">
        <v>627</v>
      </c>
      <c r="O213" s="9">
        <v>45281</v>
      </c>
      <c r="P213" s="9">
        <v>45284</v>
      </c>
      <c r="Q213" t="s">
        <v>121</v>
      </c>
      <c r="R213" t="s">
        <v>186</v>
      </c>
      <c r="S213">
        <v>540208</v>
      </c>
      <c r="T213" t="s">
        <v>109</v>
      </c>
      <c r="U213" t="s">
        <v>110</v>
      </c>
      <c r="V213" t="s">
        <v>628</v>
      </c>
      <c r="W213">
        <v>1</v>
      </c>
      <c r="X213">
        <v>0.05</v>
      </c>
      <c r="Y213">
        <v>111.24</v>
      </c>
    </row>
    <row r="214" spans="1:25" x14ac:dyDescent="0.3">
      <c r="A214" t="s">
        <v>625</v>
      </c>
      <c r="B214" t="s">
        <v>626</v>
      </c>
      <c r="C214" t="s">
        <v>60</v>
      </c>
      <c r="D214" s="9">
        <v>29302</v>
      </c>
      <c r="E214">
        <v>323.25</v>
      </c>
      <c r="F214">
        <v>2024</v>
      </c>
      <c r="G214" t="s">
        <v>87</v>
      </c>
      <c r="H214" t="s">
        <v>29</v>
      </c>
      <c r="I214" t="s">
        <v>92</v>
      </c>
      <c r="J214" t="s">
        <v>102</v>
      </c>
      <c r="K214" t="s">
        <v>32</v>
      </c>
      <c r="L214" t="s">
        <v>33</v>
      </c>
      <c r="M214" s="9">
        <v>45581</v>
      </c>
      <c r="N214" t="s">
        <v>629</v>
      </c>
      <c r="O214" s="9">
        <v>45578</v>
      </c>
      <c r="P214" s="9">
        <v>45583</v>
      </c>
      <c r="Q214" t="s">
        <v>74</v>
      </c>
      <c r="R214" t="s">
        <v>186</v>
      </c>
      <c r="S214">
        <v>580728</v>
      </c>
      <c r="T214" t="s">
        <v>187</v>
      </c>
      <c r="U214" t="s">
        <v>188</v>
      </c>
      <c r="V214" t="s">
        <v>630</v>
      </c>
      <c r="W214">
        <v>5</v>
      </c>
      <c r="X214">
        <v>0</v>
      </c>
      <c r="Y214">
        <v>103.18</v>
      </c>
    </row>
    <row r="215" spans="1:25" x14ac:dyDescent="0.3">
      <c r="A215" t="s">
        <v>631</v>
      </c>
      <c r="B215" t="s">
        <v>607</v>
      </c>
      <c r="C215" t="s">
        <v>632</v>
      </c>
      <c r="D215" s="9">
        <v>31093</v>
      </c>
      <c r="E215">
        <v>400.95</v>
      </c>
      <c r="F215">
        <v>2023</v>
      </c>
      <c r="G215" t="s">
        <v>28</v>
      </c>
      <c r="H215" t="s">
        <v>29</v>
      </c>
      <c r="I215" t="s">
        <v>78</v>
      </c>
      <c r="J215" t="s">
        <v>102</v>
      </c>
      <c r="K215" t="s">
        <v>32</v>
      </c>
      <c r="L215" t="s">
        <v>33</v>
      </c>
      <c r="M215" s="9">
        <v>45015</v>
      </c>
      <c r="N215" t="s">
        <v>633</v>
      </c>
      <c r="O215" s="9">
        <v>45013</v>
      </c>
      <c r="P215" s="9">
        <v>45017</v>
      </c>
      <c r="Q215" t="s">
        <v>41</v>
      </c>
      <c r="R215" t="s">
        <v>178</v>
      </c>
      <c r="S215">
        <v>385166</v>
      </c>
      <c r="T215" t="s">
        <v>135</v>
      </c>
      <c r="U215" t="s">
        <v>136</v>
      </c>
      <c r="V215" t="s">
        <v>634</v>
      </c>
      <c r="W215">
        <v>3</v>
      </c>
      <c r="X215">
        <v>0</v>
      </c>
      <c r="Y215">
        <v>122.4</v>
      </c>
    </row>
    <row r="216" spans="1:25" x14ac:dyDescent="0.3">
      <c r="A216" t="s">
        <v>631</v>
      </c>
      <c r="B216" t="s">
        <v>607</v>
      </c>
      <c r="C216" t="s">
        <v>632</v>
      </c>
      <c r="D216" s="9">
        <v>31093</v>
      </c>
      <c r="E216">
        <v>1064.8</v>
      </c>
      <c r="F216">
        <v>2023</v>
      </c>
      <c r="G216" t="s">
        <v>28</v>
      </c>
      <c r="H216" t="s">
        <v>29</v>
      </c>
      <c r="I216" t="s">
        <v>61</v>
      </c>
      <c r="J216" t="s">
        <v>102</v>
      </c>
      <c r="K216" t="s">
        <v>32</v>
      </c>
      <c r="L216" t="s">
        <v>33</v>
      </c>
      <c r="M216" s="9">
        <v>45024</v>
      </c>
      <c r="N216" t="s">
        <v>635</v>
      </c>
      <c r="O216" s="9">
        <v>45024</v>
      </c>
      <c r="P216" s="9">
        <v>45025</v>
      </c>
      <c r="Q216" t="s">
        <v>41</v>
      </c>
      <c r="R216" t="s">
        <v>178</v>
      </c>
      <c r="S216">
        <v>429287</v>
      </c>
      <c r="T216" t="s">
        <v>312</v>
      </c>
      <c r="U216" t="s">
        <v>313</v>
      </c>
      <c r="V216" t="s">
        <v>636</v>
      </c>
      <c r="W216">
        <v>3</v>
      </c>
      <c r="X216">
        <v>0.1</v>
      </c>
      <c r="Y216">
        <v>88.05</v>
      </c>
    </row>
    <row r="217" spans="1:25" x14ac:dyDescent="0.3">
      <c r="A217" t="s">
        <v>631</v>
      </c>
      <c r="B217" t="s">
        <v>607</v>
      </c>
      <c r="C217" t="s">
        <v>632</v>
      </c>
      <c r="D217" s="9">
        <v>31093</v>
      </c>
      <c r="E217">
        <v>2898.12</v>
      </c>
      <c r="F217">
        <v>2023</v>
      </c>
      <c r="G217" t="s">
        <v>48</v>
      </c>
      <c r="H217" t="s">
        <v>29</v>
      </c>
      <c r="I217" t="s">
        <v>92</v>
      </c>
      <c r="J217" t="s">
        <v>102</v>
      </c>
      <c r="K217" t="s">
        <v>32</v>
      </c>
      <c r="L217" t="s">
        <v>33</v>
      </c>
      <c r="M217" s="9">
        <v>45065</v>
      </c>
      <c r="N217" t="s">
        <v>637</v>
      </c>
      <c r="O217" s="9">
        <v>45063</v>
      </c>
      <c r="P217" s="9">
        <v>45067</v>
      </c>
      <c r="Q217" t="s">
        <v>35</v>
      </c>
      <c r="R217" t="s">
        <v>178</v>
      </c>
      <c r="S217">
        <v>265271</v>
      </c>
      <c r="T217" t="s">
        <v>187</v>
      </c>
      <c r="U217" t="s">
        <v>188</v>
      </c>
      <c r="V217" t="s">
        <v>638</v>
      </c>
      <c r="W217">
        <v>6</v>
      </c>
      <c r="X217">
        <v>0</v>
      </c>
      <c r="Y217">
        <v>537.82000000000005</v>
      </c>
    </row>
    <row r="218" spans="1:25" x14ac:dyDescent="0.3">
      <c r="A218" t="s">
        <v>631</v>
      </c>
      <c r="B218" t="s">
        <v>607</v>
      </c>
      <c r="C218" t="s">
        <v>632</v>
      </c>
      <c r="D218" s="9">
        <v>31093</v>
      </c>
      <c r="E218">
        <v>314.88</v>
      </c>
      <c r="F218">
        <v>2024</v>
      </c>
      <c r="G218" t="s">
        <v>87</v>
      </c>
      <c r="H218" t="s">
        <v>29</v>
      </c>
      <c r="I218" t="s">
        <v>49</v>
      </c>
      <c r="J218" t="s">
        <v>102</v>
      </c>
      <c r="K218" t="s">
        <v>32</v>
      </c>
      <c r="L218" t="s">
        <v>33</v>
      </c>
      <c r="M218" s="9">
        <v>45330</v>
      </c>
      <c r="N218" t="s">
        <v>639</v>
      </c>
      <c r="O218" s="9">
        <v>45330</v>
      </c>
      <c r="P218" s="9">
        <v>45332</v>
      </c>
      <c r="Q218" t="s">
        <v>121</v>
      </c>
      <c r="R218" t="s">
        <v>178</v>
      </c>
      <c r="S218">
        <v>473023</v>
      </c>
      <c r="T218" t="s">
        <v>84</v>
      </c>
      <c r="U218" t="s">
        <v>85</v>
      </c>
      <c r="V218" t="s">
        <v>640</v>
      </c>
      <c r="W218">
        <v>10</v>
      </c>
      <c r="X218">
        <v>0.2</v>
      </c>
      <c r="Y218">
        <v>96.66</v>
      </c>
    </row>
    <row r="219" spans="1:25" x14ac:dyDescent="0.3">
      <c r="A219" t="s">
        <v>631</v>
      </c>
      <c r="B219" t="s">
        <v>607</v>
      </c>
      <c r="C219" t="s">
        <v>632</v>
      </c>
      <c r="D219" s="9">
        <v>31093</v>
      </c>
      <c r="E219">
        <v>724.4</v>
      </c>
      <c r="F219">
        <v>2024</v>
      </c>
      <c r="G219" t="s">
        <v>87</v>
      </c>
      <c r="H219" t="s">
        <v>29</v>
      </c>
      <c r="I219" t="s">
        <v>92</v>
      </c>
      <c r="J219" t="s">
        <v>102</v>
      </c>
      <c r="K219" t="s">
        <v>32</v>
      </c>
      <c r="L219" t="s">
        <v>33</v>
      </c>
      <c r="M219" s="9">
        <v>45447</v>
      </c>
      <c r="N219" t="s">
        <v>641</v>
      </c>
      <c r="O219" s="9">
        <v>45444</v>
      </c>
      <c r="P219" s="9">
        <v>45448</v>
      </c>
      <c r="Q219" t="s">
        <v>121</v>
      </c>
      <c r="R219" t="s">
        <v>178</v>
      </c>
      <c r="S219">
        <v>199326</v>
      </c>
      <c r="T219" t="s">
        <v>187</v>
      </c>
      <c r="U219" t="s">
        <v>188</v>
      </c>
      <c r="V219" t="s">
        <v>642</v>
      </c>
      <c r="W219">
        <v>5</v>
      </c>
      <c r="X219">
        <v>0</v>
      </c>
      <c r="Y219">
        <v>42.97</v>
      </c>
    </row>
    <row r="220" spans="1:25" x14ac:dyDescent="0.3">
      <c r="A220" t="s">
        <v>631</v>
      </c>
      <c r="B220" t="s">
        <v>607</v>
      </c>
      <c r="C220" t="s">
        <v>632</v>
      </c>
      <c r="D220" s="9">
        <v>31093</v>
      </c>
      <c r="E220">
        <v>234.9</v>
      </c>
      <c r="F220">
        <v>2024</v>
      </c>
      <c r="G220" t="s">
        <v>48</v>
      </c>
      <c r="H220" t="s">
        <v>29</v>
      </c>
      <c r="I220" t="s">
        <v>92</v>
      </c>
      <c r="J220" t="s">
        <v>102</v>
      </c>
      <c r="K220" t="s">
        <v>32</v>
      </c>
      <c r="L220" t="s">
        <v>33</v>
      </c>
      <c r="M220" s="9">
        <v>45521</v>
      </c>
      <c r="N220" t="s">
        <v>643</v>
      </c>
      <c r="O220" s="9">
        <v>45521</v>
      </c>
      <c r="P220" s="9">
        <v>45523</v>
      </c>
      <c r="Q220" t="s">
        <v>41</v>
      </c>
      <c r="R220" t="s">
        <v>178</v>
      </c>
      <c r="S220">
        <v>490321</v>
      </c>
      <c r="T220" t="s">
        <v>187</v>
      </c>
      <c r="U220" t="s">
        <v>188</v>
      </c>
      <c r="V220" t="s">
        <v>644</v>
      </c>
      <c r="W220">
        <v>3</v>
      </c>
      <c r="X220">
        <v>0</v>
      </c>
      <c r="Y220">
        <v>70.260000000000005</v>
      </c>
    </row>
    <row r="221" spans="1:25" x14ac:dyDescent="0.3">
      <c r="A221" t="s">
        <v>631</v>
      </c>
      <c r="B221" t="s">
        <v>607</v>
      </c>
      <c r="C221" t="s">
        <v>632</v>
      </c>
      <c r="D221" s="9">
        <v>31093</v>
      </c>
      <c r="E221">
        <v>599.04</v>
      </c>
      <c r="F221">
        <v>2024</v>
      </c>
      <c r="G221" t="s">
        <v>48</v>
      </c>
      <c r="H221" t="s">
        <v>29</v>
      </c>
      <c r="I221" t="s">
        <v>49</v>
      </c>
      <c r="J221" t="s">
        <v>102</v>
      </c>
      <c r="K221" t="s">
        <v>32</v>
      </c>
      <c r="L221" t="s">
        <v>33</v>
      </c>
      <c r="M221" s="9">
        <v>45579</v>
      </c>
      <c r="N221" t="s">
        <v>645</v>
      </c>
      <c r="O221" s="9">
        <v>45579</v>
      </c>
      <c r="P221" s="9">
        <v>45580</v>
      </c>
      <c r="Q221" t="s">
        <v>121</v>
      </c>
      <c r="R221" t="s">
        <v>178</v>
      </c>
      <c r="S221">
        <v>777366</v>
      </c>
      <c r="T221" t="s">
        <v>51</v>
      </c>
      <c r="U221" t="s">
        <v>52</v>
      </c>
      <c r="V221" t="s">
        <v>646</v>
      </c>
      <c r="W221">
        <v>2</v>
      </c>
      <c r="X221">
        <v>0</v>
      </c>
      <c r="Y221">
        <v>194.82</v>
      </c>
    </row>
    <row r="222" spans="1:25" x14ac:dyDescent="0.3">
      <c r="A222" t="s">
        <v>631</v>
      </c>
      <c r="B222" t="s">
        <v>607</v>
      </c>
      <c r="C222" t="s">
        <v>632</v>
      </c>
      <c r="D222" s="9">
        <v>31093</v>
      </c>
      <c r="E222">
        <v>449.22</v>
      </c>
      <c r="F222">
        <v>2025</v>
      </c>
      <c r="G222" t="s">
        <v>87</v>
      </c>
      <c r="H222" t="s">
        <v>29</v>
      </c>
      <c r="I222" t="s">
        <v>92</v>
      </c>
      <c r="J222" t="s">
        <v>102</v>
      </c>
      <c r="K222" t="s">
        <v>32</v>
      </c>
      <c r="L222" t="s">
        <v>33</v>
      </c>
      <c r="M222" s="9">
        <v>45769</v>
      </c>
      <c r="N222" t="s">
        <v>647</v>
      </c>
      <c r="O222" s="9">
        <v>45766</v>
      </c>
      <c r="P222" s="9">
        <v>45771</v>
      </c>
      <c r="Q222" t="s">
        <v>41</v>
      </c>
      <c r="R222" t="s">
        <v>178</v>
      </c>
      <c r="S222">
        <v>620226</v>
      </c>
      <c r="T222" t="s">
        <v>147</v>
      </c>
      <c r="U222" t="s">
        <v>148</v>
      </c>
      <c r="V222" t="s">
        <v>648</v>
      </c>
      <c r="W222">
        <v>6</v>
      </c>
      <c r="X222">
        <v>0.05</v>
      </c>
      <c r="Y222">
        <v>29.29</v>
      </c>
    </row>
    <row r="223" spans="1:25" x14ac:dyDescent="0.3">
      <c r="A223" t="s">
        <v>649</v>
      </c>
      <c r="B223" t="s">
        <v>650</v>
      </c>
      <c r="C223" t="s">
        <v>618</v>
      </c>
      <c r="D223" s="9">
        <v>27835</v>
      </c>
      <c r="E223">
        <v>1823.96</v>
      </c>
      <c r="F223">
        <v>2024</v>
      </c>
      <c r="G223" t="s">
        <v>87</v>
      </c>
      <c r="H223" t="s">
        <v>29</v>
      </c>
      <c r="I223" t="s">
        <v>92</v>
      </c>
      <c r="J223" t="s">
        <v>102</v>
      </c>
      <c r="K223" t="s">
        <v>32</v>
      </c>
      <c r="L223" t="s">
        <v>63</v>
      </c>
      <c r="M223" s="9">
        <v>45626</v>
      </c>
      <c r="N223" t="s">
        <v>651</v>
      </c>
      <c r="O223" s="9">
        <v>45626</v>
      </c>
      <c r="P223" s="9">
        <v>45628</v>
      </c>
      <c r="Q223" t="s">
        <v>121</v>
      </c>
      <c r="R223" t="s">
        <v>104</v>
      </c>
      <c r="S223">
        <v>778720</v>
      </c>
      <c r="T223" t="s">
        <v>147</v>
      </c>
      <c r="U223" t="s">
        <v>148</v>
      </c>
      <c r="V223" t="s">
        <v>652</v>
      </c>
      <c r="W223">
        <v>4</v>
      </c>
      <c r="X223">
        <v>0</v>
      </c>
      <c r="Y223">
        <v>244.33</v>
      </c>
    </row>
    <row r="224" spans="1:25" x14ac:dyDescent="0.3">
      <c r="A224" t="s">
        <v>653</v>
      </c>
      <c r="B224" t="s">
        <v>183</v>
      </c>
      <c r="C224" t="s">
        <v>101</v>
      </c>
      <c r="D224" s="9">
        <v>34427</v>
      </c>
      <c r="E224">
        <v>968.29</v>
      </c>
      <c r="F224">
        <v>2024</v>
      </c>
      <c r="G224" t="s">
        <v>87</v>
      </c>
      <c r="H224" t="s">
        <v>29</v>
      </c>
      <c r="I224" t="s">
        <v>92</v>
      </c>
      <c r="J224" t="s">
        <v>62</v>
      </c>
      <c r="K224" t="s">
        <v>32</v>
      </c>
      <c r="L224" t="s">
        <v>33</v>
      </c>
      <c r="M224" s="9">
        <v>45349</v>
      </c>
      <c r="N224" t="s">
        <v>654</v>
      </c>
      <c r="O224" s="9">
        <v>45348</v>
      </c>
      <c r="P224" s="9">
        <v>45353</v>
      </c>
      <c r="Q224" t="s">
        <v>35</v>
      </c>
      <c r="R224" t="s">
        <v>65</v>
      </c>
      <c r="S224">
        <v>501078</v>
      </c>
      <c r="T224" t="s">
        <v>187</v>
      </c>
      <c r="U224" t="s">
        <v>188</v>
      </c>
      <c r="V224" t="s">
        <v>655</v>
      </c>
      <c r="W224">
        <v>5</v>
      </c>
      <c r="X224">
        <v>0.05</v>
      </c>
      <c r="Y224">
        <v>106.35</v>
      </c>
    </row>
    <row r="225" spans="1:25" x14ac:dyDescent="0.3">
      <c r="A225" t="s">
        <v>653</v>
      </c>
      <c r="B225" t="s">
        <v>183</v>
      </c>
      <c r="C225" t="s">
        <v>101</v>
      </c>
      <c r="D225" s="9">
        <v>34427</v>
      </c>
      <c r="E225">
        <v>3555.81</v>
      </c>
      <c r="F225">
        <v>2024</v>
      </c>
      <c r="G225" t="s">
        <v>28</v>
      </c>
      <c r="H225" t="s">
        <v>29</v>
      </c>
      <c r="I225" t="s">
        <v>49</v>
      </c>
      <c r="J225" t="s">
        <v>62</v>
      </c>
      <c r="K225" t="s">
        <v>32</v>
      </c>
      <c r="L225" t="s">
        <v>33</v>
      </c>
      <c r="M225" s="9">
        <v>45492</v>
      </c>
      <c r="N225" t="s">
        <v>656</v>
      </c>
      <c r="O225" s="9">
        <v>45490</v>
      </c>
      <c r="P225" s="9">
        <v>45495</v>
      </c>
      <c r="Q225" t="s">
        <v>74</v>
      </c>
      <c r="R225" t="s">
        <v>65</v>
      </c>
      <c r="S225">
        <v>288550</v>
      </c>
      <c r="T225" t="s">
        <v>84</v>
      </c>
      <c r="U225" t="s">
        <v>85</v>
      </c>
      <c r="V225" t="s">
        <v>657</v>
      </c>
      <c r="W225">
        <v>9</v>
      </c>
      <c r="X225">
        <v>0</v>
      </c>
      <c r="Y225">
        <v>1151.3800000000001</v>
      </c>
    </row>
    <row r="226" spans="1:25" x14ac:dyDescent="0.3">
      <c r="A226" t="s">
        <v>653</v>
      </c>
      <c r="B226" t="s">
        <v>183</v>
      </c>
      <c r="C226" t="s">
        <v>101</v>
      </c>
      <c r="D226" s="9">
        <v>34427</v>
      </c>
      <c r="E226">
        <v>109.02</v>
      </c>
      <c r="F226">
        <v>2025</v>
      </c>
      <c r="G226" t="s">
        <v>87</v>
      </c>
      <c r="H226" t="s">
        <v>29</v>
      </c>
      <c r="I226" t="s">
        <v>78</v>
      </c>
      <c r="J226" t="s">
        <v>62</v>
      </c>
      <c r="K226" t="s">
        <v>32</v>
      </c>
      <c r="L226" t="s">
        <v>33</v>
      </c>
      <c r="M226" s="9">
        <v>45831</v>
      </c>
      <c r="N226" t="s">
        <v>658</v>
      </c>
      <c r="O226" s="9">
        <v>45830</v>
      </c>
      <c r="P226" s="9">
        <v>45831</v>
      </c>
      <c r="Q226" t="s">
        <v>74</v>
      </c>
      <c r="R226" t="s">
        <v>65</v>
      </c>
      <c r="S226">
        <v>904092</v>
      </c>
      <c r="T226" t="s">
        <v>117</v>
      </c>
      <c r="U226" t="s">
        <v>118</v>
      </c>
      <c r="V226" t="s">
        <v>659</v>
      </c>
      <c r="W226">
        <v>4</v>
      </c>
      <c r="X226">
        <v>0.2</v>
      </c>
      <c r="Y226">
        <v>30.91</v>
      </c>
    </row>
    <row r="227" spans="1:25" x14ac:dyDescent="0.3">
      <c r="A227" t="s">
        <v>660</v>
      </c>
      <c r="B227" t="s">
        <v>661</v>
      </c>
      <c r="C227" t="s">
        <v>248</v>
      </c>
      <c r="D227" s="9">
        <v>27615</v>
      </c>
      <c r="E227">
        <v>3150.42</v>
      </c>
      <c r="F227">
        <v>2023</v>
      </c>
      <c r="G227" t="s">
        <v>28</v>
      </c>
      <c r="H227" t="s">
        <v>163</v>
      </c>
      <c r="I227" t="s">
        <v>49</v>
      </c>
      <c r="J227" t="s">
        <v>31</v>
      </c>
      <c r="K227" t="s">
        <v>32</v>
      </c>
      <c r="L227" t="s">
        <v>144</v>
      </c>
      <c r="M227" s="9">
        <v>45031</v>
      </c>
      <c r="N227" t="s">
        <v>662</v>
      </c>
      <c r="O227" s="9">
        <v>45029</v>
      </c>
      <c r="P227" s="9">
        <v>45031</v>
      </c>
      <c r="Q227" t="s">
        <v>74</v>
      </c>
      <c r="R227" t="s">
        <v>261</v>
      </c>
      <c r="S227">
        <v>979988</v>
      </c>
      <c r="T227" t="s">
        <v>109</v>
      </c>
      <c r="U227" t="s">
        <v>110</v>
      </c>
      <c r="V227" t="s">
        <v>663</v>
      </c>
      <c r="W227">
        <v>9</v>
      </c>
      <c r="X227">
        <v>0.15</v>
      </c>
      <c r="Y227">
        <v>210.36</v>
      </c>
    </row>
    <row r="228" spans="1:25" x14ac:dyDescent="0.3">
      <c r="A228" t="s">
        <v>660</v>
      </c>
      <c r="B228" t="s">
        <v>661</v>
      </c>
      <c r="C228" t="s">
        <v>248</v>
      </c>
      <c r="D228" s="9">
        <v>27615</v>
      </c>
      <c r="E228">
        <v>1467.44</v>
      </c>
      <c r="F228">
        <v>2023</v>
      </c>
      <c r="G228" t="s">
        <v>87</v>
      </c>
      <c r="H228" t="s">
        <v>163</v>
      </c>
      <c r="I228" t="s">
        <v>61</v>
      </c>
      <c r="J228" t="s">
        <v>31</v>
      </c>
      <c r="K228" t="s">
        <v>32</v>
      </c>
      <c r="L228" t="s">
        <v>144</v>
      </c>
      <c r="M228" s="9">
        <v>45090</v>
      </c>
      <c r="N228" t="s">
        <v>664</v>
      </c>
      <c r="O228" s="9">
        <v>45090</v>
      </c>
      <c r="P228" s="9">
        <v>45095</v>
      </c>
      <c r="Q228" t="s">
        <v>74</v>
      </c>
      <c r="R228" t="s">
        <v>261</v>
      </c>
      <c r="S228">
        <v>695225</v>
      </c>
      <c r="T228" t="s">
        <v>66</v>
      </c>
      <c r="U228" t="s">
        <v>67</v>
      </c>
      <c r="V228" t="s">
        <v>665</v>
      </c>
      <c r="W228">
        <v>10</v>
      </c>
      <c r="X228">
        <v>0.15</v>
      </c>
      <c r="Y228">
        <v>380.49</v>
      </c>
    </row>
    <row r="229" spans="1:25" x14ac:dyDescent="0.3">
      <c r="A229" t="s">
        <v>660</v>
      </c>
      <c r="B229" t="s">
        <v>661</v>
      </c>
      <c r="C229" t="s">
        <v>248</v>
      </c>
      <c r="D229" s="9">
        <v>27615</v>
      </c>
      <c r="E229">
        <v>1349.15</v>
      </c>
      <c r="F229">
        <v>2023</v>
      </c>
      <c r="G229" t="s">
        <v>28</v>
      </c>
      <c r="H229" t="s">
        <v>163</v>
      </c>
      <c r="I229" t="s">
        <v>30</v>
      </c>
      <c r="J229" t="s">
        <v>31</v>
      </c>
      <c r="K229" t="s">
        <v>32</v>
      </c>
      <c r="L229" t="s">
        <v>144</v>
      </c>
      <c r="M229" s="9">
        <v>45169</v>
      </c>
      <c r="N229" t="s">
        <v>666</v>
      </c>
      <c r="O229" s="9">
        <v>45165</v>
      </c>
      <c r="P229" s="9">
        <v>45169</v>
      </c>
      <c r="Q229" t="s">
        <v>121</v>
      </c>
      <c r="R229" t="s">
        <v>261</v>
      </c>
      <c r="S229">
        <v>614259</v>
      </c>
      <c r="T229" t="s">
        <v>75</v>
      </c>
      <c r="U229" t="s">
        <v>76</v>
      </c>
      <c r="V229" t="s">
        <v>667</v>
      </c>
      <c r="W229">
        <v>4</v>
      </c>
      <c r="X229">
        <v>0.2</v>
      </c>
      <c r="Y229">
        <v>424.29</v>
      </c>
    </row>
    <row r="230" spans="1:25" x14ac:dyDescent="0.3">
      <c r="A230" t="s">
        <v>660</v>
      </c>
      <c r="B230" t="s">
        <v>661</v>
      </c>
      <c r="C230" t="s">
        <v>248</v>
      </c>
      <c r="D230" s="9">
        <v>27615</v>
      </c>
      <c r="E230">
        <v>1235.2</v>
      </c>
      <c r="F230">
        <v>2023</v>
      </c>
      <c r="G230" t="s">
        <v>87</v>
      </c>
      <c r="H230" t="s">
        <v>163</v>
      </c>
      <c r="I230" t="s">
        <v>78</v>
      </c>
      <c r="J230" t="s">
        <v>31</v>
      </c>
      <c r="K230" t="s">
        <v>32</v>
      </c>
      <c r="L230" t="s">
        <v>144</v>
      </c>
      <c r="M230" s="9">
        <v>45181</v>
      </c>
      <c r="N230" t="s">
        <v>668</v>
      </c>
      <c r="O230" s="9">
        <v>45180</v>
      </c>
      <c r="P230" s="9">
        <v>45181</v>
      </c>
      <c r="Q230" t="s">
        <v>121</v>
      </c>
      <c r="R230" t="s">
        <v>261</v>
      </c>
      <c r="S230">
        <v>945619</v>
      </c>
      <c r="T230" t="s">
        <v>135</v>
      </c>
      <c r="U230" t="s">
        <v>136</v>
      </c>
      <c r="V230" t="s">
        <v>669</v>
      </c>
      <c r="W230">
        <v>4</v>
      </c>
      <c r="X230">
        <v>0</v>
      </c>
      <c r="Y230">
        <v>256.83999999999997</v>
      </c>
    </row>
    <row r="231" spans="1:25" x14ac:dyDescent="0.3">
      <c r="A231" t="s">
        <v>670</v>
      </c>
      <c r="B231" t="s">
        <v>671</v>
      </c>
      <c r="C231" t="s">
        <v>322</v>
      </c>
      <c r="D231" s="9">
        <v>30313</v>
      </c>
      <c r="E231">
        <v>904.71</v>
      </c>
      <c r="F231">
        <v>2023</v>
      </c>
      <c r="G231" t="s">
        <v>48</v>
      </c>
      <c r="H231" t="s">
        <v>163</v>
      </c>
      <c r="I231" t="s">
        <v>43</v>
      </c>
      <c r="J231" t="s">
        <v>102</v>
      </c>
      <c r="K231" t="s">
        <v>32</v>
      </c>
      <c r="L231" t="s">
        <v>144</v>
      </c>
      <c r="M231" s="9">
        <v>45110</v>
      </c>
      <c r="N231" t="s">
        <v>672</v>
      </c>
      <c r="O231" s="9">
        <v>45108</v>
      </c>
      <c r="P231" s="9">
        <v>45113</v>
      </c>
      <c r="Q231" t="s">
        <v>74</v>
      </c>
      <c r="R231" t="s">
        <v>197</v>
      </c>
      <c r="S231">
        <v>838761</v>
      </c>
      <c r="T231" t="s">
        <v>45</v>
      </c>
      <c r="U231" t="s">
        <v>46</v>
      </c>
      <c r="V231" t="s">
        <v>673</v>
      </c>
      <c r="W231">
        <v>3</v>
      </c>
      <c r="X231">
        <v>0</v>
      </c>
      <c r="Y231">
        <v>255.41</v>
      </c>
    </row>
    <row r="232" spans="1:25" x14ac:dyDescent="0.3">
      <c r="A232" t="s">
        <v>670</v>
      </c>
      <c r="B232" t="s">
        <v>671</v>
      </c>
      <c r="C232" t="s">
        <v>322</v>
      </c>
      <c r="D232" s="9">
        <v>30313</v>
      </c>
      <c r="E232">
        <v>363.1</v>
      </c>
      <c r="F232">
        <v>2025</v>
      </c>
      <c r="G232" t="s">
        <v>28</v>
      </c>
      <c r="H232" t="s">
        <v>163</v>
      </c>
      <c r="I232" t="s">
        <v>49</v>
      </c>
      <c r="J232" t="s">
        <v>102</v>
      </c>
      <c r="K232" t="s">
        <v>32</v>
      </c>
      <c r="L232" t="s">
        <v>144</v>
      </c>
      <c r="M232" s="9">
        <v>45663</v>
      </c>
      <c r="N232" t="s">
        <v>674</v>
      </c>
      <c r="O232" s="9">
        <v>45661</v>
      </c>
      <c r="P232" s="9">
        <v>45663</v>
      </c>
      <c r="Q232" t="s">
        <v>41</v>
      </c>
      <c r="R232" t="s">
        <v>197</v>
      </c>
      <c r="S232">
        <v>780714</v>
      </c>
      <c r="T232" t="s">
        <v>84</v>
      </c>
      <c r="U232" t="s">
        <v>85</v>
      </c>
      <c r="V232" t="s">
        <v>675</v>
      </c>
      <c r="W232">
        <v>2</v>
      </c>
      <c r="X232">
        <v>0</v>
      </c>
      <c r="Y232">
        <v>33.020000000000003</v>
      </c>
    </row>
    <row r="233" spans="1:25" x14ac:dyDescent="0.3">
      <c r="A233" t="s">
        <v>676</v>
      </c>
      <c r="B233" t="s">
        <v>399</v>
      </c>
      <c r="C233" t="s">
        <v>327</v>
      </c>
      <c r="D233" s="9">
        <v>28088</v>
      </c>
      <c r="E233">
        <v>3903.93</v>
      </c>
      <c r="F233">
        <v>2024</v>
      </c>
      <c r="G233" t="s">
        <v>48</v>
      </c>
      <c r="H233" t="s">
        <v>29</v>
      </c>
      <c r="I233" t="s">
        <v>30</v>
      </c>
      <c r="J233" t="s">
        <v>62</v>
      </c>
      <c r="K233" t="s">
        <v>32</v>
      </c>
      <c r="L233" t="s">
        <v>144</v>
      </c>
      <c r="M233" s="9">
        <v>45503</v>
      </c>
      <c r="N233" t="s">
        <v>677</v>
      </c>
      <c r="O233" s="9">
        <v>45502</v>
      </c>
      <c r="P233" s="9">
        <v>45505</v>
      </c>
      <c r="Q233" t="s">
        <v>35</v>
      </c>
      <c r="R233" t="s">
        <v>286</v>
      </c>
      <c r="S233">
        <v>836109</v>
      </c>
      <c r="T233" t="s">
        <v>37</v>
      </c>
      <c r="U233" t="s">
        <v>38</v>
      </c>
      <c r="V233" t="s">
        <v>678</v>
      </c>
      <c r="W233">
        <v>10</v>
      </c>
      <c r="X233">
        <v>0.05</v>
      </c>
      <c r="Y233">
        <v>554.54</v>
      </c>
    </row>
    <row r="234" spans="1:25" x14ac:dyDescent="0.3">
      <c r="A234" t="s">
        <v>676</v>
      </c>
      <c r="B234" t="s">
        <v>399</v>
      </c>
      <c r="C234" t="s">
        <v>327</v>
      </c>
      <c r="D234" s="9">
        <v>28088</v>
      </c>
      <c r="E234">
        <v>319.86</v>
      </c>
      <c r="F234">
        <v>2024</v>
      </c>
      <c r="G234" t="s">
        <v>87</v>
      </c>
      <c r="H234" t="s">
        <v>29</v>
      </c>
      <c r="I234" t="s">
        <v>30</v>
      </c>
      <c r="J234" t="s">
        <v>62</v>
      </c>
      <c r="K234" t="s">
        <v>32</v>
      </c>
      <c r="L234" t="s">
        <v>144</v>
      </c>
      <c r="M234" s="9">
        <v>45638</v>
      </c>
      <c r="N234" t="s">
        <v>679</v>
      </c>
      <c r="O234" s="9">
        <v>45637</v>
      </c>
      <c r="P234" s="9">
        <v>45642</v>
      </c>
      <c r="Q234" t="s">
        <v>35</v>
      </c>
      <c r="R234" t="s">
        <v>286</v>
      </c>
      <c r="S234">
        <v>620287</v>
      </c>
      <c r="T234" t="s">
        <v>37</v>
      </c>
      <c r="U234" t="s">
        <v>38</v>
      </c>
      <c r="V234" t="s">
        <v>680</v>
      </c>
      <c r="W234">
        <v>10</v>
      </c>
      <c r="X234">
        <v>0.1</v>
      </c>
      <c r="Y234">
        <v>46.53</v>
      </c>
    </row>
    <row r="235" spans="1:25" x14ac:dyDescent="0.3">
      <c r="A235" t="s">
        <v>676</v>
      </c>
      <c r="B235" t="s">
        <v>399</v>
      </c>
      <c r="C235" t="s">
        <v>327</v>
      </c>
      <c r="D235" s="9">
        <v>28088</v>
      </c>
      <c r="E235">
        <v>268.48</v>
      </c>
      <c r="F235">
        <v>2024</v>
      </c>
      <c r="G235" t="s">
        <v>28</v>
      </c>
      <c r="H235" t="s">
        <v>29</v>
      </c>
      <c r="I235" t="s">
        <v>61</v>
      </c>
      <c r="J235" t="s">
        <v>62</v>
      </c>
      <c r="K235" t="s">
        <v>32</v>
      </c>
      <c r="L235" t="s">
        <v>144</v>
      </c>
      <c r="M235" s="9">
        <v>45652</v>
      </c>
      <c r="N235" t="s">
        <v>681</v>
      </c>
      <c r="O235" s="9">
        <v>45651</v>
      </c>
      <c r="P235" s="9">
        <v>45652</v>
      </c>
      <c r="Q235" t="s">
        <v>35</v>
      </c>
      <c r="R235" t="s">
        <v>286</v>
      </c>
      <c r="S235">
        <v>378095</v>
      </c>
      <c r="T235" t="s">
        <v>204</v>
      </c>
      <c r="U235" t="s">
        <v>205</v>
      </c>
      <c r="V235" t="s">
        <v>682</v>
      </c>
      <c r="W235">
        <v>2</v>
      </c>
      <c r="X235">
        <v>0</v>
      </c>
      <c r="Y235">
        <v>26.95</v>
      </c>
    </row>
    <row r="236" spans="1:25" x14ac:dyDescent="0.3">
      <c r="A236" t="s">
        <v>683</v>
      </c>
      <c r="B236" t="s">
        <v>684</v>
      </c>
      <c r="C236" t="s">
        <v>60</v>
      </c>
      <c r="D236" s="9">
        <v>36577</v>
      </c>
      <c r="E236">
        <v>731.6</v>
      </c>
      <c r="F236">
        <v>2023</v>
      </c>
      <c r="G236" t="s">
        <v>28</v>
      </c>
      <c r="H236" t="s">
        <v>29</v>
      </c>
      <c r="I236" t="s">
        <v>43</v>
      </c>
      <c r="J236" t="s">
        <v>62</v>
      </c>
      <c r="K236" t="s">
        <v>32</v>
      </c>
      <c r="L236" t="s">
        <v>33</v>
      </c>
      <c r="M236" s="9">
        <v>44997</v>
      </c>
      <c r="N236" t="s">
        <v>685</v>
      </c>
      <c r="O236" s="9">
        <v>44996</v>
      </c>
      <c r="P236" s="9">
        <v>45000</v>
      </c>
      <c r="Q236" t="s">
        <v>41</v>
      </c>
      <c r="R236" t="s">
        <v>65</v>
      </c>
      <c r="S236">
        <v>497108</v>
      </c>
      <c r="T236" t="s">
        <v>153</v>
      </c>
      <c r="U236" t="s">
        <v>154</v>
      </c>
      <c r="V236" t="s">
        <v>686</v>
      </c>
      <c r="W236">
        <v>2</v>
      </c>
      <c r="X236">
        <v>0</v>
      </c>
      <c r="Y236">
        <v>121.29</v>
      </c>
    </row>
    <row r="237" spans="1:25" x14ac:dyDescent="0.3">
      <c r="A237" t="s">
        <v>683</v>
      </c>
      <c r="B237" t="s">
        <v>684</v>
      </c>
      <c r="C237" t="s">
        <v>60</v>
      </c>
      <c r="D237" s="9">
        <v>36577</v>
      </c>
      <c r="E237">
        <v>668.53</v>
      </c>
      <c r="F237">
        <v>2024</v>
      </c>
      <c r="G237" t="s">
        <v>28</v>
      </c>
      <c r="H237" t="s">
        <v>29</v>
      </c>
      <c r="I237" t="s">
        <v>43</v>
      </c>
      <c r="J237" t="s">
        <v>62</v>
      </c>
      <c r="K237" t="s">
        <v>32</v>
      </c>
      <c r="L237" t="s">
        <v>33</v>
      </c>
      <c r="M237" s="9">
        <v>45636</v>
      </c>
      <c r="N237" t="s">
        <v>687</v>
      </c>
      <c r="O237" s="9">
        <v>45636</v>
      </c>
      <c r="P237" s="9">
        <v>45638</v>
      </c>
      <c r="Q237" t="s">
        <v>35</v>
      </c>
      <c r="R237" t="s">
        <v>65</v>
      </c>
      <c r="S237">
        <v>938016</v>
      </c>
      <c r="T237" t="s">
        <v>70</v>
      </c>
      <c r="U237" t="s">
        <v>71</v>
      </c>
      <c r="V237" t="s">
        <v>688</v>
      </c>
      <c r="W237">
        <v>2</v>
      </c>
      <c r="X237">
        <v>0.2</v>
      </c>
      <c r="Y237">
        <v>206.72</v>
      </c>
    </row>
    <row r="238" spans="1:25" x14ac:dyDescent="0.3">
      <c r="A238" t="s">
        <v>689</v>
      </c>
      <c r="B238" t="s">
        <v>607</v>
      </c>
      <c r="C238" t="s">
        <v>690</v>
      </c>
      <c r="D238" s="9">
        <v>27309</v>
      </c>
      <c r="E238">
        <v>1002.65</v>
      </c>
      <c r="F238">
        <v>2023</v>
      </c>
      <c r="G238" t="s">
        <v>87</v>
      </c>
      <c r="H238" t="s">
        <v>163</v>
      </c>
      <c r="I238" t="s">
        <v>43</v>
      </c>
      <c r="J238" t="s">
        <v>102</v>
      </c>
      <c r="K238" t="s">
        <v>32</v>
      </c>
      <c r="L238" t="s">
        <v>63</v>
      </c>
      <c r="M238" s="9">
        <v>44948</v>
      </c>
      <c r="N238" t="s">
        <v>691</v>
      </c>
      <c r="O238" s="9">
        <v>44947</v>
      </c>
      <c r="P238" s="9">
        <v>44948</v>
      </c>
      <c r="Q238" t="s">
        <v>41</v>
      </c>
      <c r="R238" t="s">
        <v>197</v>
      </c>
      <c r="S238">
        <v>838726</v>
      </c>
      <c r="T238" t="s">
        <v>45</v>
      </c>
      <c r="U238" t="s">
        <v>46</v>
      </c>
      <c r="V238" t="s">
        <v>692</v>
      </c>
      <c r="W238">
        <v>3</v>
      </c>
      <c r="X238">
        <v>0.1</v>
      </c>
      <c r="Y238">
        <v>333.43</v>
      </c>
    </row>
    <row r="239" spans="1:25" x14ac:dyDescent="0.3">
      <c r="A239" t="s">
        <v>689</v>
      </c>
      <c r="B239" t="s">
        <v>607</v>
      </c>
      <c r="C239" t="s">
        <v>690</v>
      </c>
      <c r="D239" s="9">
        <v>27309</v>
      </c>
      <c r="E239">
        <v>887.8</v>
      </c>
      <c r="F239">
        <v>2023</v>
      </c>
      <c r="G239" t="s">
        <v>48</v>
      </c>
      <c r="H239" t="s">
        <v>163</v>
      </c>
      <c r="I239" t="s">
        <v>78</v>
      </c>
      <c r="J239" t="s">
        <v>102</v>
      </c>
      <c r="K239" t="s">
        <v>32</v>
      </c>
      <c r="L239" t="s">
        <v>63</v>
      </c>
      <c r="M239" s="9">
        <v>45003</v>
      </c>
      <c r="N239" t="s">
        <v>693</v>
      </c>
      <c r="O239" s="9">
        <v>45002</v>
      </c>
      <c r="P239" s="9">
        <v>45003</v>
      </c>
      <c r="Q239" t="s">
        <v>121</v>
      </c>
      <c r="R239" t="s">
        <v>197</v>
      </c>
      <c r="S239">
        <v>529161</v>
      </c>
      <c r="T239" t="s">
        <v>80</v>
      </c>
      <c r="U239" t="s">
        <v>81</v>
      </c>
      <c r="V239" t="s">
        <v>694</v>
      </c>
      <c r="W239">
        <v>3</v>
      </c>
      <c r="X239">
        <v>0.05</v>
      </c>
      <c r="Y239">
        <v>86.23</v>
      </c>
    </row>
    <row r="240" spans="1:25" x14ac:dyDescent="0.3">
      <c r="A240" t="s">
        <v>689</v>
      </c>
      <c r="B240" t="s">
        <v>607</v>
      </c>
      <c r="C240" t="s">
        <v>690</v>
      </c>
      <c r="D240" s="9">
        <v>27309</v>
      </c>
      <c r="E240">
        <v>1325.97</v>
      </c>
      <c r="F240">
        <v>2023</v>
      </c>
      <c r="G240" t="s">
        <v>28</v>
      </c>
      <c r="H240" t="s">
        <v>163</v>
      </c>
      <c r="I240" t="s">
        <v>49</v>
      </c>
      <c r="J240" t="s">
        <v>102</v>
      </c>
      <c r="K240" t="s">
        <v>32</v>
      </c>
      <c r="L240" t="s">
        <v>63</v>
      </c>
      <c r="M240" s="9">
        <v>45034</v>
      </c>
      <c r="N240" t="s">
        <v>695</v>
      </c>
      <c r="O240" s="9">
        <v>45034</v>
      </c>
      <c r="P240" s="9">
        <v>45035</v>
      </c>
      <c r="Q240" t="s">
        <v>41</v>
      </c>
      <c r="R240" t="s">
        <v>197</v>
      </c>
      <c r="S240">
        <v>261050</v>
      </c>
      <c r="T240" t="s">
        <v>51</v>
      </c>
      <c r="U240" t="s">
        <v>52</v>
      </c>
      <c r="V240" t="s">
        <v>696</v>
      </c>
      <c r="W240">
        <v>9</v>
      </c>
      <c r="X240">
        <v>0</v>
      </c>
      <c r="Y240">
        <v>184.6</v>
      </c>
    </row>
    <row r="241" spans="1:25" x14ac:dyDescent="0.3">
      <c r="A241" t="s">
        <v>689</v>
      </c>
      <c r="B241" t="s">
        <v>607</v>
      </c>
      <c r="C241" t="s">
        <v>690</v>
      </c>
      <c r="D241" s="9">
        <v>27309</v>
      </c>
      <c r="E241">
        <v>347.54</v>
      </c>
      <c r="F241">
        <v>2023</v>
      </c>
      <c r="G241" t="s">
        <v>48</v>
      </c>
      <c r="H241" t="s">
        <v>163</v>
      </c>
      <c r="I241" t="s">
        <v>78</v>
      </c>
      <c r="J241" t="s">
        <v>102</v>
      </c>
      <c r="K241" t="s">
        <v>32</v>
      </c>
      <c r="L241" t="s">
        <v>63</v>
      </c>
      <c r="M241" s="9">
        <v>45197</v>
      </c>
      <c r="N241" t="s">
        <v>697</v>
      </c>
      <c r="O241" s="9">
        <v>45194</v>
      </c>
      <c r="P241" s="9">
        <v>45199</v>
      </c>
      <c r="Q241" t="s">
        <v>35</v>
      </c>
      <c r="R241" t="s">
        <v>197</v>
      </c>
      <c r="S241">
        <v>126985</v>
      </c>
      <c r="T241" t="s">
        <v>117</v>
      </c>
      <c r="U241" t="s">
        <v>118</v>
      </c>
      <c r="V241" t="s">
        <v>698</v>
      </c>
      <c r="W241">
        <v>7</v>
      </c>
      <c r="X241">
        <v>0.2</v>
      </c>
      <c r="Y241">
        <v>86.4</v>
      </c>
    </row>
    <row r="242" spans="1:25" x14ac:dyDescent="0.3">
      <c r="A242" t="s">
        <v>689</v>
      </c>
      <c r="B242" t="s">
        <v>607</v>
      </c>
      <c r="C242" t="s">
        <v>690</v>
      </c>
      <c r="D242" s="9">
        <v>27309</v>
      </c>
      <c r="E242">
        <v>2322.6999999999998</v>
      </c>
      <c r="F242">
        <v>2023</v>
      </c>
      <c r="G242" t="s">
        <v>28</v>
      </c>
      <c r="H242" t="s">
        <v>163</v>
      </c>
      <c r="I242" t="s">
        <v>61</v>
      </c>
      <c r="J242" t="s">
        <v>102</v>
      </c>
      <c r="K242" t="s">
        <v>32</v>
      </c>
      <c r="L242" t="s">
        <v>63</v>
      </c>
      <c r="M242" s="9">
        <v>45231</v>
      </c>
      <c r="N242" t="s">
        <v>699</v>
      </c>
      <c r="O242" s="9">
        <v>45228</v>
      </c>
      <c r="P242" s="9">
        <v>45231</v>
      </c>
      <c r="Q242" t="s">
        <v>41</v>
      </c>
      <c r="R242" t="s">
        <v>197</v>
      </c>
      <c r="S242">
        <v>793150</v>
      </c>
      <c r="T242" t="s">
        <v>66</v>
      </c>
      <c r="U242" t="s">
        <v>67</v>
      </c>
      <c r="V242" t="s">
        <v>700</v>
      </c>
      <c r="W242">
        <v>5</v>
      </c>
      <c r="X242">
        <v>0.05</v>
      </c>
      <c r="Y242">
        <v>704.08</v>
      </c>
    </row>
    <row r="243" spans="1:25" x14ac:dyDescent="0.3">
      <c r="A243" t="s">
        <v>689</v>
      </c>
      <c r="B243" t="s">
        <v>607</v>
      </c>
      <c r="C243" t="s">
        <v>690</v>
      </c>
      <c r="D243" s="9">
        <v>27309</v>
      </c>
      <c r="E243">
        <v>1854.09</v>
      </c>
      <c r="F243">
        <v>2023</v>
      </c>
      <c r="G243" t="s">
        <v>28</v>
      </c>
      <c r="H243" t="s">
        <v>163</v>
      </c>
      <c r="I243" t="s">
        <v>43</v>
      </c>
      <c r="J243" t="s">
        <v>102</v>
      </c>
      <c r="K243" t="s">
        <v>32</v>
      </c>
      <c r="L243" t="s">
        <v>63</v>
      </c>
      <c r="M243" s="9">
        <v>45254</v>
      </c>
      <c r="N243" t="s">
        <v>701</v>
      </c>
      <c r="O243" s="9">
        <v>45253</v>
      </c>
      <c r="P243" s="9">
        <v>45256</v>
      </c>
      <c r="Q243" t="s">
        <v>35</v>
      </c>
      <c r="R243" t="s">
        <v>197</v>
      </c>
      <c r="S243">
        <v>376085</v>
      </c>
      <c r="T243" t="s">
        <v>45</v>
      </c>
      <c r="U243" t="s">
        <v>46</v>
      </c>
      <c r="V243" t="s">
        <v>702</v>
      </c>
      <c r="W243">
        <v>9</v>
      </c>
      <c r="X243">
        <v>0</v>
      </c>
      <c r="Y243">
        <v>585.24</v>
      </c>
    </row>
    <row r="244" spans="1:25" x14ac:dyDescent="0.3">
      <c r="A244" t="s">
        <v>703</v>
      </c>
      <c r="B244" t="s">
        <v>454</v>
      </c>
      <c r="C244" t="s">
        <v>101</v>
      </c>
      <c r="D244" s="9">
        <v>24564</v>
      </c>
      <c r="E244">
        <v>971.73</v>
      </c>
      <c r="F244">
        <v>2023</v>
      </c>
      <c r="G244" t="s">
        <v>87</v>
      </c>
      <c r="H244" t="s">
        <v>29</v>
      </c>
      <c r="I244" t="s">
        <v>43</v>
      </c>
      <c r="J244" t="s">
        <v>227</v>
      </c>
      <c r="K244" t="s">
        <v>32</v>
      </c>
      <c r="L244" t="s">
        <v>63</v>
      </c>
      <c r="M244" s="9">
        <v>45161</v>
      </c>
      <c r="N244" t="s">
        <v>704</v>
      </c>
      <c r="O244" s="9">
        <v>45158</v>
      </c>
      <c r="P244" s="9">
        <v>45161</v>
      </c>
      <c r="Q244" t="s">
        <v>121</v>
      </c>
      <c r="R244" t="s">
        <v>229</v>
      </c>
      <c r="S244">
        <v>680493</v>
      </c>
      <c r="T244" t="s">
        <v>70</v>
      </c>
      <c r="U244" t="s">
        <v>71</v>
      </c>
      <c r="V244" t="s">
        <v>705</v>
      </c>
      <c r="W244">
        <v>3</v>
      </c>
      <c r="X244">
        <v>0.15</v>
      </c>
      <c r="Y244">
        <v>76.78</v>
      </c>
    </row>
    <row r="245" spans="1:25" x14ac:dyDescent="0.3">
      <c r="A245" t="s">
        <v>703</v>
      </c>
      <c r="B245" t="s">
        <v>454</v>
      </c>
      <c r="C245" t="s">
        <v>101</v>
      </c>
      <c r="D245" s="9">
        <v>24564</v>
      </c>
      <c r="E245">
        <v>1789.61</v>
      </c>
      <c r="F245">
        <v>2023</v>
      </c>
      <c r="G245" t="s">
        <v>48</v>
      </c>
      <c r="H245" t="s">
        <v>29</v>
      </c>
      <c r="I245" t="s">
        <v>78</v>
      </c>
      <c r="J245" t="s">
        <v>227</v>
      </c>
      <c r="K245" t="s">
        <v>32</v>
      </c>
      <c r="L245" t="s">
        <v>63</v>
      </c>
      <c r="M245" s="9">
        <v>45200</v>
      </c>
      <c r="N245" t="s">
        <v>706</v>
      </c>
      <c r="O245" s="9">
        <v>45196</v>
      </c>
      <c r="P245" s="9">
        <v>45200</v>
      </c>
      <c r="Q245" t="s">
        <v>41</v>
      </c>
      <c r="R245" t="s">
        <v>229</v>
      </c>
      <c r="S245">
        <v>413369</v>
      </c>
      <c r="T245" t="s">
        <v>80</v>
      </c>
      <c r="U245" t="s">
        <v>81</v>
      </c>
      <c r="V245" t="s">
        <v>707</v>
      </c>
      <c r="W245">
        <v>9</v>
      </c>
      <c r="X245">
        <v>0.1</v>
      </c>
      <c r="Y245">
        <v>458.36</v>
      </c>
    </row>
    <row r="246" spans="1:25" x14ac:dyDescent="0.3">
      <c r="A246" t="s">
        <v>703</v>
      </c>
      <c r="B246" t="s">
        <v>454</v>
      </c>
      <c r="C246" t="s">
        <v>101</v>
      </c>
      <c r="D246" s="9">
        <v>24564</v>
      </c>
      <c r="E246">
        <v>234.91</v>
      </c>
      <c r="F246">
        <v>2025</v>
      </c>
      <c r="G246" t="s">
        <v>48</v>
      </c>
      <c r="H246" t="s">
        <v>29</v>
      </c>
      <c r="I246" t="s">
        <v>78</v>
      </c>
      <c r="J246" t="s">
        <v>227</v>
      </c>
      <c r="K246" t="s">
        <v>32</v>
      </c>
      <c r="L246" t="s">
        <v>63</v>
      </c>
      <c r="M246" s="9">
        <v>45785</v>
      </c>
      <c r="N246" t="s">
        <v>708</v>
      </c>
      <c r="O246" s="9">
        <v>45784</v>
      </c>
      <c r="P246" s="9">
        <v>45789</v>
      </c>
      <c r="Q246" t="s">
        <v>41</v>
      </c>
      <c r="R246" t="s">
        <v>229</v>
      </c>
      <c r="S246">
        <v>281276</v>
      </c>
      <c r="T246" t="s">
        <v>80</v>
      </c>
      <c r="U246" t="s">
        <v>81</v>
      </c>
      <c r="V246" t="s">
        <v>709</v>
      </c>
      <c r="W246">
        <v>1</v>
      </c>
      <c r="X246">
        <v>0.1</v>
      </c>
      <c r="Y246">
        <v>68.16</v>
      </c>
    </row>
    <row r="247" spans="1:25" x14ac:dyDescent="0.3">
      <c r="A247" t="s">
        <v>710</v>
      </c>
      <c r="B247" t="s">
        <v>711</v>
      </c>
      <c r="C247" t="s">
        <v>712</v>
      </c>
      <c r="D247" s="9">
        <v>24674</v>
      </c>
      <c r="E247">
        <v>1261.1099999999999</v>
      </c>
      <c r="F247">
        <v>2023</v>
      </c>
      <c r="G247" t="s">
        <v>28</v>
      </c>
      <c r="H247" t="s">
        <v>29</v>
      </c>
      <c r="I247" t="s">
        <v>78</v>
      </c>
      <c r="J247" t="s">
        <v>62</v>
      </c>
      <c r="K247" t="s">
        <v>32</v>
      </c>
      <c r="L247" t="s">
        <v>33</v>
      </c>
      <c r="M247" s="9">
        <v>44970</v>
      </c>
      <c r="N247" t="s">
        <v>713</v>
      </c>
      <c r="O247" s="9">
        <v>44970</v>
      </c>
      <c r="P247" s="9">
        <v>44971</v>
      </c>
      <c r="Q247" t="s">
        <v>41</v>
      </c>
      <c r="R247" t="s">
        <v>386</v>
      </c>
      <c r="S247">
        <v>678870</v>
      </c>
      <c r="T247" t="s">
        <v>80</v>
      </c>
      <c r="U247" t="s">
        <v>81</v>
      </c>
      <c r="V247" t="s">
        <v>714</v>
      </c>
      <c r="W247">
        <v>3</v>
      </c>
      <c r="X247">
        <v>0</v>
      </c>
      <c r="Y247">
        <v>184.03</v>
      </c>
    </row>
    <row r="248" spans="1:25" x14ac:dyDescent="0.3">
      <c r="A248" t="s">
        <v>710</v>
      </c>
      <c r="B248" t="s">
        <v>711</v>
      </c>
      <c r="C248" t="s">
        <v>712</v>
      </c>
      <c r="D248" s="9">
        <v>24674</v>
      </c>
      <c r="E248">
        <v>3681.92</v>
      </c>
      <c r="F248">
        <v>2023</v>
      </c>
      <c r="G248" t="s">
        <v>87</v>
      </c>
      <c r="H248" t="s">
        <v>29</v>
      </c>
      <c r="I248" t="s">
        <v>43</v>
      </c>
      <c r="J248" t="s">
        <v>62</v>
      </c>
      <c r="K248" t="s">
        <v>32</v>
      </c>
      <c r="L248" t="s">
        <v>33</v>
      </c>
      <c r="M248" s="9">
        <v>45060</v>
      </c>
      <c r="N248" t="s">
        <v>715</v>
      </c>
      <c r="O248" s="9">
        <v>45056</v>
      </c>
      <c r="P248" s="9">
        <v>45061</v>
      </c>
      <c r="Q248" t="s">
        <v>41</v>
      </c>
      <c r="R248" t="s">
        <v>386</v>
      </c>
      <c r="S248">
        <v>217984</v>
      </c>
      <c r="T248" t="s">
        <v>153</v>
      </c>
      <c r="U248" t="s">
        <v>154</v>
      </c>
      <c r="V248" t="s">
        <v>716</v>
      </c>
      <c r="W248">
        <v>8</v>
      </c>
      <c r="X248">
        <v>0</v>
      </c>
      <c r="Y248">
        <v>1052.9000000000001</v>
      </c>
    </row>
    <row r="249" spans="1:25" x14ac:dyDescent="0.3">
      <c r="A249" t="s">
        <v>710</v>
      </c>
      <c r="B249" t="s">
        <v>711</v>
      </c>
      <c r="C249" t="s">
        <v>712</v>
      </c>
      <c r="D249" s="9">
        <v>24674</v>
      </c>
      <c r="E249">
        <v>2417.6799999999998</v>
      </c>
      <c r="F249">
        <v>2023</v>
      </c>
      <c r="G249" t="s">
        <v>87</v>
      </c>
      <c r="H249" t="s">
        <v>29</v>
      </c>
      <c r="I249" t="s">
        <v>92</v>
      </c>
      <c r="J249" t="s">
        <v>62</v>
      </c>
      <c r="K249" t="s">
        <v>32</v>
      </c>
      <c r="L249" t="s">
        <v>33</v>
      </c>
      <c r="M249" s="9">
        <v>45098</v>
      </c>
      <c r="N249" t="s">
        <v>717</v>
      </c>
      <c r="O249" s="9">
        <v>45098</v>
      </c>
      <c r="P249" s="9">
        <v>45099</v>
      </c>
      <c r="Q249" t="s">
        <v>35</v>
      </c>
      <c r="R249" t="s">
        <v>386</v>
      </c>
      <c r="S249">
        <v>923914</v>
      </c>
      <c r="T249" t="s">
        <v>147</v>
      </c>
      <c r="U249" t="s">
        <v>148</v>
      </c>
      <c r="V249" t="s">
        <v>718</v>
      </c>
      <c r="W249">
        <v>10</v>
      </c>
      <c r="X249">
        <v>0.2</v>
      </c>
      <c r="Y249">
        <v>820.68</v>
      </c>
    </row>
    <row r="250" spans="1:25" x14ac:dyDescent="0.3">
      <c r="A250" t="s">
        <v>710</v>
      </c>
      <c r="B250" t="s">
        <v>711</v>
      </c>
      <c r="C250" t="s">
        <v>712</v>
      </c>
      <c r="D250" s="9">
        <v>24674</v>
      </c>
      <c r="E250">
        <v>873.4</v>
      </c>
      <c r="F250">
        <v>2023</v>
      </c>
      <c r="G250" t="s">
        <v>48</v>
      </c>
      <c r="H250" t="s">
        <v>29</v>
      </c>
      <c r="I250" t="s">
        <v>43</v>
      </c>
      <c r="J250" t="s">
        <v>62</v>
      </c>
      <c r="K250" t="s">
        <v>32</v>
      </c>
      <c r="L250" t="s">
        <v>33</v>
      </c>
      <c r="M250" s="9">
        <v>45127</v>
      </c>
      <c r="N250" t="s">
        <v>719</v>
      </c>
      <c r="O250" s="9">
        <v>45124</v>
      </c>
      <c r="P250" s="9">
        <v>45129</v>
      </c>
      <c r="Q250" t="s">
        <v>121</v>
      </c>
      <c r="R250" t="s">
        <v>386</v>
      </c>
      <c r="S250">
        <v>388792</v>
      </c>
      <c r="T250" t="s">
        <v>70</v>
      </c>
      <c r="U250" t="s">
        <v>71</v>
      </c>
      <c r="V250" t="s">
        <v>720</v>
      </c>
      <c r="W250">
        <v>7</v>
      </c>
      <c r="X250">
        <v>0.15</v>
      </c>
      <c r="Y250">
        <v>170.9</v>
      </c>
    </row>
    <row r="251" spans="1:25" x14ac:dyDescent="0.3">
      <c r="A251" t="s">
        <v>710</v>
      </c>
      <c r="B251" t="s">
        <v>711</v>
      </c>
      <c r="C251" t="s">
        <v>712</v>
      </c>
      <c r="D251" s="9">
        <v>24674</v>
      </c>
      <c r="E251">
        <v>3294.51</v>
      </c>
      <c r="F251">
        <v>2023</v>
      </c>
      <c r="G251" t="s">
        <v>48</v>
      </c>
      <c r="H251" t="s">
        <v>29</v>
      </c>
      <c r="I251" t="s">
        <v>92</v>
      </c>
      <c r="J251" t="s">
        <v>62</v>
      </c>
      <c r="K251" t="s">
        <v>32</v>
      </c>
      <c r="L251" t="s">
        <v>33</v>
      </c>
      <c r="M251" s="9">
        <v>45144</v>
      </c>
      <c r="N251" t="s">
        <v>721</v>
      </c>
      <c r="O251" s="9">
        <v>45143</v>
      </c>
      <c r="P251" s="9">
        <v>45146</v>
      </c>
      <c r="Q251" t="s">
        <v>41</v>
      </c>
      <c r="R251" t="s">
        <v>386</v>
      </c>
      <c r="S251">
        <v>381631</v>
      </c>
      <c r="T251" t="s">
        <v>147</v>
      </c>
      <c r="U251" t="s">
        <v>148</v>
      </c>
      <c r="V251" t="s">
        <v>722</v>
      </c>
      <c r="W251">
        <v>10</v>
      </c>
      <c r="X251">
        <v>0.05</v>
      </c>
      <c r="Y251">
        <v>203.06</v>
      </c>
    </row>
    <row r="252" spans="1:25" x14ac:dyDescent="0.3">
      <c r="A252" t="s">
        <v>710</v>
      </c>
      <c r="B252" t="s">
        <v>711</v>
      </c>
      <c r="C252" t="s">
        <v>712</v>
      </c>
      <c r="D252" s="9">
        <v>24674</v>
      </c>
      <c r="E252">
        <v>677.04</v>
      </c>
      <c r="F252">
        <v>2024</v>
      </c>
      <c r="G252" t="s">
        <v>48</v>
      </c>
      <c r="H252" t="s">
        <v>29</v>
      </c>
      <c r="I252" t="s">
        <v>43</v>
      </c>
      <c r="J252" t="s">
        <v>62</v>
      </c>
      <c r="K252" t="s">
        <v>32</v>
      </c>
      <c r="L252" t="s">
        <v>33</v>
      </c>
      <c r="M252" s="9">
        <v>45360</v>
      </c>
      <c r="N252" t="s">
        <v>723</v>
      </c>
      <c r="O252" s="9">
        <v>45360</v>
      </c>
      <c r="P252" s="9">
        <v>45361</v>
      </c>
      <c r="Q252" t="s">
        <v>74</v>
      </c>
      <c r="R252" t="s">
        <v>386</v>
      </c>
      <c r="S252">
        <v>879850</v>
      </c>
      <c r="T252" t="s">
        <v>45</v>
      </c>
      <c r="U252" t="s">
        <v>46</v>
      </c>
      <c r="V252" t="s">
        <v>724</v>
      </c>
      <c r="W252">
        <v>5</v>
      </c>
      <c r="X252">
        <v>0.2</v>
      </c>
      <c r="Y252">
        <v>133.71</v>
      </c>
    </row>
    <row r="253" spans="1:25" x14ac:dyDescent="0.3">
      <c r="A253" t="s">
        <v>710</v>
      </c>
      <c r="B253" t="s">
        <v>711</v>
      </c>
      <c r="C253" t="s">
        <v>712</v>
      </c>
      <c r="D253" s="9">
        <v>24674</v>
      </c>
      <c r="E253">
        <v>2172.73</v>
      </c>
      <c r="F253">
        <v>2025</v>
      </c>
      <c r="G253" t="s">
        <v>87</v>
      </c>
      <c r="H253" t="s">
        <v>29</v>
      </c>
      <c r="I253" t="s">
        <v>92</v>
      </c>
      <c r="J253" t="s">
        <v>62</v>
      </c>
      <c r="K253" t="s">
        <v>32</v>
      </c>
      <c r="L253" t="s">
        <v>33</v>
      </c>
      <c r="M253" s="9">
        <v>45755</v>
      </c>
      <c r="N253" t="s">
        <v>725</v>
      </c>
      <c r="O253" s="9">
        <v>45754</v>
      </c>
      <c r="P253" s="9">
        <v>45756</v>
      </c>
      <c r="Q253" t="s">
        <v>41</v>
      </c>
      <c r="R253" t="s">
        <v>386</v>
      </c>
      <c r="S253">
        <v>896386</v>
      </c>
      <c r="T253" t="s">
        <v>94</v>
      </c>
      <c r="U253" t="s">
        <v>95</v>
      </c>
      <c r="V253" t="s">
        <v>726</v>
      </c>
      <c r="W253">
        <v>7</v>
      </c>
      <c r="X253">
        <v>0</v>
      </c>
      <c r="Y253">
        <v>231.14</v>
      </c>
    </row>
    <row r="254" spans="1:25" x14ac:dyDescent="0.3">
      <c r="A254" t="s">
        <v>727</v>
      </c>
      <c r="B254" t="s">
        <v>234</v>
      </c>
      <c r="C254" t="s">
        <v>125</v>
      </c>
      <c r="D254" s="9">
        <v>24856</v>
      </c>
      <c r="E254">
        <v>1538.06</v>
      </c>
      <c r="F254">
        <v>2023</v>
      </c>
      <c r="G254" t="s">
        <v>48</v>
      </c>
      <c r="H254" t="s">
        <v>29</v>
      </c>
      <c r="I254" t="s">
        <v>61</v>
      </c>
      <c r="J254" t="s">
        <v>31</v>
      </c>
      <c r="K254" t="s">
        <v>32</v>
      </c>
      <c r="L254" t="s">
        <v>33</v>
      </c>
      <c r="M254" s="9">
        <v>44984</v>
      </c>
      <c r="N254" t="s">
        <v>728</v>
      </c>
      <c r="O254" s="9">
        <v>44984</v>
      </c>
      <c r="P254" s="9">
        <v>44989</v>
      </c>
      <c r="Q254" t="s">
        <v>121</v>
      </c>
      <c r="R254" t="s">
        <v>236</v>
      </c>
      <c r="S254">
        <v>973390</v>
      </c>
      <c r="T254" t="s">
        <v>312</v>
      </c>
      <c r="U254" t="s">
        <v>313</v>
      </c>
      <c r="V254" t="s">
        <v>729</v>
      </c>
      <c r="W254">
        <v>9</v>
      </c>
      <c r="X254">
        <v>0.2</v>
      </c>
      <c r="Y254">
        <v>469.71</v>
      </c>
    </row>
    <row r="255" spans="1:25" x14ac:dyDescent="0.3">
      <c r="A255" t="s">
        <v>727</v>
      </c>
      <c r="B255" t="s">
        <v>234</v>
      </c>
      <c r="C255" t="s">
        <v>125</v>
      </c>
      <c r="D255" s="9">
        <v>24856</v>
      </c>
      <c r="E255">
        <v>239.1</v>
      </c>
      <c r="F255">
        <v>2024</v>
      </c>
      <c r="G255" t="s">
        <v>28</v>
      </c>
      <c r="H255" t="s">
        <v>29</v>
      </c>
      <c r="I255" t="s">
        <v>61</v>
      </c>
      <c r="J255" t="s">
        <v>31</v>
      </c>
      <c r="K255" t="s">
        <v>32</v>
      </c>
      <c r="L255" t="s">
        <v>33</v>
      </c>
      <c r="M255" s="9">
        <v>45311</v>
      </c>
      <c r="N255" t="s">
        <v>730</v>
      </c>
      <c r="O255" s="9">
        <v>45309</v>
      </c>
      <c r="P255" s="9">
        <v>45312</v>
      </c>
      <c r="Q255" t="s">
        <v>41</v>
      </c>
      <c r="R255" t="s">
        <v>236</v>
      </c>
      <c r="S255">
        <v>766275</v>
      </c>
      <c r="T255" t="s">
        <v>312</v>
      </c>
      <c r="U255" t="s">
        <v>313</v>
      </c>
      <c r="V255" t="s">
        <v>731</v>
      </c>
      <c r="W255">
        <v>1</v>
      </c>
      <c r="X255">
        <v>0</v>
      </c>
      <c r="Y255">
        <v>62.5</v>
      </c>
    </row>
    <row r="256" spans="1:25" x14ac:dyDescent="0.3">
      <c r="A256" t="s">
        <v>727</v>
      </c>
      <c r="B256" t="s">
        <v>234</v>
      </c>
      <c r="C256" t="s">
        <v>125</v>
      </c>
      <c r="D256" s="9">
        <v>24856</v>
      </c>
      <c r="E256">
        <v>1451.33</v>
      </c>
      <c r="F256">
        <v>2024</v>
      </c>
      <c r="G256" t="s">
        <v>87</v>
      </c>
      <c r="H256" t="s">
        <v>29</v>
      </c>
      <c r="I256" t="s">
        <v>78</v>
      </c>
      <c r="J256" t="s">
        <v>31</v>
      </c>
      <c r="K256" t="s">
        <v>32</v>
      </c>
      <c r="L256" t="s">
        <v>33</v>
      </c>
      <c r="M256" s="9">
        <v>45458</v>
      </c>
      <c r="N256" t="s">
        <v>732</v>
      </c>
      <c r="O256" s="9">
        <v>45454</v>
      </c>
      <c r="P256" s="9">
        <v>45458</v>
      </c>
      <c r="Q256" t="s">
        <v>74</v>
      </c>
      <c r="R256" t="s">
        <v>236</v>
      </c>
      <c r="S256">
        <v>460971</v>
      </c>
      <c r="T256" t="s">
        <v>135</v>
      </c>
      <c r="U256" t="s">
        <v>136</v>
      </c>
      <c r="V256" t="s">
        <v>733</v>
      </c>
      <c r="W256">
        <v>6</v>
      </c>
      <c r="X256">
        <v>0.05</v>
      </c>
      <c r="Y256">
        <v>149.88999999999999</v>
      </c>
    </row>
    <row r="257" spans="1:25" x14ac:dyDescent="0.3">
      <c r="A257" t="s">
        <v>727</v>
      </c>
      <c r="B257" t="s">
        <v>234</v>
      </c>
      <c r="C257" t="s">
        <v>125</v>
      </c>
      <c r="D257" s="9">
        <v>24856</v>
      </c>
      <c r="E257">
        <v>297.98</v>
      </c>
      <c r="F257">
        <v>2025</v>
      </c>
      <c r="G257" t="s">
        <v>48</v>
      </c>
      <c r="H257" t="s">
        <v>29</v>
      </c>
      <c r="I257" t="s">
        <v>61</v>
      </c>
      <c r="J257" t="s">
        <v>31</v>
      </c>
      <c r="K257" t="s">
        <v>32</v>
      </c>
      <c r="L257" t="s">
        <v>33</v>
      </c>
      <c r="M257" s="9">
        <v>45768</v>
      </c>
      <c r="N257" t="s">
        <v>734</v>
      </c>
      <c r="O257" s="9">
        <v>45767</v>
      </c>
      <c r="P257" s="9">
        <v>45772</v>
      </c>
      <c r="Q257" t="s">
        <v>121</v>
      </c>
      <c r="R257" t="s">
        <v>236</v>
      </c>
      <c r="S257">
        <v>810614</v>
      </c>
      <c r="T257" t="s">
        <v>204</v>
      </c>
      <c r="U257" t="s">
        <v>205</v>
      </c>
      <c r="V257" t="s">
        <v>735</v>
      </c>
      <c r="W257">
        <v>2</v>
      </c>
      <c r="X257">
        <v>0.05</v>
      </c>
      <c r="Y257">
        <v>19.34</v>
      </c>
    </row>
    <row r="258" spans="1:25" x14ac:dyDescent="0.3">
      <c r="A258" t="s">
        <v>736</v>
      </c>
      <c r="B258" t="s">
        <v>591</v>
      </c>
      <c r="C258" t="s">
        <v>284</v>
      </c>
      <c r="D258" s="9">
        <v>33228</v>
      </c>
      <c r="E258">
        <v>247.57</v>
      </c>
      <c r="F258">
        <v>2024</v>
      </c>
      <c r="G258" t="s">
        <v>48</v>
      </c>
      <c r="H258" t="s">
        <v>29</v>
      </c>
      <c r="I258" t="s">
        <v>30</v>
      </c>
      <c r="J258" t="s">
        <v>227</v>
      </c>
      <c r="K258" t="s">
        <v>32</v>
      </c>
      <c r="L258" t="s">
        <v>63</v>
      </c>
      <c r="M258" s="9">
        <v>45346</v>
      </c>
      <c r="N258" t="s">
        <v>737</v>
      </c>
      <c r="O258" s="9">
        <v>45346</v>
      </c>
      <c r="P258" s="9">
        <v>45351</v>
      </c>
      <c r="Q258" t="s">
        <v>74</v>
      </c>
      <c r="R258" t="s">
        <v>738</v>
      </c>
      <c r="S258">
        <v>737894</v>
      </c>
      <c r="T258" t="s">
        <v>75</v>
      </c>
      <c r="U258" t="s">
        <v>76</v>
      </c>
      <c r="V258" t="s">
        <v>739</v>
      </c>
      <c r="W258">
        <v>1</v>
      </c>
      <c r="X258">
        <v>0</v>
      </c>
      <c r="Y258">
        <v>60.46</v>
      </c>
    </row>
    <row r="259" spans="1:25" x14ac:dyDescent="0.3">
      <c r="A259" t="s">
        <v>736</v>
      </c>
      <c r="B259" t="s">
        <v>591</v>
      </c>
      <c r="C259" t="s">
        <v>284</v>
      </c>
      <c r="D259" s="9">
        <v>33228</v>
      </c>
      <c r="E259">
        <v>1061.29</v>
      </c>
      <c r="F259">
        <v>2024</v>
      </c>
      <c r="G259" t="s">
        <v>48</v>
      </c>
      <c r="H259" t="s">
        <v>29</v>
      </c>
      <c r="I259" t="s">
        <v>43</v>
      </c>
      <c r="J259" t="s">
        <v>227</v>
      </c>
      <c r="K259" t="s">
        <v>32</v>
      </c>
      <c r="L259" t="s">
        <v>63</v>
      </c>
      <c r="M259" s="9">
        <v>45596</v>
      </c>
      <c r="N259" t="s">
        <v>740</v>
      </c>
      <c r="O259" s="9">
        <v>45594</v>
      </c>
      <c r="P259" s="9">
        <v>45598</v>
      </c>
      <c r="Q259" t="s">
        <v>41</v>
      </c>
      <c r="R259" t="s">
        <v>738</v>
      </c>
      <c r="S259">
        <v>416822</v>
      </c>
      <c r="T259" t="s">
        <v>70</v>
      </c>
      <c r="U259" t="s">
        <v>71</v>
      </c>
      <c r="V259" t="s">
        <v>741</v>
      </c>
      <c r="W259">
        <v>5</v>
      </c>
      <c r="X259">
        <v>0.05</v>
      </c>
      <c r="Y259">
        <v>324.2</v>
      </c>
    </row>
    <row r="260" spans="1:25" x14ac:dyDescent="0.3">
      <c r="A260" t="s">
        <v>742</v>
      </c>
      <c r="B260" t="s">
        <v>743</v>
      </c>
      <c r="C260" t="s">
        <v>348</v>
      </c>
      <c r="D260" s="9">
        <v>34513</v>
      </c>
      <c r="E260">
        <v>3123.4</v>
      </c>
      <c r="F260">
        <v>2023</v>
      </c>
      <c r="G260" t="s">
        <v>28</v>
      </c>
      <c r="H260" t="s">
        <v>29</v>
      </c>
      <c r="I260" t="s">
        <v>78</v>
      </c>
      <c r="J260" t="s">
        <v>227</v>
      </c>
      <c r="K260" t="s">
        <v>32</v>
      </c>
      <c r="L260" t="s">
        <v>144</v>
      </c>
      <c r="M260" s="9">
        <v>45031</v>
      </c>
      <c r="N260" t="s">
        <v>744</v>
      </c>
      <c r="O260" s="9">
        <v>45031</v>
      </c>
      <c r="P260" s="9">
        <v>45035</v>
      </c>
      <c r="Q260" t="s">
        <v>74</v>
      </c>
      <c r="R260" t="s">
        <v>229</v>
      </c>
      <c r="S260">
        <v>771712</v>
      </c>
      <c r="T260" t="s">
        <v>117</v>
      </c>
      <c r="U260" t="s">
        <v>118</v>
      </c>
      <c r="V260" t="s">
        <v>745</v>
      </c>
      <c r="W260">
        <v>10</v>
      </c>
      <c r="X260">
        <v>0</v>
      </c>
      <c r="Y260">
        <v>797.48</v>
      </c>
    </row>
    <row r="261" spans="1:25" x14ac:dyDescent="0.3">
      <c r="A261" t="s">
        <v>742</v>
      </c>
      <c r="B261" t="s">
        <v>743</v>
      </c>
      <c r="C261" t="s">
        <v>348</v>
      </c>
      <c r="D261" s="9">
        <v>34513</v>
      </c>
      <c r="E261">
        <v>496.84</v>
      </c>
      <c r="F261">
        <v>2024</v>
      </c>
      <c r="G261" t="s">
        <v>87</v>
      </c>
      <c r="H261" t="s">
        <v>29</v>
      </c>
      <c r="I261" t="s">
        <v>43</v>
      </c>
      <c r="J261" t="s">
        <v>227</v>
      </c>
      <c r="K261" t="s">
        <v>32</v>
      </c>
      <c r="L261" t="s">
        <v>144</v>
      </c>
      <c r="M261" s="9">
        <v>45334</v>
      </c>
      <c r="N261" t="s">
        <v>746</v>
      </c>
      <c r="O261" s="9">
        <v>45333</v>
      </c>
      <c r="P261" s="9">
        <v>45334</v>
      </c>
      <c r="Q261" t="s">
        <v>74</v>
      </c>
      <c r="R261" t="s">
        <v>229</v>
      </c>
      <c r="S261">
        <v>813824</v>
      </c>
      <c r="T261" t="s">
        <v>153</v>
      </c>
      <c r="U261" t="s">
        <v>154</v>
      </c>
      <c r="V261" t="s">
        <v>747</v>
      </c>
      <c r="W261">
        <v>5</v>
      </c>
      <c r="X261">
        <v>0.1</v>
      </c>
      <c r="Y261">
        <v>138.94</v>
      </c>
    </row>
    <row r="262" spans="1:25" x14ac:dyDescent="0.3">
      <c r="A262" t="s">
        <v>742</v>
      </c>
      <c r="B262" t="s">
        <v>743</v>
      </c>
      <c r="C262" t="s">
        <v>348</v>
      </c>
      <c r="D262" s="9">
        <v>34513</v>
      </c>
      <c r="E262">
        <v>3990.32</v>
      </c>
      <c r="F262">
        <v>2024</v>
      </c>
      <c r="G262" t="s">
        <v>87</v>
      </c>
      <c r="H262" t="s">
        <v>29</v>
      </c>
      <c r="I262" t="s">
        <v>61</v>
      </c>
      <c r="J262" t="s">
        <v>227</v>
      </c>
      <c r="K262" t="s">
        <v>32</v>
      </c>
      <c r="L262" t="s">
        <v>144</v>
      </c>
      <c r="M262" s="9">
        <v>45528</v>
      </c>
      <c r="N262" t="s">
        <v>748</v>
      </c>
      <c r="O262" s="9">
        <v>45525</v>
      </c>
      <c r="P262" s="9">
        <v>45529</v>
      </c>
      <c r="Q262" t="s">
        <v>35</v>
      </c>
      <c r="R262" t="s">
        <v>229</v>
      </c>
      <c r="S262">
        <v>711344</v>
      </c>
      <c r="T262" t="s">
        <v>312</v>
      </c>
      <c r="U262" t="s">
        <v>313</v>
      </c>
      <c r="V262" t="s">
        <v>749</v>
      </c>
      <c r="W262">
        <v>8</v>
      </c>
      <c r="X262">
        <v>0</v>
      </c>
      <c r="Y262">
        <v>1285.18</v>
      </c>
    </row>
    <row r="263" spans="1:25" x14ac:dyDescent="0.3">
      <c r="A263" t="s">
        <v>742</v>
      </c>
      <c r="B263" t="s">
        <v>743</v>
      </c>
      <c r="C263" t="s">
        <v>348</v>
      </c>
      <c r="D263" s="9">
        <v>34513</v>
      </c>
      <c r="E263">
        <v>628.04999999999995</v>
      </c>
      <c r="F263">
        <v>2024</v>
      </c>
      <c r="G263" t="s">
        <v>28</v>
      </c>
      <c r="H263" t="s">
        <v>29</v>
      </c>
      <c r="I263" t="s">
        <v>49</v>
      </c>
      <c r="J263" t="s">
        <v>227</v>
      </c>
      <c r="K263" t="s">
        <v>32</v>
      </c>
      <c r="L263" t="s">
        <v>144</v>
      </c>
      <c r="M263" s="9">
        <v>45570</v>
      </c>
      <c r="N263" t="s">
        <v>750</v>
      </c>
      <c r="O263" s="9">
        <v>45565</v>
      </c>
      <c r="P263" s="9">
        <v>45570</v>
      </c>
      <c r="Q263" t="s">
        <v>74</v>
      </c>
      <c r="R263" t="s">
        <v>229</v>
      </c>
      <c r="S263">
        <v>631958</v>
      </c>
      <c r="T263" t="s">
        <v>51</v>
      </c>
      <c r="U263" t="s">
        <v>52</v>
      </c>
      <c r="V263" t="s">
        <v>751</v>
      </c>
      <c r="W263">
        <v>4</v>
      </c>
      <c r="X263">
        <v>0.15</v>
      </c>
      <c r="Y263">
        <v>73.3</v>
      </c>
    </row>
    <row r="264" spans="1:25" x14ac:dyDescent="0.3">
      <c r="A264" t="s">
        <v>742</v>
      </c>
      <c r="B264" t="s">
        <v>743</v>
      </c>
      <c r="C264" t="s">
        <v>348</v>
      </c>
      <c r="D264" s="9">
        <v>34513</v>
      </c>
      <c r="E264">
        <v>962.55</v>
      </c>
      <c r="F264">
        <v>2025</v>
      </c>
      <c r="G264" t="s">
        <v>87</v>
      </c>
      <c r="H264" t="s">
        <v>29</v>
      </c>
      <c r="I264" t="s">
        <v>43</v>
      </c>
      <c r="J264" t="s">
        <v>227</v>
      </c>
      <c r="K264" t="s">
        <v>32</v>
      </c>
      <c r="L264" t="s">
        <v>144</v>
      </c>
      <c r="M264" s="9">
        <v>45772</v>
      </c>
      <c r="N264" t="s">
        <v>752</v>
      </c>
      <c r="O264" s="9">
        <v>45771</v>
      </c>
      <c r="P264" s="9">
        <v>45774</v>
      </c>
      <c r="Q264" t="s">
        <v>74</v>
      </c>
      <c r="R264" t="s">
        <v>229</v>
      </c>
      <c r="S264">
        <v>786224</v>
      </c>
      <c r="T264" t="s">
        <v>45</v>
      </c>
      <c r="U264" t="s">
        <v>46</v>
      </c>
      <c r="V264" t="s">
        <v>753</v>
      </c>
      <c r="W264">
        <v>9</v>
      </c>
      <c r="X264">
        <v>0</v>
      </c>
      <c r="Y264">
        <v>184.07</v>
      </c>
    </row>
    <row r="265" spans="1:25" x14ac:dyDescent="0.3">
      <c r="A265" t="s">
        <v>754</v>
      </c>
      <c r="B265" t="s">
        <v>270</v>
      </c>
      <c r="C265" t="s">
        <v>271</v>
      </c>
      <c r="D265" s="9">
        <v>35477</v>
      </c>
      <c r="E265">
        <v>1071.4100000000001</v>
      </c>
      <c r="F265">
        <v>2023</v>
      </c>
      <c r="G265" t="s">
        <v>48</v>
      </c>
      <c r="H265" t="s">
        <v>29</v>
      </c>
      <c r="I265" t="s">
        <v>61</v>
      </c>
      <c r="J265" t="s">
        <v>143</v>
      </c>
      <c r="K265" t="s">
        <v>32</v>
      </c>
      <c r="L265" t="s">
        <v>144</v>
      </c>
      <c r="M265" s="9">
        <v>45291</v>
      </c>
      <c r="N265" t="s">
        <v>755</v>
      </c>
      <c r="O265" s="9">
        <v>45290</v>
      </c>
      <c r="P265" s="9">
        <v>45291</v>
      </c>
      <c r="Q265" t="s">
        <v>35</v>
      </c>
      <c r="R265" t="s">
        <v>309</v>
      </c>
      <c r="S265">
        <v>595158</v>
      </c>
      <c r="T265" t="s">
        <v>204</v>
      </c>
      <c r="U265" t="s">
        <v>205</v>
      </c>
      <c r="V265" t="s">
        <v>756</v>
      </c>
      <c r="W265">
        <v>6</v>
      </c>
      <c r="X265">
        <v>0.1</v>
      </c>
      <c r="Y265">
        <v>148.09</v>
      </c>
    </row>
    <row r="266" spans="1:25" x14ac:dyDescent="0.3">
      <c r="A266" t="s">
        <v>757</v>
      </c>
      <c r="B266" t="s">
        <v>626</v>
      </c>
      <c r="C266" t="s">
        <v>758</v>
      </c>
      <c r="D266" s="9">
        <v>34747</v>
      </c>
      <c r="E266">
        <v>257.82</v>
      </c>
      <c r="F266">
        <v>2023</v>
      </c>
      <c r="G266" t="s">
        <v>48</v>
      </c>
      <c r="H266" t="s">
        <v>163</v>
      </c>
      <c r="I266" t="s">
        <v>43</v>
      </c>
      <c r="J266" t="s">
        <v>143</v>
      </c>
      <c r="K266" t="s">
        <v>32</v>
      </c>
      <c r="L266" t="s">
        <v>144</v>
      </c>
      <c r="M266" s="9">
        <v>45052</v>
      </c>
      <c r="N266" t="s">
        <v>759</v>
      </c>
      <c r="O266" s="9">
        <v>45049</v>
      </c>
      <c r="P266" s="9">
        <v>45054</v>
      </c>
      <c r="Q266" t="s">
        <v>74</v>
      </c>
      <c r="R266" t="s">
        <v>421</v>
      </c>
      <c r="S266">
        <v>850432</v>
      </c>
      <c r="T266" t="s">
        <v>153</v>
      </c>
      <c r="U266" t="s">
        <v>154</v>
      </c>
      <c r="V266" t="s">
        <v>760</v>
      </c>
      <c r="W266">
        <v>3</v>
      </c>
      <c r="X266">
        <v>0</v>
      </c>
      <c r="Y266">
        <v>39.4</v>
      </c>
    </row>
    <row r="267" spans="1:25" x14ac:dyDescent="0.3">
      <c r="A267" t="s">
        <v>757</v>
      </c>
      <c r="B267" t="s">
        <v>626</v>
      </c>
      <c r="C267" t="s">
        <v>758</v>
      </c>
      <c r="D267" s="9">
        <v>34747</v>
      </c>
      <c r="E267">
        <v>1937.4</v>
      </c>
      <c r="F267">
        <v>2024</v>
      </c>
      <c r="G267" t="s">
        <v>28</v>
      </c>
      <c r="H267" t="s">
        <v>163</v>
      </c>
      <c r="I267" t="s">
        <v>61</v>
      </c>
      <c r="J267" t="s">
        <v>143</v>
      </c>
      <c r="K267" t="s">
        <v>32</v>
      </c>
      <c r="L267" t="s">
        <v>144</v>
      </c>
      <c r="M267" s="9">
        <v>45317</v>
      </c>
      <c r="N267" t="s">
        <v>761</v>
      </c>
      <c r="O267" s="9">
        <v>45317</v>
      </c>
      <c r="P267" s="9">
        <v>45318</v>
      </c>
      <c r="Q267" t="s">
        <v>74</v>
      </c>
      <c r="R267" t="s">
        <v>421</v>
      </c>
      <c r="S267">
        <v>319553</v>
      </c>
      <c r="T267" t="s">
        <v>312</v>
      </c>
      <c r="U267" t="s">
        <v>313</v>
      </c>
      <c r="V267" t="s">
        <v>762</v>
      </c>
      <c r="W267">
        <v>6</v>
      </c>
      <c r="X267">
        <v>0</v>
      </c>
      <c r="Y267">
        <v>279.02999999999997</v>
      </c>
    </row>
    <row r="268" spans="1:25" x14ac:dyDescent="0.3">
      <c r="A268" t="s">
        <v>757</v>
      </c>
      <c r="B268" t="s">
        <v>626</v>
      </c>
      <c r="C268" t="s">
        <v>758</v>
      </c>
      <c r="D268" s="9">
        <v>34747</v>
      </c>
      <c r="E268">
        <v>156.01</v>
      </c>
      <c r="F268">
        <v>2024</v>
      </c>
      <c r="G268" t="s">
        <v>28</v>
      </c>
      <c r="H268" t="s">
        <v>163</v>
      </c>
      <c r="I268" t="s">
        <v>61</v>
      </c>
      <c r="J268" t="s">
        <v>143</v>
      </c>
      <c r="K268" t="s">
        <v>32</v>
      </c>
      <c r="L268" t="s">
        <v>144</v>
      </c>
      <c r="M268" s="9">
        <v>45442</v>
      </c>
      <c r="N268" t="s">
        <v>763</v>
      </c>
      <c r="O268" s="9">
        <v>45439</v>
      </c>
      <c r="P268" s="9">
        <v>45443</v>
      </c>
      <c r="Q268" t="s">
        <v>41</v>
      </c>
      <c r="R268" t="s">
        <v>421</v>
      </c>
      <c r="S268">
        <v>104895</v>
      </c>
      <c r="T268" t="s">
        <v>66</v>
      </c>
      <c r="U268" t="s">
        <v>67</v>
      </c>
      <c r="V268" t="s">
        <v>764</v>
      </c>
      <c r="W268">
        <v>2</v>
      </c>
      <c r="X268">
        <v>0.05</v>
      </c>
      <c r="Y268">
        <v>37.450000000000003</v>
      </c>
    </row>
    <row r="269" spans="1:25" x14ac:dyDescent="0.3">
      <c r="A269" t="s">
        <v>757</v>
      </c>
      <c r="B269" t="s">
        <v>626</v>
      </c>
      <c r="C269" t="s">
        <v>758</v>
      </c>
      <c r="D269" s="9">
        <v>34747</v>
      </c>
      <c r="E269">
        <v>2856.18</v>
      </c>
      <c r="F269">
        <v>2024</v>
      </c>
      <c r="G269" t="s">
        <v>48</v>
      </c>
      <c r="H269" t="s">
        <v>163</v>
      </c>
      <c r="I269" t="s">
        <v>78</v>
      </c>
      <c r="J269" t="s">
        <v>143</v>
      </c>
      <c r="K269" t="s">
        <v>32</v>
      </c>
      <c r="L269" t="s">
        <v>144</v>
      </c>
      <c r="M269" s="9">
        <v>45470</v>
      </c>
      <c r="N269" t="s">
        <v>765</v>
      </c>
      <c r="O269" s="9">
        <v>45469</v>
      </c>
      <c r="P269" s="9">
        <v>45474</v>
      </c>
      <c r="Q269" t="s">
        <v>35</v>
      </c>
      <c r="R269" t="s">
        <v>421</v>
      </c>
      <c r="S269">
        <v>757128</v>
      </c>
      <c r="T269" t="s">
        <v>89</v>
      </c>
      <c r="U269" t="s">
        <v>90</v>
      </c>
      <c r="V269" t="s">
        <v>766</v>
      </c>
      <c r="W269">
        <v>6</v>
      </c>
      <c r="X269">
        <v>0</v>
      </c>
      <c r="Y269">
        <v>791.32</v>
      </c>
    </row>
    <row r="270" spans="1:25" x14ac:dyDescent="0.3">
      <c r="A270" t="s">
        <v>757</v>
      </c>
      <c r="B270" t="s">
        <v>626</v>
      </c>
      <c r="C270" t="s">
        <v>758</v>
      </c>
      <c r="D270" s="9">
        <v>34747</v>
      </c>
      <c r="E270">
        <v>1018.8</v>
      </c>
      <c r="F270">
        <v>2024</v>
      </c>
      <c r="G270" t="s">
        <v>48</v>
      </c>
      <c r="H270" t="s">
        <v>163</v>
      </c>
      <c r="I270" t="s">
        <v>49</v>
      </c>
      <c r="J270" t="s">
        <v>143</v>
      </c>
      <c r="K270" t="s">
        <v>32</v>
      </c>
      <c r="L270" t="s">
        <v>144</v>
      </c>
      <c r="M270" s="9">
        <v>45626</v>
      </c>
      <c r="N270" t="s">
        <v>767</v>
      </c>
      <c r="O270" s="9">
        <v>45624</v>
      </c>
      <c r="P270" s="9">
        <v>45629</v>
      </c>
      <c r="Q270" t="s">
        <v>35</v>
      </c>
      <c r="R270" t="s">
        <v>421</v>
      </c>
      <c r="S270">
        <v>963862</v>
      </c>
      <c r="T270" t="s">
        <v>109</v>
      </c>
      <c r="U270" t="s">
        <v>110</v>
      </c>
      <c r="V270" t="s">
        <v>768</v>
      </c>
      <c r="W270">
        <v>6</v>
      </c>
      <c r="X270">
        <v>0</v>
      </c>
      <c r="Y270">
        <v>168.17</v>
      </c>
    </row>
    <row r="271" spans="1:25" x14ac:dyDescent="0.3">
      <c r="A271" t="s">
        <v>757</v>
      </c>
      <c r="B271" t="s">
        <v>626</v>
      </c>
      <c r="C271" t="s">
        <v>758</v>
      </c>
      <c r="D271" s="9">
        <v>34747</v>
      </c>
      <c r="E271">
        <v>2659.39</v>
      </c>
      <c r="F271">
        <v>2025</v>
      </c>
      <c r="G271" t="s">
        <v>28</v>
      </c>
      <c r="H271" t="s">
        <v>163</v>
      </c>
      <c r="I271" t="s">
        <v>78</v>
      </c>
      <c r="J271" t="s">
        <v>143</v>
      </c>
      <c r="K271" t="s">
        <v>32</v>
      </c>
      <c r="L271" t="s">
        <v>144</v>
      </c>
      <c r="M271" s="9">
        <v>45816</v>
      </c>
      <c r="N271" t="s">
        <v>769</v>
      </c>
      <c r="O271" s="9">
        <v>45815</v>
      </c>
      <c r="P271" s="9">
        <v>45819</v>
      </c>
      <c r="Q271" t="s">
        <v>41</v>
      </c>
      <c r="R271" t="s">
        <v>421</v>
      </c>
      <c r="S271">
        <v>476701</v>
      </c>
      <c r="T271" t="s">
        <v>117</v>
      </c>
      <c r="U271" t="s">
        <v>118</v>
      </c>
      <c r="V271" t="s">
        <v>770</v>
      </c>
      <c r="W271">
        <v>8</v>
      </c>
      <c r="X271">
        <v>0.1</v>
      </c>
      <c r="Y271">
        <v>551.12</v>
      </c>
    </row>
    <row r="272" spans="1:25" x14ac:dyDescent="0.3">
      <c r="A272" t="s">
        <v>771</v>
      </c>
      <c r="B272" t="s">
        <v>661</v>
      </c>
      <c r="C272" t="s">
        <v>211</v>
      </c>
      <c r="D272" s="9">
        <v>24931</v>
      </c>
      <c r="E272">
        <v>303.05</v>
      </c>
      <c r="F272">
        <v>2023</v>
      </c>
      <c r="G272" t="s">
        <v>87</v>
      </c>
      <c r="H272" t="s">
        <v>29</v>
      </c>
      <c r="I272" t="s">
        <v>61</v>
      </c>
      <c r="J272" t="s">
        <v>102</v>
      </c>
      <c r="K272" t="s">
        <v>32</v>
      </c>
      <c r="L272" t="s">
        <v>63</v>
      </c>
      <c r="M272" s="9">
        <v>44947</v>
      </c>
      <c r="N272" t="s">
        <v>772</v>
      </c>
      <c r="O272" s="9">
        <v>44946</v>
      </c>
      <c r="P272" s="9">
        <v>44947</v>
      </c>
      <c r="Q272" t="s">
        <v>74</v>
      </c>
      <c r="R272" t="s">
        <v>165</v>
      </c>
      <c r="S272">
        <v>908713</v>
      </c>
      <c r="T272" t="s">
        <v>66</v>
      </c>
      <c r="U272" t="s">
        <v>67</v>
      </c>
      <c r="V272" t="s">
        <v>773</v>
      </c>
      <c r="W272">
        <v>1</v>
      </c>
      <c r="X272">
        <v>0</v>
      </c>
      <c r="Y272">
        <v>26.35</v>
      </c>
    </row>
    <row r="273" spans="1:25" x14ac:dyDescent="0.3">
      <c r="A273" t="s">
        <v>771</v>
      </c>
      <c r="B273" t="s">
        <v>661</v>
      </c>
      <c r="C273" t="s">
        <v>211</v>
      </c>
      <c r="D273" s="9">
        <v>24931</v>
      </c>
      <c r="E273">
        <v>4228.32</v>
      </c>
      <c r="F273">
        <v>2023</v>
      </c>
      <c r="G273" t="s">
        <v>87</v>
      </c>
      <c r="H273" t="s">
        <v>29</v>
      </c>
      <c r="I273" t="s">
        <v>30</v>
      </c>
      <c r="J273" t="s">
        <v>102</v>
      </c>
      <c r="K273" t="s">
        <v>32</v>
      </c>
      <c r="L273" t="s">
        <v>63</v>
      </c>
      <c r="M273" s="9">
        <v>45095</v>
      </c>
      <c r="N273" t="s">
        <v>774</v>
      </c>
      <c r="O273" s="9">
        <v>45095</v>
      </c>
      <c r="P273" s="9">
        <v>45096</v>
      </c>
      <c r="Q273" t="s">
        <v>35</v>
      </c>
      <c r="R273" t="s">
        <v>165</v>
      </c>
      <c r="S273">
        <v>537020</v>
      </c>
      <c r="T273" t="s">
        <v>55</v>
      </c>
      <c r="U273" t="s">
        <v>56</v>
      </c>
      <c r="V273" t="s">
        <v>775</v>
      </c>
      <c r="W273">
        <v>10</v>
      </c>
      <c r="X273">
        <v>0.15</v>
      </c>
      <c r="Y273">
        <v>348.56</v>
      </c>
    </row>
    <row r="274" spans="1:25" x14ac:dyDescent="0.3">
      <c r="A274" t="s">
        <v>771</v>
      </c>
      <c r="B274" t="s">
        <v>661</v>
      </c>
      <c r="C274" t="s">
        <v>211</v>
      </c>
      <c r="D274" s="9">
        <v>24931</v>
      </c>
      <c r="E274">
        <v>1081.02</v>
      </c>
      <c r="F274">
        <v>2023</v>
      </c>
      <c r="G274" t="s">
        <v>28</v>
      </c>
      <c r="H274" t="s">
        <v>29</v>
      </c>
      <c r="I274" t="s">
        <v>92</v>
      </c>
      <c r="J274" t="s">
        <v>102</v>
      </c>
      <c r="K274" t="s">
        <v>32</v>
      </c>
      <c r="L274" t="s">
        <v>63</v>
      </c>
      <c r="M274" s="9">
        <v>45161</v>
      </c>
      <c r="N274" t="s">
        <v>776</v>
      </c>
      <c r="O274" s="9">
        <v>45160</v>
      </c>
      <c r="P274" s="9">
        <v>45161</v>
      </c>
      <c r="Q274" t="s">
        <v>35</v>
      </c>
      <c r="R274" t="s">
        <v>165</v>
      </c>
      <c r="S274">
        <v>794663</v>
      </c>
      <c r="T274" t="s">
        <v>127</v>
      </c>
      <c r="U274" t="s">
        <v>128</v>
      </c>
      <c r="V274" t="s">
        <v>777</v>
      </c>
      <c r="W274">
        <v>9</v>
      </c>
      <c r="X274">
        <v>0.15</v>
      </c>
      <c r="Y274">
        <v>103.71</v>
      </c>
    </row>
    <row r="275" spans="1:25" x14ac:dyDescent="0.3">
      <c r="A275" t="s">
        <v>771</v>
      </c>
      <c r="B275" t="s">
        <v>661</v>
      </c>
      <c r="C275" t="s">
        <v>211</v>
      </c>
      <c r="D275" s="9">
        <v>24931</v>
      </c>
      <c r="E275">
        <v>3385.32</v>
      </c>
      <c r="F275">
        <v>2024</v>
      </c>
      <c r="G275" t="s">
        <v>28</v>
      </c>
      <c r="H275" t="s">
        <v>29</v>
      </c>
      <c r="I275" t="s">
        <v>30</v>
      </c>
      <c r="J275" t="s">
        <v>102</v>
      </c>
      <c r="K275" t="s">
        <v>32</v>
      </c>
      <c r="L275" t="s">
        <v>63</v>
      </c>
      <c r="M275" s="9">
        <v>45340</v>
      </c>
      <c r="N275" t="s">
        <v>778</v>
      </c>
      <c r="O275" s="9">
        <v>45340</v>
      </c>
      <c r="P275" s="9">
        <v>45341</v>
      </c>
      <c r="Q275" t="s">
        <v>35</v>
      </c>
      <c r="R275" t="s">
        <v>165</v>
      </c>
      <c r="S275">
        <v>922880</v>
      </c>
      <c r="T275" t="s">
        <v>37</v>
      </c>
      <c r="U275" t="s">
        <v>38</v>
      </c>
      <c r="V275" t="s">
        <v>779</v>
      </c>
      <c r="W275">
        <v>10</v>
      </c>
      <c r="X275">
        <v>0.05</v>
      </c>
      <c r="Y275">
        <v>1012.87</v>
      </c>
    </row>
    <row r="276" spans="1:25" x14ac:dyDescent="0.3">
      <c r="A276" t="s">
        <v>771</v>
      </c>
      <c r="B276" t="s">
        <v>661</v>
      </c>
      <c r="C276" t="s">
        <v>211</v>
      </c>
      <c r="D276" s="9">
        <v>24931</v>
      </c>
      <c r="E276">
        <v>1158.8</v>
      </c>
      <c r="F276">
        <v>2025</v>
      </c>
      <c r="G276" t="s">
        <v>87</v>
      </c>
      <c r="H276" t="s">
        <v>29</v>
      </c>
      <c r="I276" t="s">
        <v>78</v>
      </c>
      <c r="J276" t="s">
        <v>102</v>
      </c>
      <c r="K276" t="s">
        <v>32</v>
      </c>
      <c r="L276" t="s">
        <v>63</v>
      </c>
      <c r="M276" s="9">
        <v>45759</v>
      </c>
      <c r="N276" t="s">
        <v>780</v>
      </c>
      <c r="O276" s="9">
        <v>45758</v>
      </c>
      <c r="P276" s="9">
        <v>45760</v>
      </c>
      <c r="Q276" t="s">
        <v>41</v>
      </c>
      <c r="R276" t="s">
        <v>165</v>
      </c>
      <c r="S276">
        <v>409698</v>
      </c>
      <c r="T276" t="s">
        <v>80</v>
      </c>
      <c r="U276" t="s">
        <v>81</v>
      </c>
      <c r="V276" t="s">
        <v>781</v>
      </c>
      <c r="W276">
        <v>10</v>
      </c>
      <c r="X276">
        <v>0</v>
      </c>
      <c r="Y276">
        <v>347</v>
      </c>
    </row>
    <row r="277" spans="1:25" x14ac:dyDescent="0.3">
      <c r="A277" t="s">
        <v>782</v>
      </c>
      <c r="B277" t="s">
        <v>591</v>
      </c>
      <c r="C277" t="s">
        <v>27</v>
      </c>
      <c r="D277" s="9">
        <v>24943</v>
      </c>
      <c r="E277">
        <v>72.45</v>
      </c>
      <c r="F277">
        <v>2024</v>
      </c>
      <c r="G277" t="s">
        <v>48</v>
      </c>
      <c r="H277" t="s">
        <v>29</v>
      </c>
      <c r="I277" t="s">
        <v>61</v>
      </c>
      <c r="J277" t="s">
        <v>62</v>
      </c>
      <c r="K277" t="s">
        <v>32</v>
      </c>
      <c r="L277" t="s">
        <v>63</v>
      </c>
      <c r="M277" s="9">
        <v>45436</v>
      </c>
      <c r="N277" t="s">
        <v>783</v>
      </c>
      <c r="O277" s="9">
        <v>45435</v>
      </c>
      <c r="P277" s="9">
        <v>45436</v>
      </c>
      <c r="Q277" t="s">
        <v>35</v>
      </c>
      <c r="R277" t="s">
        <v>65</v>
      </c>
      <c r="S277">
        <v>917392</v>
      </c>
      <c r="T277" t="s">
        <v>113</v>
      </c>
      <c r="U277" t="s">
        <v>114</v>
      </c>
      <c r="V277" t="s">
        <v>784</v>
      </c>
      <c r="W277">
        <v>4</v>
      </c>
      <c r="X277">
        <v>0.15</v>
      </c>
      <c r="Y277">
        <v>5.56</v>
      </c>
    </row>
    <row r="278" spans="1:25" x14ac:dyDescent="0.3">
      <c r="A278" t="s">
        <v>782</v>
      </c>
      <c r="B278" t="s">
        <v>591</v>
      </c>
      <c r="C278" t="s">
        <v>27</v>
      </c>
      <c r="D278" s="9">
        <v>24943</v>
      </c>
      <c r="E278">
        <v>772.29</v>
      </c>
      <c r="F278">
        <v>2024</v>
      </c>
      <c r="G278" t="s">
        <v>28</v>
      </c>
      <c r="H278" t="s">
        <v>29</v>
      </c>
      <c r="I278" t="s">
        <v>30</v>
      </c>
      <c r="J278" t="s">
        <v>62</v>
      </c>
      <c r="K278" t="s">
        <v>32</v>
      </c>
      <c r="L278" t="s">
        <v>63</v>
      </c>
      <c r="M278" s="9">
        <v>45490</v>
      </c>
      <c r="N278" t="s">
        <v>785</v>
      </c>
      <c r="O278" s="9">
        <v>45488</v>
      </c>
      <c r="P278" s="9">
        <v>45491</v>
      </c>
      <c r="Q278" t="s">
        <v>35</v>
      </c>
      <c r="R278" t="s">
        <v>65</v>
      </c>
      <c r="S278">
        <v>204657</v>
      </c>
      <c r="T278" t="s">
        <v>75</v>
      </c>
      <c r="U278" t="s">
        <v>76</v>
      </c>
      <c r="V278" t="s">
        <v>786</v>
      </c>
      <c r="W278">
        <v>2</v>
      </c>
      <c r="X278">
        <v>0.15</v>
      </c>
      <c r="Y278">
        <v>92.17</v>
      </c>
    </row>
    <row r="279" spans="1:25" x14ac:dyDescent="0.3">
      <c r="A279" t="s">
        <v>787</v>
      </c>
      <c r="B279" t="s">
        <v>788</v>
      </c>
      <c r="C279" t="s">
        <v>758</v>
      </c>
      <c r="D279" s="9">
        <v>29461</v>
      </c>
      <c r="E279">
        <v>104.96</v>
      </c>
      <c r="F279">
        <v>2023</v>
      </c>
      <c r="G279" t="s">
        <v>87</v>
      </c>
      <c r="H279" t="s">
        <v>29</v>
      </c>
      <c r="I279" t="s">
        <v>49</v>
      </c>
      <c r="J279" t="s">
        <v>102</v>
      </c>
      <c r="K279" t="s">
        <v>32</v>
      </c>
      <c r="L279" t="s">
        <v>144</v>
      </c>
      <c r="M279" s="9">
        <v>44967</v>
      </c>
      <c r="N279" t="s">
        <v>789</v>
      </c>
      <c r="O279" s="9">
        <v>44967</v>
      </c>
      <c r="P279" s="9">
        <v>44968</v>
      </c>
      <c r="Q279" t="s">
        <v>121</v>
      </c>
      <c r="R279" t="s">
        <v>104</v>
      </c>
      <c r="S279">
        <v>444625</v>
      </c>
      <c r="T279" t="s">
        <v>84</v>
      </c>
      <c r="U279" t="s">
        <v>85</v>
      </c>
      <c r="V279" t="s">
        <v>790</v>
      </c>
      <c r="W279">
        <v>2</v>
      </c>
      <c r="X279">
        <v>0.2</v>
      </c>
      <c r="Y279">
        <v>33.28</v>
      </c>
    </row>
    <row r="280" spans="1:25" x14ac:dyDescent="0.3">
      <c r="A280" t="s">
        <v>787</v>
      </c>
      <c r="B280" t="s">
        <v>788</v>
      </c>
      <c r="C280" t="s">
        <v>758</v>
      </c>
      <c r="D280" s="9">
        <v>29461</v>
      </c>
      <c r="E280">
        <v>2208.35</v>
      </c>
      <c r="F280">
        <v>2023</v>
      </c>
      <c r="G280" t="s">
        <v>48</v>
      </c>
      <c r="H280" t="s">
        <v>29</v>
      </c>
      <c r="I280" t="s">
        <v>43</v>
      </c>
      <c r="J280" t="s">
        <v>102</v>
      </c>
      <c r="K280" t="s">
        <v>32</v>
      </c>
      <c r="L280" t="s">
        <v>144</v>
      </c>
      <c r="M280" s="9">
        <v>45225</v>
      </c>
      <c r="N280" t="s">
        <v>791</v>
      </c>
      <c r="O280" s="9">
        <v>45224</v>
      </c>
      <c r="P280" s="9">
        <v>45227</v>
      </c>
      <c r="Q280" t="s">
        <v>41</v>
      </c>
      <c r="R280" t="s">
        <v>104</v>
      </c>
      <c r="S280">
        <v>519692</v>
      </c>
      <c r="T280" t="s">
        <v>153</v>
      </c>
      <c r="U280" t="s">
        <v>154</v>
      </c>
      <c r="V280" t="s">
        <v>792</v>
      </c>
      <c r="W280">
        <v>5</v>
      </c>
      <c r="X280">
        <v>0</v>
      </c>
      <c r="Y280">
        <v>357.28</v>
      </c>
    </row>
    <row r="281" spans="1:25" x14ac:dyDescent="0.3">
      <c r="A281" t="s">
        <v>787</v>
      </c>
      <c r="B281" t="s">
        <v>788</v>
      </c>
      <c r="C281" t="s">
        <v>758</v>
      </c>
      <c r="D281" s="9">
        <v>29461</v>
      </c>
      <c r="E281">
        <v>2335.15</v>
      </c>
      <c r="F281">
        <v>2024</v>
      </c>
      <c r="G281" t="s">
        <v>48</v>
      </c>
      <c r="H281" t="s">
        <v>29</v>
      </c>
      <c r="I281" t="s">
        <v>92</v>
      </c>
      <c r="J281" t="s">
        <v>102</v>
      </c>
      <c r="K281" t="s">
        <v>32</v>
      </c>
      <c r="L281" t="s">
        <v>144</v>
      </c>
      <c r="M281" s="9">
        <v>45295</v>
      </c>
      <c r="N281" t="s">
        <v>793</v>
      </c>
      <c r="O281" s="9">
        <v>45295</v>
      </c>
      <c r="P281" s="9">
        <v>45297</v>
      </c>
      <c r="Q281" t="s">
        <v>35</v>
      </c>
      <c r="R281" t="s">
        <v>104</v>
      </c>
      <c r="S281">
        <v>985364</v>
      </c>
      <c r="T281" t="s">
        <v>94</v>
      </c>
      <c r="U281" t="s">
        <v>95</v>
      </c>
      <c r="V281" t="s">
        <v>794</v>
      </c>
      <c r="W281">
        <v>7</v>
      </c>
      <c r="X281">
        <v>0.05</v>
      </c>
      <c r="Y281">
        <v>677.12</v>
      </c>
    </row>
    <row r="282" spans="1:25" x14ac:dyDescent="0.3">
      <c r="A282" t="s">
        <v>787</v>
      </c>
      <c r="B282" t="s">
        <v>788</v>
      </c>
      <c r="C282" t="s">
        <v>758</v>
      </c>
      <c r="D282" s="9">
        <v>29461</v>
      </c>
      <c r="E282">
        <v>2265.12</v>
      </c>
      <c r="F282">
        <v>2025</v>
      </c>
      <c r="G282" t="s">
        <v>28</v>
      </c>
      <c r="H282" t="s">
        <v>29</v>
      </c>
      <c r="I282" t="s">
        <v>61</v>
      </c>
      <c r="J282" t="s">
        <v>102</v>
      </c>
      <c r="K282" t="s">
        <v>32</v>
      </c>
      <c r="L282" t="s">
        <v>144</v>
      </c>
      <c r="M282" s="9">
        <v>45749</v>
      </c>
      <c r="N282" t="s">
        <v>795</v>
      </c>
      <c r="O282" s="9">
        <v>45747</v>
      </c>
      <c r="P282" s="9">
        <v>45749</v>
      </c>
      <c r="Q282" t="s">
        <v>74</v>
      </c>
      <c r="R282" t="s">
        <v>104</v>
      </c>
      <c r="S282">
        <v>741055</v>
      </c>
      <c r="T282" t="s">
        <v>312</v>
      </c>
      <c r="U282" t="s">
        <v>313</v>
      </c>
      <c r="V282" t="s">
        <v>796</v>
      </c>
      <c r="W282">
        <v>10</v>
      </c>
      <c r="X282">
        <v>0.1</v>
      </c>
      <c r="Y282">
        <v>574.25</v>
      </c>
    </row>
    <row r="283" spans="1:25" x14ac:dyDescent="0.3">
      <c r="A283" t="s">
        <v>787</v>
      </c>
      <c r="B283" t="s">
        <v>788</v>
      </c>
      <c r="C283" t="s">
        <v>758</v>
      </c>
      <c r="D283" s="9">
        <v>29461</v>
      </c>
      <c r="E283">
        <v>564</v>
      </c>
      <c r="F283">
        <v>2025</v>
      </c>
      <c r="G283" t="s">
        <v>87</v>
      </c>
      <c r="H283" t="s">
        <v>29</v>
      </c>
      <c r="I283" t="s">
        <v>78</v>
      </c>
      <c r="J283" t="s">
        <v>102</v>
      </c>
      <c r="K283" t="s">
        <v>32</v>
      </c>
      <c r="L283" t="s">
        <v>144</v>
      </c>
      <c r="M283" s="9">
        <v>45800</v>
      </c>
      <c r="N283" t="s">
        <v>797</v>
      </c>
      <c r="O283" s="9">
        <v>45799</v>
      </c>
      <c r="P283" s="9">
        <v>45800</v>
      </c>
      <c r="Q283" t="s">
        <v>74</v>
      </c>
      <c r="R283" t="s">
        <v>104</v>
      </c>
      <c r="S283">
        <v>112960</v>
      </c>
      <c r="T283" t="s">
        <v>89</v>
      </c>
      <c r="U283" t="s">
        <v>90</v>
      </c>
      <c r="V283" t="s">
        <v>798</v>
      </c>
      <c r="W283">
        <v>8</v>
      </c>
      <c r="X283">
        <v>0.05</v>
      </c>
      <c r="Y283">
        <v>102.76</v>
      </c>
    </row>
    <row r="284" spans="1:25" x14ac:dyDescent="0.3">
      <c r="A284" t="s">
        <v>787</v>
      </c>
      <c r="B284" t="s">
        <v>788</v>
      </c>
      <c r="C284" t="s">
        <v>758</v>
      </c>
      <c r="D284" s="9">
        <v>29461</v>
      </c>
      <c r="E284">
        <v>3674.1</v>
      </c>
      <c r="F284">
        <v>2025</v>
      </c>
      <c r="G284" t="s">
        <v>28</v>
      </c>
      <c r="H284" t="s">
        <v>29</v>
      </c>
      <c r="I284" t="s">
        <v>49</v>
      </c>
      <c r="J284" t="s">
        <v>102</v>
      </c>
      <c r="K284" t="s">
        <v>32</v>
      </c>
      <c r="L284" t="s">
        <v>144</v>
      </c>
      <c r="M284" s="9">
        <v>45822</v>
      </c>
      <c r="N284" t="s">
        <v>799</v>
      </c>
      <c r="O284" s="9">
        <v>45822</v>
      </c>
      <c r="P284" s="9">
        <v>45825</v>
      </c>
      <c r="Q284" t="s">
        <v>121</v>
      </c>
      <c r="R284" t="s">
        <v>104</v>
      </c>
      <c r="S284">
        <v>605339</v>
      </c>
      <c r="T284" t="s">
        <v>51</v>
      </c>
      <c r="U284" t="s">
        <v>52</v>
      </c>
      <c r="V284" t="s">
        <v>800</v>
      </c>
      <c r="W284">
        <v>10</v>
      </c>
      <c r="X284">
        <v>0</v>
      </c>
      <c r="Y284">
        <v>1261.57</v>
      </c>
    </row>
    <row r="285" spans="1:25" x14ac:dyDescent="0.3">
      <c r="A285" t="s">
        <v>801</v>
      </c>
      <c r="B285" t="s">
        <v>802</v>
      </c>
      <c r="C285" t="s">
        <v>712</v>
      </c>
      <c r="D285" s="9">
        <v>30922</v>
      </c>
      <c r="E285">
        <v>748.61</v>
      </c>
      <c r="F285">
        <v>2024</v>
      </c>
      <c r="G285" t="s">
        <v>28</v>
      </c>
      <c r="H285" t="s">
        <v>29</v>
      </c>
      <c r="I285" t="s">
        <v>61</v>
      </c>
      <c r="J285" t="s">
        <v>62</v>
      </c>
      <c r="K285" t="s">
        <v>32</v>
      </c>
      <c r="L285" t="s">
        <v>63</v>
      </c>
      <c r="M285" s="9">
        <v>45321</v>
      </c>
      <c r="N285" t="s">
        <v>803</v>
      </c>
      <c r="O285" s="9">
        <v>45321</v>
      </c>
      <c r="P285" s="9">
        <v>45323</v>
      </c>
      <c r="Q285" t="s">
        <v>74</v>
      </c>
      <c r="R285" t="s">
        <v>65</v>
      </c>
      <c r="S285">
        <v>352593</v>
      </c>
      <c r="T285" t="s">
        <v>312</v>
      </c>
      <c r="U285" t="s">
        <v>313</v>
      </c>
      <c r="V285" t="s">
        <v>804</v>
      </c>
      <c r="W285">
        <v>3</v>
      </c>
      <c r="X285">
        <v>0.05</v>
      </c>
      <c r="Y285">
        <v>228.75</v>
      </c>
    </row>
    <row r="286" spans="1:25" x14ac:dyDescent="0.3">
      <c r="A286" t="s">
        <v>801</v>
      </c>
      <c r="B286" t="s">
        <v>802</v>
      </c>
      <c r="C286" t="s">
        <v>712</v>
      </c>
      <c r="D286" s="9">
        <v>30922</v>
      </c>
      <c r="E286">
        <v>970.79</v>
      </c>
      <c r="F286">
        <v>2024</v>
      </c>
      <c r="G286" t="s">
        <v>28</v>
      </c>
      <c r="H286" t="s">
        <v>29</v>
      </c>
      <c r="I286" t="s">
        <v>43</v>
      </c>
      <c r="J286" t="s">
        <v>62</v>
      </c>
      <c r="K286" t="s">
        <v>32</v>
      </c>
      <c r="L286" t="s">
        <v>63</v>
      </c>
      <c r="M286" s="9">
        <v>45583</v>
      </c>
      <c r="N286" t="s">
        <v>805</v>
      </c>
      <c r="O286" s="9">
        <v>45583</v>
      </c>
      <c r="P286" s="9">
        <v>45585</v>
      </c>
      <c r="Q286" t="s">
        <v>41</v>
      </c>
      <c r="R286" t="s">
        <v>65</v>
      </c>
      <c r="S286">
        <v>940183</v>
      </c>
      <c r="T286" t="s">
        <v>153</v>
      </c>
      <c r="U286" t="s">
        <v>154</v>
      </c>
      <c r="V286" t="s">
        <v>806</v>
      </c>
      <c r="W286">
        <v>9</v>
      </c>
      <c r="X286">
        <v>0.15</v>
      </c>
      <c r="Y286">
        <v>158.81</v>
      </c>
    </row>
    <row r="287" spans="1:25" x14ac:dyDescent="0.3">
      <c r="A287" t="s">
        <v>801</v>
      </c>
      <c r="B287" t="s">
        <v>802</v>
      </c>
      <c r="C287" t="s">
        <v>712</v>
      </c>
      <c r="D287" s="9">
        <v>30922</v>
      </c>
      <c r="E287">
        <v>1876.72</v>
      </c>
      <c r="F287">
        <v>2024</v>
      </c>
      <c r="G287" t="s">
        <v>28</v>
      </c>
      <c r="H287" t="s">
        <v>29</v>
      </c>
      <c r="I287" t="s">
        <v>30</v>
      </c>
      <c r="J287" t="s">
        <v>62</v>
      </c>
      <c r="K287" t="s">
        <v>32</v>
      </c>
      <c r="L287" t="s">
        <v>63</v>
      </c>
      <c r="M287" s="9">
        <v>45619</v>
      </c>
      <c r="N287" t="s">
        <v>807</v>
      </c>
      <c r="O287" s="9">
        <v>45619</v>
      </c>
      <c r="P287" s="9">
        <v>45620</v>
      </c>
      <c r="Q287" t="s">
        <v>41</v>
      </c>
      <c r="R287" t="s">
        <v>65</v>
      </c>
      <c r="S287">
        <v>137572</v>
      </c>
      <c r="T287" t="s">
        <v>37</v>
      </c>
      <c r="U287" t="s">
        <v>38</v>
      </c>
      <c r="V287" t="s">
        <v>808</v>
      </c>
      <c r="W287">
        <v>8</v>
      </c>
      <c r="X287">
        <v>0</v>
      </c>
      <c r="Y287">
        <v>645.97</v>
      </c>
    </row>
    <row r="288" spans="1:25" x14ac:dyDescent="0.3">
      <c r="A288" t="s">
        <v>809</v>
      </c>
      <c r="B288" t="s">
        <v>141</v>
      </c>
      <c r="C288" t="s">
        <v>364</v>
      </c>
      <c r="D288" s="9">
        <v>23871</v>
      </c>
      <c r="E288">
        <v>2012.62</v>
      </c>
      <c r="F288">
        <v>2023</v>
      </c>
      <c r="G288" t="s">
        <v>28</v>
      </c>
      <c r="H288" t="s">
        <v>29</v>
      </c>
      <c r="I288" t="s">
        <v>30</v>
      </c>
      <c r="J288" t="s">
        <v>62</v>
      </c>
      <c r="K288" t="s">
        <v>32</v>
      </c>
      <c r="L288" t="s">
        <v>63</v>
      </c>
      <c r="M288" s="9">
        <v>44929</v>
      </c>
      <c r="N288" t="s">
        <v>810</v>
      </c>
      <c r="O288" s="9">
        <v>44927</v>
      </c>
      <c r="P288" s="9">
        <v>44931</v>
      </c>
      <c r="Q288" t="s">
        <v>35</v>
      </c>
      <c r="R288" t="s">
        <v>65</v>
      </c>
      <c r="S288">
        <v>956255</v>
      </c>
      <c r="T288" t="s">
        <v>55</v>
      </c>
      <c r="U288" t="s">
        <v>56</v>
      </c>
      <c r="V288" t="s">
        <v>811</v>
      </c>
      <c r="W288">
        <v>5</v>
      </c>
      <c r="X288">
        <v>0.1</v>
      </c>
      <c r="Y288">
        <v>225.52</v>
      </c>
    </row>
    <row r="289" spans="1:25" x14ac:dyDescent="0.3">
      <c r="A289" t="s">
        <v>809</v>
      </c>
      <c r="B289" t="s">
        <v>141</v>
      </c>
      <c r="C289" t="s">
        <v>364</v>
      </c>
      <c r="D289" s="9">
        <v>23871</v>
      </c>
      <c r="E289">
        <v>3145.72</v>
      </c>
      <c r="F289">
        <v>2023</v>
      </c>
      <c r="G289" t="s">
        <v>48</v>
      </c>
      <c r="H289" t="s">
        <v>29</v>
      </c>
      <c r="I289" t="s">
        <v>61</v>
      </c>
      <c r="J289" t="s">
        <v>62</v>
      </c>
      <c r="K289" t="s">
        <v>32</v>
      </c>
      <c r="L289" t="s">
        <v>63</v>
      </c>
      <c r="M289" s="9">
        <v>45023</v>
      </c>
      <c r="N289" t="s">
        <v>812</v>
      </c>
      <c r="O289" s="9">
        <v>45020</v>
      </c>
      <c r="P289" s="9">
        <v>45023</v>
      </c>
      <c r="Q289" t="s">
        <v>35</v>
      </c>
      <c r="R289" t="s">
        <v>65</v>
      </c>
      <c r="S289">
        <v>896204</v>
      </c>
      <c r="T289" t="s">
        <v>113</v>
      </c>
      <c r="U289" t="s">
        <v>114</v>
      </c>
      <c r="V289" t="s">
        <v>813</v>
      </c>
      <c r="W289">
        <v>9</v>
      </c>
      <c r="X289">
        <v>0.1</v>
      </c>
      <c r="Y289">
        <v>603.79</v>
      </c>
    </row>
    <row r="290" spans="1:25" x14ac:dyDescent="0.3">
      <c r="A290" t="s">
        <v>809</v>
      </c>
      <c r="B290" t="s">
        <v>141</v>
      </c>
      <c r="C290" t="s">
        <v>364</v>
      </c>
      <c r="D290" s="9">
        <v>23871</v>
      </c>
      <c r="E290">
        <v>971.4</v>
      </c>
      <c r="F290">
        <v>2025</v>
      </c>
      <c r="G290" t="s">
        <v>87</v>
      </c>
      <c r="H290" t="s">
        <v>29</v>
      </c>
      <c r="I290" t="s">
        <v>49</v>
      </c>
      <c r="J290" t="s">
        <v>62</v>
      </c>
      <c r="K290" t="s">
        <v>32</v>
      </c>
      <c r="L290" t="s">
        <v>63</v>
      </c>
      <c r="M290" s="9">
        <v>45739</v>
      </c>
      <c r="N290" t="s">
        <v>814</v>
      </c>
      <c r="O290" s="9">
        <v>45737</v>
      </c>
      <c r="P290" s="9">
        <v>45740</v>
      </c>
      <c r="Q290" t="s">
        <v>35</v>
      </c>
      <c r="R290" t="s">
        <v>65</v>
      </c>
      <c r="S290">
        <v>148001</v>
      </c>
      <c r="T290" t="s">
        <v>109</v>
      </c>
      <c r="U290" t="s">
        <v>110</v>
      </c>
      <c r="V290" t="s">
        <v>815</v>
      </c>
      <c r="W290">
        <v>6</v>
      </c>
      <c r="X290">
        <v>0.15</v>
      </c>
      <c r="Y290">
        <v>329.63</v>
      </c>
    </row>
    <row r="291" spans="1:25" x14ac:dyDescent="0.3">
      <c r="A291" t="s">
        <v>809</v>
      </c>
      <c r="B291" t="s">
        <v>141</v>
      </c>
      <c r="C291" t="s">
        <v>364</v>
      </c>
      <c r="D291" s="9">
        <v>23871</v>
      </c>
      <c r="E291">
        <v>449.44</v>
      </c>
      <c r="F291">
        <v>2025</v>
      </c>
      <c r="G291" t="s">
        <v>48</v>
      </c>
      <c r="H291" t="s">
        <v>29</v>
      </c>
      <c r="I291" t="s">
        <v>61</v>
      </c>
      <c r="J291" t="s">
        <v>62</v>
      </c>
      <c r="K291" t="s">
        <v>32</v>
      </c>
      <c r="L291" t="s">
        <v>63</v>
      </c>
      <c r="M291" s="9">
        <v>45773</v>
      </c>
      <c r="N291" t="s">
        <v>816</v>
      </c>
      <c r="O291" s="9">
        <v>45772</v>
      </c>
      <c r="P291" s="9">
        <v>45773</v>
      </c>
      <c r="Q291" t="s">
        <v>41</v>
      </c>
      <c r="R291" t="s">
        <v>65</v>
      </c>
      <c r="S291">
        <v>964607</v>
      </c>
      <c r="T291" t="s">
        <v>113</v>
      </c>
      <c r="U291" t="s">
        <v>114</v>
      </c>
      <c r="V291" t="s">
        <v>817</v>
      </c>
      <c r="W291">
        <v>7</v>
      </c>
      <c r="X291">
        <v>0.1</v>
      </c>
      <c r="Y291">
        <v>48.89</v>
      </c>
    </row>
    <row r="292" spans="1:25" x14ac:dyDescent="0.3">
      <c r="A292" t="s">
        <v>818</v>
      </c>
      <c r="B292" t="s">
        <v>183</v>
      </c>
      <c r="C292" t="s">
        <v>226</v>
      </c>
      <c r="D292" s="9">
        <v>25943</v>
      </c>
      <c r="E292">
        <v>1724.76</v>
      </c>
      <c r="F292">
        <v>2023</v>
      </c>
      <c r="G292" t="s">
        <v>48</v>
      </c>
      <c r="H292" t="s">
        <v>29</v>
      </c>
      <c r="I292" t="s">
        <v>78</v>
      </c>
      <c r="J292" t="s">
        <v>31</v>
      </c>
      <c r="K292" t="s">
        <v>32</v>
      </c>
      <c r="L292" t="s">
        <v>33</v>
      </c>
      <c r="M292" s="9">
        <v>45038</v>
      </c>
      <c r="N292" t="s">
        <v>819</v>
      </c>
      <c r="O292" s="9">
        <v>45037</v>
      </c>
      <c r="P292" s="9">
        <v>45039</v>
      </c>
      <c r="Q292" t="s">
        <v>35</v>
      </c>
      <c r="R292" t="s">
        <v>36</v>
      </c>
      <c r="S292">
        <v>680099</v>
      </c>
      <c r="T292" t="s">
        <v>135</v>
      </c>
      <c r="U292" t="s">
        <v>136</v>
      </c>
      <c r="V292" t="s">
        <v>820</v>
      </c>
      <c r="W292">
        <v>8</v>
      </c>
      <c r="X292">
        <v>0.1</v>
      </c>
      <c r="Y292">
        <v>581</v>
      </c>
    </row>
    <row r="293" spans="1:25" x14ac:dyDescent="0.3">
      <c r="A293" t="s">
        <v>818</v>
      </c>
      <c r="B293" t="s">
        <v>183</v>
      </c>
      <c r="C293" t="s">
        <v>226</v>
      </c>
      <c r="D293" s="9">
        <v>25943</v>
      </c>
      <c r="E293">
        <v>1056.21</v>
      </c>
      <c r="F293">
        <v>2023</v>
      </c>
      <c r="G293" t="s">
        <v>28</v>
      </c>
      <c r="H293" t="s">
        <v>29</v>
      </c>
      <c r="I293" t="s">
        <v>92</v>
      </c>
      <c r="J293" t="s">
        <v>31</v>
      </c>
      <c r="K293" t="s">
        <v>32</v>
      </c>
      <c r="L293" t="s">
        <v>33</v>
      </c>
      <c r="M293" s="9">
        <v>45273</v>
      </c>
      <c r="N293" t="s">
        <v>821</v>
      </c>
      <c r="O293" s="9">
        <v>45273</v>
      </c>
      <c r="P293" s="9">
        <v>45275</v>
      </c>
      <c r="Q293" t="s">
        <v>74</v>
      </c>
      <c r="R293" t="s">
        <v>36</v>
      </c>
      <c r="S293">
        <v>628597</v>
      </c>
      <c r="T293" t="s">
        <v>127</v>
      </c>
      <c r="U293" t="s">
        <v>128</v>
      </c>
      <c r="V293" t="s">
        <v>822</v>
      </c>
      <c r="W293">
        <v>3</v>
      </c>
      <c r="X293">
        <v>0</v>
      </c>
      <c r="Y293">
        <v>284.27999999999997</v>
      </c>
    </row>
    <row r="294" spans="1:25" x14ac:dyDescent="0.3">
      <c r="A294" t="s">
        <v>818</v>
      </c>
      <c r="B294" t="s">
        <v>183</v>
      </c>
      <c r="C294" t="s">
        <v>226</v>
      </c>
      <c r="D294" s="9">
        <v>25943</v>
      </c>
      <c r="E294">
        <v>605.32000000000005</v>
      </c>
      <c r="F294">
        <v>2024</v>
      </c>
      <c r="G294" t="s">
        <v>48</v>
      </c>
      <c r="H294" t="s">
        <v>29</v>
      </c>
      <c r="I294" t="s">
        <v>92</v>
      </c>
      <c r="J294" t="s">
        <v>31</v>
      </c>
      <c r="K294" t="s">
        <v>32</v>
      </c>
      <c r="L294" t="s">
        <v>33</v>
      </c>
      <c r="M294" s="9">
        <v>45352</v>
      </c>
      <c r="N294" t="s">
        <v>823</v>
      </c>
      <c r="O294" s="9">
        <v>45351</v>
      </c>
      <c r="P294" s="9">
        <v>45355</v>
      </c>
      <c r="Q294" t="s">
        <v>41</v>
      </c>
      <c r="R294" t="s">
        <v>36</v>
      </c>
      <c r="S294">
        <v>731792</v>
      </c>
      <c r="T294" t="s">
        <v>127</v>
      </c>
      <c r="U294" t="s">
        <v>128</v>
      </c>
      <c r="V294" t="s">
        <v>824</v>
      </c>
      <c r="W294">
        <v>4</v>
      </c>
      <c r="X294">
        <v>0</v>
      </c>
      <c r="Y294">
        <v>206.5</v>
      </c>
    </row>
    <row r="295" spans="1:25" x14ac:dyDescent="0.3">
      <c r="A295" t="s">
        <v>818</v>
      </c>
      <c r="B295" t="s">
        <v>183</v>
      </c>
      <c r="C295" t="s">
        <v>226</v>
      </c>
      <c r="D295" s="9">
        <v>25943</v>
      </c>
      <c r="E295">
        <v>1911.06</v>
      </c>
      <c r="F295">
        <v>2025</v>
      </c>
      <c r="G295" t="s">
        <v>48</v>
      </c>
      <c r="H295" t="s">
        <v>29</v>
      </c>
      <c r="I295" t="s">
        <v>49</v>
      </c>
      <c r="J295" t="s">
        <v>31</v>
      </c>
      <c r="K295" t="s">
        <v>32</v>
      </c>
      <c r="L295" t="s">
        <v>33</v>
      </c>
      <c r="M295" s="9">
        <v>45665</v>
      </c>
      <c r="N295" t="s">
        <v>825</v>
      </c>
      <c r="O295" s="9">
        <v>45660</v>
      </c>
      <c r="P295" s="9">
        <v>45665</v>
      </c>
      <c r="Q295" t="s">
        <v>121</v>
      </c>
      <c r="R295" t="s">
        <v>36</v>
      </c>
      <c r="S295">
        <v>319899</v>
      </c>
      <c r="T295" t="s">
        <v>51</v>
      </c>
      <c r="U295" t="s">
        <v>52</v>
      </c>
      <c r="V295" t="s">
        <v>826</v>
      </c>
      <c r="W295">
        <v>5</v>
      </c>
      <c r="X295">
        <v>0.1</v>
      </c>
      <c r="Y295">
        <v>589.01</v>
      </c>
    </row>
    <row r="296" spans="1:25" x14ac:dyDescent="0.3">
      <c r="A296" t="s">
        <v>818</v>
      </c>
      <c r="B296" t="s">
        <v>183</v>
      </c>
      <c r="C296" t="s">
        <v>226</v>
      </c>
      <c r="D296" s="9">
        <v>25943</v>
      </c>
      <c r="E296">
        <v>2773.02</v>
      </c>
      <c r="F296">
        <v>2025</v>
      </c>
      <c r="G296" t="s">
        <v>87</v>
      </c>
      <c r="H296" t="s">
        <v>29</v>
      </c>
      <c r="I296" t="s">
        <v>30</v>
      </c>
      <c r="J296" t="s">
        <v>31</v>
      </c>
      <c r="K296" t="s">
        <v>32</v>
      </c>
      <c r="L296" t="s">
        <v>33</v>
      </c>
      <c r="M296" s="9">
        <v>45704</v>
      </c>
      <c r="N296" t="s">
        <v>827</v>
      </c>
      <c r="O296" s="9">
        <v>45702</v>
      </c>
      <c r="P296" s="9">
        <v>45704</v>
      </c>
      <c r="Q296" t="s">
        <v>74</v>
      </c>
      <c r="R296" t="s">
        <v>36</v>
      </c>
      <c r="S296">
        <v>844858</v>
      </c>
      <c r="T296" t="s">
        <v>55</v>
      </c>
      <c r="U296" t="s">
        <v>56</v>
      </c>
      <c r="V296" t="s">
        <v>828</v>
      </c>
      <c r="W296">
        <v>6</v>
      </c>
      <c r="X296">
        <v>0</v>
      </c>
      <c r="Y296">
        <v>955.03</v>
      </c>
    </row>
    <row r="297" spans="1:25" x14ac:dyDescent="0.3">
      <c r="A297" t="s">
        <v>829</v>
      </c>
      <c r="B297" t="s">
        <v>830</v>
      </c>
      <c r="C297" t="s">
        <v>632</v>
      </c>
      <c r="D297" s="9">
        <v>26289</v>
      </c>
      <c r="E297">
        <v>1132.2</v>
      </c>
      <c r="F297">
        <v>2023</v>
      </c>
      <c r="G297" t="s">
        <v>48</v>
      </c>
      <c r="H297" t="s">
        <v>29</v>
      </c>
      <c r="I297" t="s">
        <v>92</v>
      </c>
      <c r="J297" t="s">
        <v>31</v>
      </c>
      <c r="K297" t="s">
        <v>32</v>
      </c>
      <c r="L297" t="s">
        <v>63</v>
      </c>
      <c r="M297" s="9">
        <v>45287</v>
      </c>
      <c r="N297" t="s">
        <v>831</v>
      </c>
      <c r="O297" s="9">
        <v>45287</v>
      </c>
      <c r="P297" s="9">
        <v>45288</v>
      </c>
      <c r="Q297" t="s">
        <v>41</v>
      </c>
      <c r="R297" t="s">
        <v>36</v>
      </c>
      <c r="S297">
        <v>252386</v>
      </c>
      <c r="T297" t="s">
        <v>127</v>
      </c>
      <c r="U297" t="s">
        <v>128</v>
      </c>
      <c r="V297" t="s">
        <v>832</v>
      </c>
      <c r="W297">
        <v>9</v>
      </c>
      <c r="X297">
        <v>0.2</v>
      </c>
      <c r="Y297">
        <v>200.08</v>
      </c>
    </row>
    <row r="298" spans="1:25" x14ac:dyDescent="0.3">
      <c r="A298" t="s">
        <v>829</v>
      </c>
      <c r="B298" t="s">
        <v>830</v>
      </c>
      <c r="C298" t="s">
        <v>632</v>
      </c>
      <c r="D298" s="9">
        <v>26289</v>
      </c>
      <c r="E298">
        <v>1900.45</v>
      </c>
      <c r="F298">
        <v>2024</v>
      </c>
      <c r="G298" t="s">
        <v>48</v>
      </c>
      <c r="H298" t="s">
        <v>29</v>
      </c>
      <c r="I298" t="s">
        <v>78</v>
      </c>
      <c r="J298" t="s">
        <v>31</v>
      </c>
      <c r="K298" t="s">
        <v>32</v>
      </c>
      <c r="L298" t="s">
        <v>63</v>
      </c>
      <c r="M298" s="9">
        <v>45503</v>
      </c>
      <c r="N298" t="s">
        <v>833</v>
      </c>
      <c r="O298" s="9">
        <v>45502</v>
      </c>
      <c r="P298" s="9">
        <v>45505</v>
      </c>
      <c r="Q298" t="s">
        <v>74</v>
      </c>
      <c r="R298" t="s">
        <v>36</v>
      </c>
      <c r="S298">
        <v>313910</v>
      </c>
      <c r="T298" t="s">
        <v>135</v>
      </c>
      <c r="U298" t="s">
        <v>136</v>
      </c>
      <c r="V298" t="s">
        <v>834</v>
      </c>
      <c r="W298">
        <v>5</v>
      </c>
      <c r="X298">
        <v>0</v>
      </c>
      <c r="Y298">
        <v>655.77</v>
      </c>
    </row>
    <row r="299" spans="1:25" x14ac:dyDescent="0.3">
      <c r="A299" t="s">
        <v>835</v>
      </c>
      <c r="B299" t="s">
        <v>270</v>
      </c>
      <c r="C299" t="s">
        <v>142</v>
      </c>
      <c r="D299" s="9">
        <v>29360</v>
      </c>
      <c r="E299">
        <v>3328.67</v>
      </c>
      <c r="F299">
        <v>2023</v>
      </c>
      <c r="G299" t="s">
        <v>87</v>
      </c>
      <c r="H299" t="s">
        <v>29</v>
      </c>
      <c r="I299" t="s">
        <v>30</v>
      </c>
      <c r="J299" t="s">
        <v>31</v>
      </c>
      <c r="K299" t="s">
        <v>32</v>
      </c>
      <c r="L299" t="s">
        <v>63</v>
      </c>
      <c r="M299" s="9">
        <v>44961</v>
      </c>
      <c r="N299" t="s">
        <v>836</v>
      </c>
      <c r="O299" s="9">
        <v>44960</v>
      </c>
      <c r="P299" s="9">
        <v>44964</v>
      </c>
      <c r="Q299" t="s">
        <v>74</v>
      </c>
      <c r="R299" t="s">
        <v>837</v>
      </c>
      <c r="S299">
        <v>826596</v>
      </c>
      <c r="T299" t="s">
        <v>55</v>
      </c>
      <c r="U299" t="s">
        <v>56</v>
      </c>
      <c r="V299" t="s">
        <v>838</v>
      </c>
      <c r="W299">
        <v>9</v>
      </c>
      <c r="X299">
        <v>0.15</v>
      </c>
      <c r="Y299">
        <v>812.65</v>
      </c>
    </row>
    <row r="300" spans="1:25" x14ac:dyDescent="0.3">
      <c r="A300" t="s">
        <v>835</v>
      </c>
      <c r="B300" t="s">
        <v>270</v>
      </c>
      <c r="C300" t="s">
        <v>142</v>
      </c>
      <c r="D300" s="9">
        <v>29360</v>
      </c>
      <c r="E300">
        <v>1231.72</v>
      </c>
      <c r="F300">
        <v>2023</v>
      </c>
      <c r="G300" t="s">
        <v>48</v>
      </c>
      <c r="H300" t="s">
        <v>29</v>
      </c>
      <c r="I300" t="s">
        <v>49</v>
      </c>
      <c r="J300" t="s">
        <v>31</v>
      </c>
      <c r="K300" t="s">
        <v>32</v>
      </c>
      <c r="L300" t="s">
        <v>63</v>
      </c>
      <c r="M300" s="9">
        <v>45031</v>
      </c>
      <c r="N300" t="s">
        <v>839</v>
      </c>
      <c r="O300" s="9">
        <v>45031</v>
      </c>
      <c r="P300" s="9">
        <v>45034</v>
      </c>
      <c r="Q300" t="s">
        <v>74</v>
      </c>
      <c r="R300" t="s">
        <v>837</v>
      </c>
      <c r="S300">
        <v>312952</v>
      </c>
      <c r="T300" t="s">
        <v>109</v>
      </c>
      <c r="U300" t="s">
        <v>110</v>
      </c>
      <c r="V300" t="s">
        <v>840</v>
      </c>
      <c r="W300">
        <v>7</v>
      </c>
      <c r="X300">
        <v>0.2</v>
      </c>
      <c r="Y300">
        <v>422.17</v>
      </c>
    </row>
    <row r="301" spans="1:25" x14ac:dyDescent="0.3">
      <c r="A301" t="s">
        <v>835</v>
      </c>
      <c r="B301" t="s">
        <v>270</v>
      </c>
      <c r="C301" t="s">
        <v>142</v>
      </c>
      <c r="D301" s="9">
        <v>29360</v>
      </c>
      <c r="E301">
        <v>1555.53</v>
      </c>
      <c r="F301">
        <v>2024</v>
      </c>
      <c r="G301" t="s">
        <v>87</v>
      </c>
      <c r="H301" t="s">
        <v>29</v>
      </c>
      <c r="I301" t="s">
        <v>30</v>
      </c>
      <c r="J301" t="s">
        <v>31</v>
      </c>
      <c r="K301" t="s">
        <v>32</v>
      </c>
      <c r="L301" t="s">
        <v>63</v>
      </c>
      <c r="M301" s="9">
        <v>45295</v>
      </c>
      <c r="N301" t="s">
        <v>841</v>
      </c>
      <c r="O301" s="9">
        <v>45294</v>
      </c>
      <c r="P301" s="9">
        <v>45297</v>
      </c>
      <c r="Q301" t="s">
        <v>121</v>
      </c>
      <c r="R301" t="s">
        <v>837</v>
      </c>
      <c r="S301">
        <v>408467</v>
      </c>
      <c r="T301" t="s">
        <v>37</v>
      </c>
      <c r="U301" t="s">
        <v>38</v>
      </c>
      <c r="V301" t="s">
        <v>842</v>
      </c>
      <c r="W301">
        <v>4</v>
      </c>
      <c r="X301">
        <v>0.15</v>
      </c>
      <c r="Y301">
        <v>408.89</v>
      </c>
    </row>
    <row r="302" spans="1:25" x14ac:dyDescent="0.3">
      <c r="A302" t="s">
        <v>835</v>
      </c>
      <c r="B302" t="s">
        <v>270</v>
      </c>
      <c r="C302" t="s">
        <v>142</v>
      </c>
      <c r="D302" s="9">
        <v>29360</v>
      </c>
      <c r="E302">
        <v>219.5</v>
      </c>
      <c r="F302">
        <v>2024</v>
      </c>
      <c r="G302" t="s">
        <v>48</v>
      </c>
      <c r="H302" t="s">
        <v>29</v>
      </c>
      <c r="I302" t="s">
        <v>92</v>
      </c>
      <c r="J302" t="s">
        <v>31</v>
      </c>
      <c r="K302" t="s">
        <v>32</v>
      </c>
      <c r="L302" t="s">
        <v>63</v>
      </c>
      <c r="M302" s="9">
        <v>45391</v>
      </c>
      <c r="N302" t="s">
        <v>843</v>
      </c>
      <c r="O302" s="9">
        <v>45390</v>
      </c>
      <c r="P302" s="9">
        <v>45391</v>
      </c>
      <c r="Q302" t="s">
        <v>41</v>
      </c>
      <c r="R302" t="s">
        <v>837</v>
      </c>
      <c r="S302">
        <v>392670</v>
      </c>
      <c r="T302" t="s">
        <v>147</v>
      </c>
      <c r="U302" t="s">
        <v>148</v>
      </c>
      <c r="V302" t="s">
        <v>844</v>
      </c>
      <c r="W302">
        <v>2</v>
      </c>
      <c r="X302">
        <v>0</v>
      </c>
      <c r="Y302">
        <v>59.38</v>
      </c>
    </row>
    <row r="303" spans="1:25" x14ac:dyDescent="0.3">
      <c r="A303" t="s">
        <v>835</v>
      </c>
      <c r="B303" t="s">
        <v>270</v>
      </c>
      <c r="C303" t="s">
        <v>142</v>
      </c>
      <c r="D303" s="9">
        <v>29360</v>
      </c>
      <c r="E303">
        <v>900.93</v>
      </c>
      <c r="F303">
        <v>2025</v>
      </c>
      <c r="G303" t="s">
        <v>48</v>
      </c>
      <c r="H303" t="s">
        <v>29</v>
      </c>
      <c r="I303" t="s">
        <v>30</v>
      </c>
      <c r="J303" t="s">
        <v>31</v>
      </c>
      <c r="K303" t="s">
        <v>32</v>
      </c>
      <c r="L303" t="s">
        <v>63</v>
      </c>
      <c r="M303" s="9">
        <v>45761</v>
      </c>
      <c r="N303" t="s">
        <v>845</v>
      </c>
      <c r="O303" s="9">
        <v>45760</v>
      </c>
      <c r="P303" s="9">
        <v>45764</v>
      </c>
      <c r="Q303" t="s">
        <v>121</v>
      </c>
      <c r="R303" t="s">
        <v>837</v>
      </c>
      <c r="S303">
        <v>438302</v>
      </c>
      <c r="T303" t="s">
        <v>37</v>
      </c>
      <c r="U303" t="s">
        <v>38</v>
      </c>
      <c r="V303" t="s">
        <v>846</v>
      </c>
      <c r="W303">
        <v>3</v>
      </c>
      <c r="X303">
        <v>0</v>
      </c>
      <c r="Y303">
        <v>46.57</v>
      </c>
    </row>
    <row r="304" spans="1:25" x14ac:dyDescent="0.3">
      <c r="A304" t="s">
        <v>847</v>
      </c>
      <c r="B304" t="s">
        <v>326</v>
      </c>
      <c r="C304" t="s">
        <v>162</v>
      </c>
      <c r="D304" s="9">
        <v>37605</v>
      </c>
      <c r="E304">
        <v>2840.8</v>
      </c>
      <c r="F304">
        <v>2024</v>
      </c>
      <c r="G304" t="s">
        <v>48</v>
      </c>
      <c r="H304" t="s">
        <v>163</v>
      </c>
      <c r="I304" t="s">
        <v>49</v>
      </c>
      <c r="J304" t="s">
        <v>102</v>
      </c>
      <c r="K304" t="s">
        <v>32</v>
      </c>
      <c r="L304" t="s">
        <v>63</v>
      </c>
      <c r="M304" s="9">
        <v>45558</v>
      </c>
      <c r="N304" t="s">
        <v>848</v>
      </c>
      <c r="O304" s="9">
        <v>45557</v>
      </c>
      <c r="P304" s="9">
        <v>45560</v>
      </c>
      <c r="Q304" t="s">
        <v>35</v>
      </c>
      <c r="R304" t="s">
        <v>197</v>
      </c>
      <c r="S304">
        <v>924451</v>
      </c>
      <c r="T304" t="s">
        <v>84</v>
      </c>
      <c r="U304" t="s">
        <v>85</v>
      </c>
      <c r="V304" t="s">
        <v>849</v>
      </c>
      <c r="W304">
        <v>10</v>
      </c>
      <c r="X304">
        <v>0</v>
      </c>
      <c r="Y304">
        <v>810.22</v>
      </c>
    </row>
    <row r="305" spans="1:25" x14ac:dyDescent="0.3">
      <c r="A305" t="s">
        <v>847</v>
      </c>
      <c r="B305" t="s">
        <v>326</v>
      </c>
      <c r="C305" t="s">
        <v>162</v>
      </c>
      <c r="D305" s="9">
        <v>37605</v>
      </c>
      <c r="E305">
        <v>2500.02</v>
      </c>
      <c r="F305">
        <v>2024</v>
      </c>
      <c r="G305" t="s">
        <v>28</v>
      </c>
      <c r="H305" t="s">
        <v>163</v>
      </c>
      <c r="I305" t="s">
        <v>30</v>
      </c>
      <c r="J305" t="s">
        <v>102</v>
      </c>
      <c r="K305" t="s">
        <v>32</v>
      </c>
      <c r="L305" t="s">
        <v>63</v>
      </c>
      <c r="M305" s="9">
        <v>45569</v>
      </c>
      <c r="N305" t="s">
        <v>850</v>
      </c>
      <c r="O305" s="9">
        <v>45567</v>
      </c>
      <c r="P305" s="9">
        <v>45569</v>
      </c>
      <c r="Q305" t="s">
        <v>74</v>
      </c>
      <c r="R305" t="s">
        <v>197</v>
      </c>
      <c r="S305">
        <v>478323</v>
      </c>
      <c r="T305" t="s">
        <v>75</v>
      </c>
      <c r="U305" t="s">
        <v>76</v>
      </c>
      <c r="V305" t="s">
        <v>851</v>
      </c>
      <c r="W305">
        <v>9</v>
      </c>
      <c r="X305">
        <v>0</v>
      </c>
      <c r="Y305">
        <v>387.06</v>
      </c>
    </row>
    <row r="306" spans="1:25" x14ac:dyDescent="0.3">
      <c r="A306" t="s">
        <v>847</v>
      </c>
      <c r="B306" t="s">
        <v>326</v>
      </c>
      <c r="C306" t="s">
        <v>162</v>
      </c>
      <c r="D306" s="9">
        <v>37605</v>
      </c>
      <c r="E306">
        <v>2471.7600000000002</v>
      </c>
      <c r="F306">
        <v>2025</v>
      </c>
      <c r="G306" t="s">
        <v>87</v>
      </c>
      <c r="H306" t="s">
        <v>163</v>
      </c>
      <c r="I306" t="s">
        <v>43</v>
      </c>
      <c r="J306" t="s">
        <v>102</v>
      </c>
      <c r="K306" t="s">
        <v>32</v>
      </c>
      <c r="L306" t="s">
        <v>63</v>
      </c>
      <c r="M306" s="9">
        <v>45719</v>
      </c>
      <c r="N306" t="s">
        <v>852</v>
      </c>
      <c r="O306" s="9">
        <v>45719</v>
      </c>
      <c r="P306" s="9">
        <v>45720</v>
      </c>
      <c r="Q306" t="s">
        <v>74</v>
      </c>
      <c r="R306" t="s">
        <v>197</v>
      </c>
      <c r="S306">
        <v>567315</v>
      </c>
      <c r="T306" t="s">
        <v>45</v>
      </c>
      <c r="U306" t="s">
        <v>46</v>
      </c>
      <c r="V306" t="s">
        <v>853</v>
      </c>
      <c r="W306">
        <v>10</v>
      </c>
      <c r="X306">
        <v>0.1</v>
      </c>
      <c r="Y306">
        <v>734.38</v>
      </c>
    </row>
    <row r="307" spans="1:25" x14ac:dyDescent="0.3">
      <c r="A307" t="s">
        <v>847</v>
      </c>
      <c r="B307" t="s">
        <v>326</v>
      </c>
      <c r="C307" t="s">
        <v>162</v>
      </c>
      <c r="D307" s="9">
        <v>37605</v>
      </c>
      <c r="E307">
        <v>974.69</v>
      </c>
      <c r="F307">
        <v>2025</v>
      </c>
      <c r="G307" t="s">
        <v>87</v>
      </c>
      <c r="H307" t="s">
        <v>163</v>
      </c>
      <c r="I307" t="s">
        <v>61</v>
      </c>
      <c r="J307" t="s">
        <v>102</v>
      </c>
      <c r="K307" t="s">
        <v>32</v>
      </c>
      <c r="L307" t="s">
        <v>63</v>
      </c>
      <c r="M307" s="9">
        <v>45792</v>
      </c>
      <c r="N307" t="s">
        <v>854</v>
      </c>
      <c r="O307" s="9">
        <v>45790</v>
      </c>
      <c r="P307" s="9">
        <v>45794</v>
      </c>
      <c r="Q307" t="s">
        <v>74</v>
      </c>
      <c r="R307" t="s">
        <v>197</v>
      </c>
      <c r="S307">
        <v>125905</v>
      </c>
      <c r="T307" t="s">
        <v>66</v>
      </c>
      <c r="U307" t="s">
        <v>67</v>
      </c>
      <c r="V307" t="s">
        <v>855</v>
      </c>
      <c r="W307">
        <v>6</v>
      </c>
      <c r="X307">
        <v>0.2</v>
      </c>
      <c r="Y307">
        <v>325.06</v>
      </c>
    </row>
    <row r="308" spans="1:25" x14ac:dyDescent="0.3">
      <c r="A308" t="s">
        <v>856</v>
      </c>
      <c r="B308" t="s">
        <v>100</v>
      </c>
      <c r="C308" t="s">
        <v>259</v>
      </c>
      <c r="D308" s="9">
        <v>28276</v>
      </c>
      <c r="E308">
        <v>695</v>
      </c>
      <c r="F308">
        <v>2024</v>
      </c>
      <c r="G308" t="s">
        <v>87</v>
      </c>
      <c r="H308" t="s">
        <v>163</v>
      </c>
      <c r="I308" t="s">
        <v>92</v>
      </c>
      <c r="J308" t="s">
        <v>102</v>
      </c>
      <c r="K308" t="s">
        <v>32</v>
      </c>
      <c r="L308" t="s">
        <v>144</v>
      </c>
      <c r="M308" s="9">
        <v>45312</v>
      </c>
      <c r="N308" t="s">
        <v>857</v>
      </c>
      <c r="O308" s="9">
        <v>45310</v>
      </c>
      <c r="P308" s="9">
        <v>45312</v>
      </c>
      <c r="Q308" t="s">
        <v>35</v>
      </c>
      <c r="R308" t="s">
        <v>197</v>
      </c>
      <c r="S308">
        <v>757386</v>
      </c>
      <c r="T308" t="s">
        <v>187</v>
      </c>
      <c r="U308" t="s">
        <v>188</v>
      </c>
      <c r="V308" t="s">
        <v>858</v>
      </c>
      <c r="W308">
        <v>4</v>
      </c>
      <c r="X308">
        <v>0</v>
      </c>
      <c r="Y308">
        <v>232.45</v>
      </c>
    </row>
    <row r="309" spans="1:25" x14ac:dyDescent="0.3">
      <c r="A309" t="s">
        <v>856</v>
      </c>
      <c r="B309" t="s">
        <v>100</v>
      </c>
      <c r="C309" t="s">
        <v>259</v>
      </c>
      <c r="D309" s="9">
        <v>28276</v>
      </c>
      <c r="E309">
        <v>1653.68</v>
      </c>
      <c r="F309">
        <v>2024</v>
      </c>
      <c r="G309" t="s">
        <v>87</v>
      </c>
      <c r="H309" t="s">
        <v>163</v>
      </c>
      <c r="I309" t="s">
        <v>78</v>
      </c>
      <c r="J309" t="s">
        <v>102</v>
      </c>
      <c r="K309" t="s">
        <v>32</v>
      </c>
      <c r="L309" t="s">
        <v>144</v>
      </c>
      <c r="M309" s="9">
        <v>45385</v>
      </c>
      <c r="N309" t="s">
        <v>859</v>
      </c>
      <c r="O309" s="9">
        <v>45383</v>
      </c>
      <c r="P309" s="9">
        <v>45385</v>
      </c>
      <c r="Q309" t="s">
        <v>41</v>
      </c>
      <c r="R309" t="s">
        <v>197</v>
      </c>
      <c r="S309">
        <v>777968</v>
      </c>
      <c r="T309" t="s">
        <v>89</v>
      </c>
      <c r="U309" t="s">
        <v>90</v>
      </c>
      <c r="V309" t="s">
        <v>860</v>
      </c>
      <c r="W309">
        <v>4</v>
      </c>
      <c r="X309">
        <v>0.05</v>
      </c>
      <c r="Y309">
        <v>497.26</v>
      </c>
    </row>
    <row r="310" spans="1:25" x14ac:dyDescent="0.3">
      <c r="A310" t="s">
        <v>856</v>
      </c>
      <c r="B310" t="s">
        <v>100</v>
      </c>
      <c r="C310" t="s">
        <v>259</v>
      </c>
      <c r="D310" s="9">
        <v>28276</v>
      </c>
      <c r="E310">
        <v>2912.8</v>
      </c>
      <c r="F310">
        <v>2024</v>
      </c>
      <c r="G310" t="s">
        <v>28</v>
      </c>
      <c r="H310" t="s">
        <v>163</v>
      </c>
      <c r="I310" t="s">
        <v>78</v>
      </c>
      <c r="J310" t="s">
        <v>102</v>
      </c>
      <c r="K310" t="s">
        <v>32</v>
      </c>
      <c r="L310" t="s">
        <v>144</v>
      </c>
      <c r="M310" s="9">
        <v>45447</v>
      </c>
      <c r="N310" t="s">
        <v>861</v>
      </c>
      <c r="O310" s="9">
        <v>45447</v>
      </c>
      <c r="P310" s="9">
        <v>45448</v>
      </c>
      <c r="Q310" t="s">
        <v>35</v>
      </c>
      <c r="R310" t="s">
        <v>197</v>
      </c>
      <c r="S310">
        <v>702891</v>
      </c>
      <c r="T310" t="s">
        <v>89</v>
      </c>
      <c r="U310" t="s">
        <v>90</v>
      </c>
      <c r="V310" t="s">
        <v>862</v>
      </c>
      <c r="W310">
        <v>8</v>
      </c>
      <c r="X310">
        <v>0</v>
      </c>
      <c r="Y310">
        <v>222.12</v>
      </c>
    </row>
    <row r="311" spans="1:25" x14ac:dyDescent="0.3">
      <c r="A311" t="s">
        <v>856</v>
      </c>
      <c r="B311" t="s">
        <v>100</v>
      </c>
      <c r="C311" t="s">
        <v>259</v>
      </c>
      <c r="D311" s="9">
        <v>28276</v>
      </c>
      <c r="E311">
        <v>1572.99</v>
      </c>
      <c r="F311">
        <v>2024</v>
      </c>
      <c r="G311" t="s">
        <v>87</v>
      </c>
      <c r="H311" t="s">
        <v>163</v>
      </c>
      <c r="I311" t="s">
        <v>61</v>
      </c>
      <c r="J311" t="s">
        <v>102</v>
      </c>
      <c r="K311" t="s">
        <v>32</v>
      </c>
      <c r="L311" t="s">
        <v>144</v>
      </c>
      <c r="M311" s="9">
        <v>45454</v>
      </c>
      <c r="N311" t="s">
        <v>863</v>
      </c>
      <c r="O311" s="9">
        <v>45453</v>
      </c>
      <c r="P311" s="9">
        <v>45454</v>
      </c>
      <c r="Q311" t="s">
        <v>35</v>
      </c>
      <c r="R311" t="s">
        <v>197</v>
      </c>
      <c r="S311">
        <v>660814</v>
      </c>
      <c r="T311" t="s">
        <v>204</v>
      </c>
      <c r="U311" t="s">
        <v>205</v>
      </c>
      <c r="V311" t="s">
        <v>864</v>
      </c>
      <c r="W311">
        <v>7</v>
      </c>
      <c r="X311">
        <v>0.05</v>
      </c>
      <c r="Y311">
        <v>282.99</v>
      </c>
    </row>
    <row r="312" spans="1:25" x14ac:dyDescent="0.3">
      <c r="A312" t="s">
        <v>856</v>
      </c>
      <c r="B312" t="s">
        <v>100</v>
      </c>
      <c r="C312" t="s">
        <v>259</v>
      </c>
      <c r="D312" s="9">
        <v>28276</v>
      </c>
      <c r="E312">
        <v>334.8</v>
      </c>
      <c r="F312">
        <v>2025</v>
      </c>
      <c r="G312" t="s">
        <v>28</v>
      </c>
      <c r="H312" t="s">
        <v>163</v>
      </c>
      <c r="I312" t="s">
        <v>78</v>
      </c>
      <c r="J312" t="s">
        <v>102</v>
      </c>
      <c r="K312" t="s">
        <v>32</v>
      </c>
      <c r="L312" t="s">
        <v>144</v>
      </c>
      <c r="M312" s="9">
        <v>45715</v>
      </c>
      <c r="N312" t="s">
        <v>865</v>
      </c>
      <c r="O312" s="9">
        <v>45715</v>
      </c>
      <c r="P312" s="9">
        <v>45720</v>
      </c>
      <c r="Q312" t="s">
        <v>74</v>
      </c>
      <c r="R312" t="s">
        <v>197</v>
      </c>
      <c r="S312">
        <v>736030</v>
      </c>
      <c r="T312" t="s">
        <v>135</v>
      </c>
      <c r="U312" t="s">
        <v>136</v>
      </c>
      <c r="V312" t="s">
        <v>866</v>
      </c>
      <c r="W312">
        <v>10</v>
      </c>
      <c r="X312">
        <v>0.2</v>
      </c>
      <c r="Y312">
        <v>24.03</v>
      </c>
    </row>
    <row r="313" spans="1:25" x14ac:dyDescent="0.3">
      <c r="A313" t="s">
        <v>856</v>
      </c>
      <c r="B313" t="s">
        <v>100</v>
      </c>
      <c r="C313" t="s">
        <v>259</v>
      </c>
      <c r="D313" s="9">
        <v>28276</v>
      </c>
      <c r="E313">
        <v>1299.71</v>
      </c>
      <c r="F313">
        <v>2025</v>
      </c>
      <c r="G313" t="s">
        <v>87</v>
      </c>
      <c r="H313" t="s">
        <v>163</v>
      </c>
      <c r="I313" t="s">
        <v>78</v>
      </c>
      <c r="J313" t="s">
        <v>102</v>
      </c>
      <c r="K313" t="s">
        <v>32</v>
      </c>
      <c r="L313" t="s">
        <v>144</v>
      </c>
      <c r="M313" s="9">
        <v>45750</v>
      </c>
      <c r="N313" t="s">
        <v>867</v>
      </c>
      <c r="O313" s="9">
        <v>45749</v>
      </c>
      <c r="P313" s="9">
        <v>45753</v>
      </c>
      <c r="Q313" t="s">
        <v>121</v>
      </c>
      <c r="R313" t="s">
        <v>197</v>
      </c>
      <c r="S313">
        <v>243006</v>
      </c>
      <c r="T313" t="s">
        <v>117</v>
      </c>
      <c r="U313" t="s">
        <v>118</v>
      </c>
      <c r="V313" t="s">
        <v>868</v>
      </c>
      <c r="W313">
        <v>8</v>
      </c>
      <c r="X313">
        <v>0.2</v>
      </c>
      <c r="Y313">
        <v>322.61</v>
      </c>
    </row>
    <row r="314" spans="1:25" x14ac:dyDescent="0.3">
      <c r="A314" t="s">
        <v>856</v>
      </c>
      <c r="B314" t="s">
        <v>100</v>
      </c>
      <c r="C314" t="s">
        <v>259</v>
      </c>
      <c r="D314" s="9">
        <v>28276</v>
      </c>
      <c r="E314">
        <v>1236.1600000000001</v>
      </c>
      <c r="F314">
        <v>2025</v>
      </c>
      <c r="G314" t="s">
        <v>87</v>
      </c>
      <c r="H314" t="s">
        <v>163</v>
      </c>
      <c r="I314" t="s">
        <v>49</v>
      </c>
      <c r="J314" t="s">
        <v>102</v>
      </c>
      <c r="K314" t="s">
        <v>32</v>
      </c>
      <c r="L314" t="s">
        <v>144</v>
      </c>
      <c r="M314" s="9">
        <v>45768</v>
      </c>
      <c r="N314" t="s">
        <v>869</v>
      </c>
      <c r="O314" s="9">
        <v>45768</v>
      </c>
      <c r="P314" s="9">
        <v>45771</v>
      </c>
      <c r="Q314" t="s">
        <v>121</v>
      </c>
      <c r="R314" t="s">
        <v>197</v>
      </c>
      <c r="S314">
        <v>229221</v>
      </c>
      <c r="T314" t="s">
        <v>84</v>
      </c>
      <c r="U314" t="s">
        <v>85</v>
      </c>
      <c r="V314" t="s">
        <v>870</v>
      </c>
      <c r="W314">
        <v>9</v>
      </c>
      <c r="X314">
        <v>0.15</v>
      </c>
      <c r="Y314">
        <v>115.24</v>
      </c>
    </row>
    <row r="315" spans="1:25" x14ac:dyDescent="0.3">
      <c r="A315" t="s">
        <v>871</v>
      </c>
      <c r="B315" t="s">
        <v>872</v>
      </c>
      <c r="C315" t="s">
        <v>758</v>
      </c>
      <c r="D315" s="9">
        <v>34181</v>
      </c>
      <c r="E315">
        <v>4270.95</v>
      </c>
      <c r="F315">
        <v>2024</v>
      </c>
      <c r="G315" t="s">
        <v>28</v>
      </c>
      <c r="H315" t="s">
        <v>29</v>
      </c>
      <c r="I315" t="s">
        <v>30</v>
      </c>
      <c r="J315" t="s">
        <v>31</v>
      </c>
      <c r="K315" t="s">
        <v>32</v>
      </c>
      <c r="L315" t="s">
        <v>63</v>
      </c>
      <c r="M315" s="9">
        <v>45514</v>
      </c>
      <c r="N315" t="s">
        <v>873</v>
      </c>
      <c r="O315" s="9">
        <v>45513</v>
      </c>
      <c r="P315" s="9">
        <v>45516</v>
      </c>
      <c r="Q315" t="s">
        <v>121</v>
      </c>
      <c r="R315" t="s">
        <v>36</v>
      </c>
      <c r="S315">
        <v>268772</v>
      </c>
      <c r="T315" t="s">
        <v>37</v>
      </c>
      <c r="U315" t="s">
        <v>38</v>
      </c>
      <c r="V315" t="s">
        <v>874</v>
      </c>
      <c r="W315">
        <v>9</v>
      </c>
      <c r="X315">
        <v>0</v>
      </c>
      <c r="Y315">
        <v>482.69</v>
      </c>
    </row>
    <row r="316" spans="1:25" x14ac:dyDescent="0.3">
      <c r="A316" t="s">
        <v>875</v>
      </c>
      <c r="B316" t="s">
        <v>526</v>
      </c>
      <c r="C316" t="s">
        <v>632</v>
      </c>
      <c r="D316" s="9">
        <v>35304</v>
      </c>
      <c r="E316">
        <v>923.59</v>
      </c>
      <c r="F316">
        <v>2024</v>
      </c>
      <c r="G316" t="s">
        <v>87</v>
      </c>
      <c r="H316" t="s">
        <v>29</v>
      </c>
      <c r="I316" t="s">
        <v>43</v>
      </c>
      <c r="J316" t="s">
        <v>143</v>
      </c>
      <c r="K316" t="s">
        <v>32</v>
      </c>
      <c r="L316" t="s">
        <v>33</v>
      </c>
      <c r="M316" s="9">
        <v>45561</v>
      </c>
      <c r="N316" t="s">
        <v>876</v>
      </c>
      <c r="O316" s="9">
        <v>45558</v>
      </c>
      <c r="P316" s="9">
        <v>45563</v>
      </c>
      <c r="Q316" t="s">
        <v>35</v>
      </c>
      <c r="R316" t="s">
        <v>146</v>
      </c>
      <c r="S316">
        <v>404771</v>
      </c>
      <c r="T316" t="s">
        <v>45</v>
      </c>
      <c r="U316" t="s">
        <v>46</v>
      </c>
      <c r="V316" t="s">
        <v>877</v>
      </c>
      <c r="W316">
        <v>3</v>
      </c>
      <c r="X316">
        <v>0.1</v>
      </c>
      <c r="Y316">
        <v>282.32</v>
      </c>
    </row>
    <row r="317" spans="1:25" x14ac:dyDescent="0.3">
      <c r="A317" t="s">
        <v>875</v>
      </c>
      <c r="B317" t="s">
        <v>526</v>
      </c>
      <c r="C317" t="s">
        <v>632</v>
      </c>
      <c r="D317" s="9">
        <v>35304</v>
      </c>
      <c r="E317">
        <v>206.57</v>
      </c>
      <c r="F317">
        <v>2025</v>
      </c>
      <c r="G317" t="s">
        <v>48</v>
      </c>
      <c r="H317" t="s">
        <v>29</v>
      </c>
      <c r="I317" t="s">
        <v>49</v>
      </c>
      <c r="J317" t="s">
        <v>143</v>
      </c>
      <c r="K317" t="s">
        <v>32</v>
      </c>
      <c r="L317" t="s">
        <v>33</v>
      </c>
      <c r="M317" s="9">
        <v>45783</v>
      </c>
      <c r="N317" t="s">
        <v>878</v>
      </c>
      <c r="O317" s="9">
        <v>45781</v>
      </c>
      <c r="P317" s="9">
        <v>45784</v>
      </c>
      <c r="Q317" t="s">
        <v>121</v>
      </c>
      <c r="R317" t="s">
        <v>146</v>
      </c>
      <c r="S317">
        <v>204904</v>
      </c>
      <c r="T317" t="s">
        <v>109</v>
      </c>
      <c r="U317" t="s">
        <v>110</v>
      </c>
      <c r="V317" t="s">
        <v>879</v>
      </c>
      <c r="W317">
        <v>2</v>
      </c>
      <c r="X317">
        <v>0.1</v>
      </c>
      <c r="Y317">
        <v>40.520000000000003</v>
      </c>
    </row>
    <row r="318" spans="1:25" x14ac:dyDescent="0.3">
      <c r="A318" t="s">
        <v>880</v>
      </c>
      <c r="B318" t="s">
        <v>234</v>
      </c>
      <c r="C318" t="s">
        <v>226</v>
      </c>
      <c r="D318" s="9">
        <v>35064</v>
      </c>
      <c r="E318">
        <v>2860.42</v>
      </c>
      <c r="F318">
        <v>2023</v>
      </c>
      <c r="G318" t="s">
        <v>28</v>
      </c>
      <c r="H318" t="s">
        <v>163</v>
      </c>
      <c r="I318" t="s">
        <v>92</v>
      </c>
      <c r="J318" t="s">
        <v>102</v>
      </c>
      <c r="K318" t="s">
        <v>32</v>
      </c>
      <c r="L318" t="s">
        <v>144</v>
      </c>
      <c r="M318" s="9">
        <v>45002</v>
      </c>
      <c r="N318" t="s">
        <v>881</v>
      </c>
      <c r="O318" s="9">
        <v>44998</v>
      </c>
      <c r="P318" s="9">
        <v>45003</v>
      </c>
      <c r="Q318" t="s">
        <v>74</v>
      </c>
      <c r="R318" t="s">
        <v>178</v>
      </c>
      <c r="S318">
        <v>549112</v>
      </c>
      <c r="T318" t="s">
        <v>127</v>
      </c>
      <c r="U318" t="s">
        <v>128</v>
      </c>
      <c r="V318" t="s">
        <v>882</v>
      </c>
      <c r="W318">
        <v>10</v>
      </c>
      <c r="X318">
        <v>0.15</v>
      </c>
      <c r="Y318">
        <v>644.30999999999995</v>
      </c>
    </row>
    <row r="319" spans="1:25" x14ac:dyDescent="0.3">
      <c r="A319" t="s">
        <v>880</v>
      </c>
      <c r="B319" t="s">
        <v>234</v>
      </c>
      <c r="C319" t="s">
        <v>226</v>
      </c>
      <c r="D319" s="9">
        <v>35064</v>
      </c>
      <c r="E319">
        <v>1350.21</v>
      </c>
      <c r="F319">
        <v>2023</v>
      </c>
      <c r="G319" t="s">
        <v>28</v>
      </c>
      <c r="H319" t="s">
        <v>163</v>
      </c>
      <c r="I319" t="s">
        <v>61</v>
      </c>
      <c r="J319" t="s">
        <v>102</v>
      </c>
      <c r="K319" t="s">
        <v>32</v>
      </c>
      <c r="L319" t="s">
        <v>144</v>
      </c>
      <c r="M319" s="9">
        <v>45127</v>
      </c>
      <c r="N319" t="s">
        <v>883</v>
      </c>
      <c r="O319" s="9">
        <v>45125</v>
      </c>
      <c r="P319" s="9">
        <v>45129</v>
      </c>
      <c r="Q319" t="s">
        <v>121</v>
      </c>
      <c r="R319" t="s">
        <v>178</v>
      </c>
      <c r="S319">
        <v>812591</v>
      </c>
      <c r="T319" t="s">
        <v>312</v>
      </c>
      <c r="U319" t="s">
        <v>313</v>
      </c>
      <c r="V319" t="s">
        <v>884</v>
      </c>
      <c r="W319">
        <v>4</v>
      </c>
      <c r="X319">
        <v>0.15</v>
      </c>
      <c r="Y319">
        <v>367.18</v>
      </c>
    </row>
    <row r="320" spans="1:25" x14ac:dyDescent="0.3">
      <c r="A320" t="s">
        <v>880</v>
      </c>
      <c r="B320" t="s">
        <v>234</v>
      </c>
      <c r="C320" t="s">
        <v>226</v>
      </c>
      <c r="D320" s="9">
        <v>35064</v>
      </c>
      <c r="E320">
        <v>1937.36</v>
      </c>
      <c r="F320">
        <v>2023</v>
      </c>
      <c r="G320" t="s">
        <v>48</v>
      </c>
      <c r="H320" t="s">
        <v>163</v>
      </c>
      <c r="I320" t="s">
        <v>49</v>
      </c>
      <c r="J320" t="s">
        <v>102</v>
      </c>
      <c r="K320" t="s">
        <v>32</v>
      </c>
      <c r="L320" t="s">
        <v>144</v>
      </c>
      <c r="M320" s="9">
        <v>45256</v>
      </c>
      <c r="N320" t="s">
        <v>885</v>
      </c>
      <c r="O320" s="9">
        <v>45252</v>
      </c>
      <c r="P320" s="9">
        <v>45256</v>
      </c>
      <c r="Q320" t="s">
        <v>121</v>
      </c>
      <c r="R320" t="s">
        <v>178</v>
      </c>
      <c r="S320">
        <v>776909</v>
      </c>
      <c r="T320" t="s">
        <v>84</v>
      </c>
      <c r="U320" t="s">
        <v>85</v>
      </c>
      <c r="V320" t="s">
        <v>886</v>
      </c>
      <c r="W320">
        <v>8</v>
      </c>
      <c r="X320">
        <v>0</v>
      </c>
      <c r="Y320">
        <v>547.16999999999996</v>
      </c>
    </row>
    <row r="321" spans="1:25" x14ac:dyDescent="0.3">
      <c r="A321" t="s">
        <v>887</v>
      </c>
      <c r="B321" t="s">
        <v>161</v>
      </c>
      <c r="C321" t="s">
        <v>632</v>
      </c>
      <c r="D321" s="9">
        <v>26169</v>
      </c>
      <c r="E321">
        <v>738.32</v>
      </c>
      <c r="F321">
        <v>2023</v>
      </c>
      <c r="G321" t="s">
        <v>87</v>
      </c>
      <c r="H321" t="s">
        <v>29</v>
      </c>
      <c r="I321" t="s">
        <v>61</v>
      </c>
      <c r="J321" t="s">
        <v>143</v>
      </c>
      <c r="K321" t="s">
        <v>32</v>
      </c>
      <c r="L321" t="s">
        <v>33</v>
      </c>
      <c r="M321" s="9">
        <v>45215</v>
      </c>
      <c r="N321" t="s">
        <v>888</v>
      </c>
      <c r="O321" s="9">
        <v>45214</v>
      </c>
      <c r="P321" s="9">
        <v>45215</v>
      </c>
      <c r="Q321" t="s">
        <v>121</v>
      </c>
      <c r="R321" t="s">
        <v>146</v>
      </c>
      <c r="S321">
        <v>138436</v>
      </c>
      <c r="T321" t="s">
        <v>66</v>
      </c>
      <c r="U321" t="s">
        <v>67</v>
      </c>
      <c r="V321" t="s">
        <v>889</v>
      </c>
      <c r="W321">
        <v>2</v>
      </c>
      <c r="X321">
        <v>0</v>
      </c>
      <c r="Y321">
        <v>225.1</v>
      </c>
    </row>
    <row r="322" spans="1:25" x14ac:dyDescent="0.3">
      <c r="A322" t="s">
        <v>887</v>
      </c>
      <c r="B322" t="s">
        <v>161</v>
      </c>
      <c r="C322" t="s">
        <v>632</v>
      </c>
      <c r="D322" s="9">
        <v>26169</v>
      </c>
      <c r="E322">
        <v>1775.59</v>
      </c>
      <c r="F322">
        <v>2025</v>
      </c>
      <c r="G322" t="s">
        <v>87</v>
      </c>
      <c r="H322" t="s">
        <v>29</v>
      </c>
      <c r="I322" t="s">
        <v>30</v>
      </c>
      <c r="J322" t="s">
        <v>143</v>
      </c>
      <c r="K322" t="s">
        <v>32</v>
      </c>
      <c r="L322" t="s">
        <v>33</v>
      </c>
      <c r="M322" s="9">
        <v>45774</v>
      </c>
      <c r="N322" t="s">
        <v>890</v>
      </c>
      <c r="O322" s="9">
        <v>45773</v>
      </c>
      <c r="P322" s="9">
        <v>45777</v>
      </c>
      <c r="Q322" t="s">
        <v>74</v>
      </c>
      <c r="R322" t="s">
        <v>146</v>
      </c>
      <c r="S322">
        <v>240384</v>
      </c>
      <c r="T322" t="s">
        <v>37</v>
      </c>
      <c r="U322" t="s">
        <v>38</v>
      </c>
      <c r="V322" t="s">
        <v>891</v>
      </c>
      <c r="W322">
        <v>9</v>
      </c>
      <c r="X322">
        <v>0.2</v>
      </c>
      <c r="Y322">
        <v>167.95</v>
      </c>
    </row>
    <row r="323" spans="1:25" x14ac:dyDescent="0.3">
      <c r="A323" t="s">
        <v>887</v>
      </c>
      <c r="B323" t="s">
        <v>161</v>
      </c>
      <c r="C323" t="s">
        <v>632</v>
      </c>
      <c r="D323" s="9">
        <v>26169</v>
      </c>
      <c r="E323">
        <v>1331.3</v>
      </c>
      <c r="F323">
        <v>2025</v>
      </c>
      <c r="G323" t="s">
        <v>48</v>
      </c>
      <c r="H323" t="s">
        <v>29</v>
      </c>
      <c r="I323" t="s">
        <v>92</v>
      </c>
      <c r="J323" t="s">
        <v>143</v>
      </c>
      <c r="K323" t="s">
        <v>32</v>
      </c>
      <c r="L323" t="s">
        <v>33</v>
      </c>
      <c r="M323" s="9">
        <v>45793</v>
      </c>
      <c r="N323" t="s">
        <v>892</v>
      </c>
      <c r="O323" s="9">
        <v>45788</v>
      </c>
      <c r="P323" s="9">
        <v>45793</v>
      </c>
      <c r="Q323" t="s">
        <v>121</v>
      </c>
      <c r="R323" t="s">
        <v>146</v>
      </c>
      <c r="S323">
        <v>567896</v>
      </c>
      <c r="T323" t="s">
        <v>187</v>
      </c>
      <c r="U323" t="s">
        <v>188</v>
      </c>
      <c r="V323" t="s">
        <v>893</v>
      </c>
      <c r="W323">
        <v>6</v>
      </c>
      <c r="X323">
        <v>0.15</v>
      </c>
      <c r="Y323">
        <v>161.97</v>
      </c>
    </row>
    <row r="324" spans="1:25" x14ac:dyDescent="0.3">
      <c r="A324" t="s">
        <v>887</v>
      </c>
      <c r="B324" t="s">
        <v>161</v>
      </c>
      <c r="C324" t="s">
        <v>632</v>
      </c>
      <c r="D324" s="9">
        <v>26169</v>
      </c>
      <c r="E324">
        <v>3365.2</v>
      </c>
      <c r="F324">
        <v>2025</v>
      </c>
      <c r="G324" t="s">
        <v>48</v>
      </c>
      <c r="H324" t="s">
        <v>29</v>
      </c>
      <c r="I324" t="s">
        <v>61</v>
      </c>
      <c r="J324" t="s">
        <v>143</v>
      </c>
      <c r="K324" t="s">
        <v>32</v>
      </c>
      <c r="L324" t="s">
        <v>33</v>
      </c>
      <c r="M324" s="9">
        <v>45808</v>
      </c>
      <c r="N324" t="s">
        <v>894</v>
      </c>
      <c r="O324" s="9">
        <v>45806</v>
      </c>
      <c r="P324" s="9">
        <v>45810</v>
      </c>
      <c r="Q324" t="s">
        <v>121</v>
      </c>
      <c r="R324" t="s">
        <v>146</v>
      </c>
      <c r="S324">
        <v>898461</v>
      </c>
      <c r="T324" t="s">
        <v>66</v>
      </c>
      <c r="U324" t="s">
        <v>67</v>
      </c>
      <c r="V324" t="s">
        <v>895</v>
      </c>
      <c r="W324">
        <v>10</v>
      </c>
      <c r="X324">
        <v>0</v>
      </c>
      <c r="Y324">
        <v>911.22</v>
      </c>
    </row>
    <row r="325" spans="1:25" x14ac:dyDescent="0.3">
      <c r="A325" t="s">
        <v>896</v>
      </c>
      <c r="B325" t="s">
        <v>521</v>
      </c>
      <c r="C325" t="s">
        <v>897</v>
      </c>
      <c r="D325" s="9">
        <v>36786</v>
      </c>
      <c r="E325">
        <v>1175.8</v>
      </c>
      <c r="F325">
        <v>2023</v>
      </c>
      <c r="G325" t="s">
        <v>48</v>
      </c>
      <c r="H325" t="s">
        <v>29</v>
      </c>
      <c r="I325" t="s">
        <v>78</v>
      </c>
      <c r="J325" t="s">
        <v>102</v>
      </c>
      <c r="K325" t="s">
        <v>32</v>
      </c>
      <c r="L325" t="s">
        <v>33</v>
      </c>
      <c r="M325" s="9">
        <v>44992</v>
      </c>
      <c r="N325" t="s">
        <v>898</v>
      </c>
      <c r="O325" s="9">
        <v>44991</v>
      </c>
      <c r="P325" s="9">
        <v>44992</v>
      </c>
      <c r="Q325" t="s">
        <v>74</v>
      </c>
      <c r="R325" t="s">
        <v>197</v>
      </c>
      <c r="S325">
        <v>975427</v>
      </c>
      <c r="T325" t="s">
        <v>89</v>
      </c>
      <c r="U325" t="s">
        <v>90</v>
      </c>
      <c r="V325" t="s">
        <v>899</v>
      </c>
      <c r="W325">
        <v>6</v>
      </c>
      <c r="X325">
        <v>0.05</v>
      </c>
      <c r="Y325">
        <v>369.75</v>
      </c>
    </row>
    <row r="326" spans="1:25" x14ac:dyDescent="0.3">
      <c r="A326" t="s">
        <v>896</v>
      </c>
      <c r="B326" t="s">
        <v>521</v>
      </c>
      <c r="C326" t="s">
        <v>897</v>
      </c>
      <c r="D326" s="9">
        <v>36786</v>
      </c>
      <c r="E326">
        <v>2510.96</v>
      </c>
      <c r="F326">
        <v>2023</v>
      </c>
      <c r="G326" t="s">
        <v>87</v>
      </c>
      <c r="H326" t="s">
        <v>29</v>
      </c>
      <c r="I326" t="s">
        <v>49</v>
      </c>
      <c r="J326" t="s">
        <v>102</v>
      </c>
      <c r="K326" t="s">
        <v>32</v>
      </c>
      <c r="L326" t="s">
        <v>33</v>
      </c>
      <c r="M326" s="9">
        <v>45166</v>
      </c>
      <c r="N326" t="s">
        <v>900</v>
      </c>
      <c r="O326" s="9">
        <v>45166</v>
      </c>
      <c r="P326" s="9">
        <v>45169</v>
      </c>
      <c r="Q326" t="s">
        <v>74</v>
      </c>
      <c r="R326" t="s">
        <v>197</v>
      </c>
      <c r="S326">
        <v>494609</v>
      </c>
      <c r="T326" t="s">
        <v>84</v>
      </c>
      <c r="U326" t="s">
        <v>85</v>
      </c>
      <c r="V326" t="s">
        <v>901</v>
      </c>
      <c r="W326">
        <v>9</v>
      </c>
      <c r="X326">
        <v>0.05</v>
      </c>
      <c r="Y326">
        <v>617.95000000000005</v>
      </c>
    </row>
    <row r="327" spans="1:25" x14ac:dyDescent="0.3">
      <c r="A327" t="s">
        <v>896</v>
      </c>
      <c r="B327" t="s">
        <v>521</v>
      </c>
      <c r="C327" t="s">
        <v>897</v>
      </c>
      <c r="D327" s="9">
        <v>36786</v>
      </c>
      <c r="E327">
        <v>1446.03</v>
      </c>
      <c r="F327">
        <v>2023</v>
      </c>
      <c r="G327" t="s">
        <v>28</v>
      </c>
      <c r="H327" t="s">
        <v>29</v>
      </c>
      <c r="I327" t="s">
        <v>61</v>
      </c>
      <c r="J327" t="s">
        <v>102</v>
      </c>
      <c r="K327" t="s">
        <v>32</v>
      </c>
      <c r="L327" t="s">
        <v>33</v>
      </c>
      <c r="M327" s="9">
        <v>45197</v>
      </c>
      <c r="N327" t="s">
        <v>902</v>
      </c>
      <c r="O327" s="9">
        <v>45197</v>
      </c>
      <c r="P327" s="9">
        <v>45198</v>
      </c>
      <c r="Q327" t="s">
        <v>121</v>
      </c>
      <c r="R327" t="s">
        <v>197</v>
      </c>
      <c r="S327">
        <v>341162</v>
      </c>
      <c r="T327" t="s">
        <v>113</v>
      </c>
      <c r="U327" t="s">
        <v>114</v>
      </c>
      <c r="V327" t="s">
        <v>903</v>
      </c>
      <c r="W327">
        <v>6</v>
      </c>
      <c r="X327">
        <v>0.05</v>
      </c>
      <c r="Y327">
        <v>457.16</v>
      </c>
    </row>
    <row r="328" spans="1:25" x14ac:dyDescent="0.3">
      <c r="A328" t="s">
        <v>896</v>
      </c>
      <c r="B328" t="s">
        <v>521</v>
      </c>
      <c r="C328" t="s">
        <v>897</v>
      </c>
      <c r="D328" s="9">
        <v>36786</v>
      </c>
      <c r="E328">
        <v>329.13</v>
      </c>
      <c r="F328">
        <v>2024</v>
      </c>
      <c r="G328" t="s">
        <v>28</v>
      </c>
      <c r="H328" t="s">
        <v>29</v>
      </c>
      <c r="I328" t="s">
        <v>78</v>
      </c>
      <c r="J328" t="s">
        <v>102</v>
      </c>
      <c r="K328" t="s">
        <v>32</v>
      </c>
      <c r="L328" t="s">
        <v>33</v>
      </c>
      <c r="M328" s="9">
        <v>45305</v>
      </c>
      <c r="N328" t="s">
        <v>904</v>
      </c>
      <c r="O328" s="9">
        <v>45305</v>
      </c>
      <c r="P328" s="9">
        <v>45306</v>
      </c>
      <c r="Q328" t="s">
        <v>74</v>
      </c>
      <c r="R328" t="s">
        <v>197</v>
      </c>
      <c r="S328">
        <v>855242</v>
      </c>
      <c r="T328" t="s">
        <v>117</v>
      </c>
      <c r="U328" t="s">
        <v>118</v>
      </c>
      <c r="V328" t="s">
        <v>905</v>
      </c>
      <c r="W328">
        <v>3</v>
      </c>
      <c r="X328">
        <v>0</v>
      </c>
      <c r="Y328">
        <v>75.900000000000006</v>
      </c>
    </row>
    <row r="329" spans="1:25" x14ac:dyDescent="0.3">
      <c r="A329" t="s">
        <v>906</v>
      </c>
      <c r="B329" t="s">
        <v>907</v>
      </c>
      <c r="C329" t="s">
        <v>284</v>
      </c>
      <c r="D329" s="9">
        <v>34670</v>
      </c>
      <c r="E329">
        <v>942.44</v>
      </c>
      <c r="F329">
        <v>2024</v>
      </c>
      <c r="G329" t="s">
        <v>87</v>
      </c>
      <c r="H329" t="s">
        <v>29</v>
      </c>
      <c r="I329" t="s">
        <v>92</v>
      </c>
      <c r="J329" t="s">
        <v>102</v>
      </c>
      <c r="K329" t="s">
        <v>32</v>
      </c>
      <c r="L329" t="s">
        <v>63</v>
      </c>
      <c r="M329" s="9">
        <v>45417</v>
      </c>
      <c r="N329" t="s">
        <v>908</v>
      </c>
      <c r="O329" s="9">
        <v>45417</v>
      </c>
      <c r="P329" s="9">
        <v>45418</v>
      </c>
      <c r="Q329" t="s">
        <v>121</v>
      </c>
      <c r="R329" t="s">
        <v>186</v>
      </c>
      <c r="S329">
        <v>241268</v>
      </c>
      <c r="T329" t="s">
        <v>147</v>
      </c>
      <c r="U329" t="s">
        <v>148</v>
      </c>
      <c r="V329" t="s">
        <v>909</v>
      </c>
      <c r="W329">
        <v>3</v>
      </c>
      <c r="X329">
        <v>0.05</v>
      </c>
      <c r="Y329">
        <v>53.47</v>
      </c>
    </row>
    <row r="330" spans="1:25" x14ac:dyDescent="0.3">
      <c r="A330" t="s">
        <v>906</v>
      </c>
      <c r="B330" t="s">
        <v>907</v>
      </c>
      <c r="C330" t="s">
        <v>284</v>
      </c>
      <c r="D330" s="9">
        <v>34670</v>
      </c>
      <c r="E330">
        <v>905</v>
      </c>
      <c r="F330">
        <v>2024</v>
      </c>
      <c r="G330" t="s">
        <v>28</v>
      </c>
      <c r="H330" t="s">
        <v>29</v>
      </c>
      <c r="I330" t="s">
        <v>49</v>
      </c>
      <c r="J330" t="s">
        <v>102</v>
      </c>
      <c r="K330" t="s">
        <v>32</v>
      </c>
      <c r="L330" t="s">
        <v>63</v>
      </c>
      <c r="M330" s="9">
        <v>45620</v>
      </c>
      <c r="N330" t="s">
        <v>910</v>
      </c>
      <c r="O330" s="9">
        <v>45618</v>
      </c>
      <c r="P330" s="9">
        <v>45620</v>
      </c>
      <c r="Q330" t="s">
        <v>35</v>
      </c>
      <c r="R330" t="s">
        <v>186</v>
      </c>
      <c r="S330">
        <v>854500</v>
      </c>
      <c r="T330" t="s">
        <v>51</v>
      </c>
      <c r="U330" t="s">
        <v>52</v>
      </c>
      <c r="V330" t="s">
        <v>911</v>
      </c>
      <c r="W330">
        <v>10</v>
      </c>
      <c r="X330">
        <v>0</v>
      </c>
      <c r="Y330">
        <v>115.37</v>
      </c>
    </row>
    <row r="331" spans="1:25" x14ac:dyDescent="0.3">
      <c r="A331" t="s">
        <v>912</v>
      </c>
      <c r="B331" t="s">
        <v>617</v>
      </c>
      <c r="C331" t="s">
        <v>125</v>
      </c>
      <c r="D331" s="9">
        <v>36022</v>
      </c>
      <c r="E331">
        <v>651.97</v>
      </c>
      <c r="F331">
        <v>2023</v>
      </c>
      <c r="G331" t="s">
        <v>48</v>
      </c>
      <c r="H331" t="s">
        <v>163</v>
      </c>
      <c r="I331" t="s">
        <v>30</v>
      </c>
      <c r="J331" t="s">
        <v>102</v>
      </c>
      <c r="K331" t="s">
        <v>32</v>
      </c>
      <c r="L331" t="s">
        <v>33</v>
      </c>
      <c r="M331" s="9">
        <v>45016</v>
      </c>
      <c r="N331" t="s">
        <v>913</v>
      </c>
      <c r="O331" s="9">
        <v>45014</v>
      </c>
      <c r="P331" s="9">
        <v>45016</v>
      </c>
      <c r="Q331" t="s">
        <v>74</v>
      </c>
      <c r="R331" t="s">
        <v>178</v>
      </c>
      <c r="S331">
        <v>275868</v>
      </c>
      <c r="T331" t="s">
        <v>37</v>
      </c>
      <c r="U331" t="s">
        <v>38</v>
      </c>
      <c r="V331" t="s">
        <v>914</v>
      </c>
      <c r="W331">
        <v>8</v>
      </c>
      <c r="X331">
        <v>0.2</v>
      </c>
      <c r="Y331">
        <v>112.94</v>
      </c>
    </row>
    <row r="332" spans="1:25" x14ac:dyDescent="0.3">
      <c r="A332" t="s">
        <v>912</v>
      </c>
      <c r="B332" t="s">
        <v>617</v>
      </c>
      <c r="C332" t="s">
        <v>125</v>
      </c>
      <c r="D332" s="9">
        <v>36022</v>
      </c>
      <c r="E332">
        <v>2450.7199999999998</v>
      </c>
      <c r="F332">
        <v>2023</v>
      </c>
      <c r="G332" t="s">
        <v>48</v>
      </c>
      <c r="H332" t="s">
        <v>163</v>
      </c>
      <c r="I332" t="s">
        <v>49</v>
      </c>
      <c r="J332" t="s">
        <v>102</v>
      </c>
      <c r="K332" t="s">
        <v>32</v>
      </c>
      <c r="L332" t="s">
        <v>33</v>
      </c>
      <c r="M332" s="9">
        <v>45149</v>
      </c>
      <c r="N332" t="s">
        <v>915</v>
      </c>
      <c r="O332" s="9">
        <v>45148</v>
      </c>
      <c r="P332" s="9">
        <v>45152</v>
      </c>
      <c r="Q332" t="s">
        <v>35</v>
      </c>
      <c r="R332" t="s">
        <v>178</v>
      </c>
      <c r="S332">
        <v>312177</v>
      </c>
      <c r="T332" t="s">
        <v>51</v>
      </c>
      <c r="U332" t="s">
        <v>52</v>
      </c>
      <c r="V332" t="s">
        <v>916</v>
      </c>
      <c r="W332">
        <v>8</v>
      </c>
      <c r="X332">
        <v>0</v>
      </c>
      <c r="Y332">
        <v>291.5</v>
      </c>
    </row>
    <row r="333" spans="1:25" x14ac:dyDescent="0.3">
      <c r="A333" t="s">
        <v>912</v>
      </c>
      <c r="B333" t="s">
        <v>617</v>
      </c>
      <c r="C333" t="s">
        <v>125</v>
      </c>
      <c r="D333" s="9">
        <v>36022</v>
      </c>
      <c r="E333">
        <v>2625.4</v>
      </c>
      <c r="F333">
        <v>2023</v>
      </c>
      <c r="G333" t="s">
        <v>87</v>
      </c>
      <c r="H333" t="s">
        <v>163</v>
      </c>
      <c r="I333" t="s">
        <v>30</v>
      </c>
      <c r="J333" t="s">
        <v>102</v>
      </c>
      <c r="K333" t="s">
        <v>32</v>
      </c>
      <c r="L333" t="s">
        <v>33</v>
      </c>
      <c r="M333" s="9">
        <v>45221</v>
      </c>
      <c r="N333" t="s">
        <v>917</v>
      </c>
      <c r="O333" s="9">
        <v>45217</v>
      </c>
      <c r="P333" s="9">
        <v>45221</v>
      </c>
      <c r="Q333" t="s">
        <v>35</v>
      </c>
      <c r="R333" t="s">
        <v>178</v>
      </c>
      <c r="S333">
        <v>921945</v>
      </c>
      <c r="T333" t="s">
        <v>55</v>
      </c>
      <c r="U333" t="s">
        <v>56</v>
      </c>
      <c r="V333" t="s">
        <v>918</v>
      </c>
      <c r="W333">
        <v>7</v>
      </c>
      <c r="X333">
        <v>0.1</v>
      </c>
      <c r="Y333">
        <v>207.12</v>
      </c>
    </row>
    <row r="334" spans="1:25" x14ac:dyDescent="0.3">
      <c r="A334" t="s">
        <v>912</v>
      </c>
      <c r="B334" t="s">
        <v>617</v>
      </c>
      <c r="C334" t="s">
        <v>125</v>
      </c>
      <c r="D334" s="9">
        <v>36022</v>
      </c>
      <c r="E334">
        <v>110.04</v>
      </c>
      <c r="F334">
        <v>2024</v>
      </c>
      <c r="G334" t="s">
        <v>48</v>
      </c>
      <c r="H334" t="s">
        <v>163</v>
      </c>
      <c r="I334" t="s">
        <v>30</v>
      </c>
      <c r="J334" t="s">
        <v>102</v>
      </c>
      <c r="K334" t="s">
        <v>32</v>
      </c>
      <c r="L334" t="s">
        <v>33</v>
      </c>
      <c r="M334" s="9">
        <v>45390</v>
      </c>
      <c r="N334" t="s">
        <v>919</v>
      </c>
      <c r="O334" s="9">
        <v>45386</v>
      </c>
      <c r="P334" s="9">
        <v>45391</v>
      </c>
      <c r="Q334" t="s">
        <v>41</v>
      </c>
      <c r="R334" t="s">
        <v>178</v>
      </c>
      <c r="S334">
        <v>647403</v>
      </c>
      <c r="T334" t="s">
        <v>55</v>
      </c>
      <c r="U334" t="s">
        <v>56</v>
      </c>
      <c r="V334" t="s">
        <v>920</v>
      </c>
      <c r="W334">
        <v>2</v>
      </c>
      <c r="X334">
        <v>0.15</v>
      </c>
      <c r="Y334">
        <v>9.8000000000000007</v>
      </c>
    </row>
    <row r="335" spans="1:25" x14ac:dyDescent="0.3">
      <c r="A335" t="s">
        <v>912</v>
      </c>
      <c r="B335" t="s">
        <v>617</v>
      </c>
      <c r="C335" t="s">
        <v>125</v>
      </c>
      <c r="D335" s="9">
        <v>36022</v>
      </c>
      <c r="E335">
        <v>337.13</v>
      </c>
      <c r="F335">
        <v>2025</v>
      </c>
      <c r="G335" t="s">
        <v>28</v>
      </c>
      <c r="H335" t="s">
        <v>163</v>
      </c>
      <c r="I335" t="s">
        <v>92</v>
      </c>
      <c r="J335" t="s">
        <v>102</v>
      </c>
      <c r="K335" t="s">
        <v>32</v>
      </c>
      <c r="L335" t="s">
        <v>33</v>
      </c>
      <c r="M335" s="9">
        <v>45771</v>
      </c>
      <c r="N335" t="s">
        <v>921</v>
      </c>
      <c r="O335" s="9">
        <v>45768</v>
      </c>
      <c r="P335" s="9">
        <v>45772</v>
      </c>
      <c r="Q335" t="s">
        <v>35</v>
      </c>
      <c r="R335" t="s">
        <v>178</v>
      </c>
      <c r="S335">
        <v>546157</v>
      </c>
      <c r="T335" t="s">
        <v>94</v>
      </c>
      <c r="U335" t="s">
        <v>95</v>
      </c>
      <c r="V335" t="s">
        <v>922</v>
      </c>
      <c r="W335">
        <v>1</v>
      </c>
      <c r="X335">
        <v>0.05</v>
      </c>
      <c r="Y335">
        <v>40.07</v>
      </c>
    </row>
    <row r="336" spans="1:25" x14ac:dyDescent="0.3">
      <c r="A336" t="s">
        <v>923</v>
      </c>
      <c r="B336" t="s">
        <v>924</v>
      </c>
      <c r="C336" t="s">
        <v>226</v>
      </c>
      <c r="D336" s="9">
        <v>30498</v>
      </c>
      <c r="E336">
        <v>4188.07</v>
      </c>
      <c r="F336">
        <v>2024</v>
      </c>
      <c r="G336" t="s">
        <v>87</v>
      </c>
      <c r="H336" t="s">
        <v>163</v>
      </c>
      <c r="I336" t="s">
        <v>61</v>
      </c>
      <c r="J336" t="s">
        <v>102</v>
      </c>
      <c r="K336" t="s">
        <v>32</v>
      </c>
      <c r="L336" t="s">
        <v>63</v>
      </c>
      <c r="M336" s="9">
        <v>45415</v>
      </c>
      <c r="N336" t="s">
        <v>925</v>
      </c>
      <c r="O336" s="9">
        <v>45415</v>
      </c>
      <c r="P336" s="9">
        <v>45416</v>
      </c>
      <c r="Q336" t="s">
        <v>35</v>
      </c>
      <c r="R336" t="s">
        <v>165</v>
      </c>
      <c r="S336">
        <v>645009</v>
      </c>
      <c r="T336" t="s">
        <v>312</v>
      </c>
      <c r="U336" t="s">
        <v>313</v>
      </c>
      <c r="V336" t="s">
        <v>926</v>
      </c>
      <c r="W336">
        <v>10</v>
      </c>
      <c r="X336">
        <v>0.05</v>
      </c>
      <c r="Y336">
        <v>533.32000000000005</v>
      </c>
    </row>
    <row r="337" spans="1:25" x14ac:dyDescent="0.3">
      <c r="A337" t="s">
        <v>923</v>
      </c>
      <c r="B337" t="s">
        <v>924</v>
      </c>
      <c r="C337" t="s">
        <v>226</v>
      </c>
      <c r="D337" s="9">
        <v>30498</v>
      </c>
      <c r="E337">
        <v>1400.52</v>
      </c>
      <c r="F337">
        <v>2025</v>
      </c>
      <c r="G337" t="s">
        <v>28</v>
      </c>
      <c r="H337" t="s">
        <v>163</v>
      </c>
      <c r="I337" t="s">
        <v>78</v>
      </c>
      <c r="J337" t="s">
        <v>102</v>
      </c>
      <c r="K337" t="s">
        <v>32</v>
      </c>
      <c r="L337" t="s">
        <v>63</v>
      </c>
      <c r="M337" s="9">
        <v>45711</v>
      </c>
      <c r="N337" t="s">
        <v>927</v>
      </c>
      <c r="O337" s="9">
        <v>45711</v>
      </c>
      <c r="P337" s="9">
        <v>45712</v>
      </c>
      <c r="Q337" t="s">
        <v>74</v>
      </c>
      <c r="R337" t="s">
        <v>165</v>
      </c>
      <c r="S337">
        <v>373995</v>
      </c>
      <c r="T337" t="s">
        <v>80</v>
      </c>
      <c r="U337" t="s">
        <v>81</v>
      </c>
      <c r="V337" t="s">
        <v>928</v>
      </c>
      <c r="W337">
        <v>4</v>
      </c>
      <c r="X337">
        <v>0</v>
      </c>
      <c r="Y337">
        <v>241.8</v>
      </c>
    </row>
    <row r="338" spans="1:25" x14ac:dyDescent="0.3">
      <c r="A338" t="s">
        <v>929</v>
      </c>
      <c r="B338" t="s">
        <v>405</v>
      </c>
      <c r="C338" t="s">
        <v>930</v>
      </c>
      <c r="D338" s="9">
        <v>30488</v>
      </c>
      <c r="E338">
        <v>3387.68</v>
      </c>
      <c r="F338">
        <v>2023</v>
      </c>
      <c r="G338" t="s">
        <v>28</v>
      </c>
      <c r="H338" t="s">
        <v>29</v>
      </c>
      <c r="I338" t="s">
        <v>92</v>
      </c>
      <c r="J338" t="s">
        <v>31</v>
      </c>
      <c r="K338" t="s">
        <v>32</v>
      </c>
      <c r="L338" t="s">
        <v>33</v>
      </c>
      <c r="M338" s="9">
        <v>45213</v>
      </c>
      <c r="N338" t="s">
        <v>931</v>
      </c>
      <c r="O338" s="9">
        <v>45209</v>
      </c>
      <c r="P338" s="9">
        <v>45214</v>
      </c>
      <c r="Q338" t="s">
        <v>74</v>
      </c>
      <c r="R338" t="s">
        <v>236</v>
      </c>
      <c r="S338">
        <v>421549</v>
      </c>
      <c r="T338" t="s">
        <v>147</v>
      </c>
      <c r="U338" t="s">
        <v>148</v>
      </c>
      <c r="V338" t="s">
        <v>932</v>
      </c>
      <c r="W338">
        <v>9</v>
      </c>
      <c r="X338">
        <v>0.05</v>
      </c>
      <c r="Y338">
        <v>351.02</v>
      </c>
    </row>
    <row r="339" spans="1:25" x14ac:dyDescent="0.3">
      <c r="A339" t="s">
        <v>929</v>
      </c>
      <c r="B339" t="s">
        <v>405</v>
      </c>
      <c r="C339" t="s">
        <v>930</v>
      </c>
      <c r="D339" s="9">
        <v>30488</v>
      </c>
      <c r="E339">
        <v>2089.81</v>
      </c>
      <c r="F339">
        <v>2024</v>
      </c>
      <c r="G339" t="s">
        <v>28</v>
      </c>
      <c r="H339" t="s">
        <v>29</v>
      </c>
      <c r="I339" t="s">
        <v>30</v>
      </c>
      <c r="J339" t="s">
        <v>31</v>
      </c>
      <c r="K339" t="s">
        <v>32</v>
      </c>
      <c r="L339" t="s">
        <v>33</v>
      </c>
      <c r="M339" s="9">
        <v>45301</v>
      </c>
      <c r="N339" t="s">
        <v>933</v>
      </c>
      <c r="O339" s="9">
        <v>45301</v>
      </c>
      <c r="P339" s="9">
        <v>45302</v>
      </c>
      <c r="Q339" t="s">
        <v>121</v>
      </c>
      <c r="R339" t="s">
        <v>236</v>
      </c>
      <c r="S339">
        <v>205149</v>
      </c>
      <c r="T339" t="s">
        <v>37</v>
      </c>
      <c r="U339" t="s">
        <v>38</v>
      </c>
      <c r="V339" t="s">
        <v>934</v>
      </c>
      <c r="W339">
        <v>7</v>
      </c>
      <c r="X339">
        <v>0.2</v>
      </c>
      <c r="Y339">
        <v>646.05999999999995</v>
      </c>
    </row>
    <row r="340" spans="1:25" x14ac:dyDescent="0.3">
      <c r="A340" t="s">
        <v>929</v>
      </c>
      <c r="B340" t="s">
        <v>405</v>
      </c>
      <c r="C340" t="s">
        <v>930</v>
      </c>
      <c r="D340" s="9">
        <v>30488</v>
      </c>
      <c r="E340">
        <v>2183.81</v>
      </c>
      <c r="F340">
        <v>2024</v>
      </c>
      <c r="G340" t="s">
        <v>28</v>
      </c>
      <c r="H340" t="s">
        <v>29</v>
      </c>
      <c r="I340" t="s">
        <v>61</v>
      </c>
      <c r="J340" t="s">
        <v>31</v>
      </c>
      <c r="K340" t="s">
        <v>32</v>
      </c>
      <c r="L340" t="s">
        <v>33</v>
      </c>
      <c r="M340" s="9">
        <v>45360</v>
      </c>
      <c r="N340" t="s">
        <v>935</v>
      </c>
      <c r="O340" s="9">
        <v>45360</v>
      </c>
      <c r="P340" s="9">
        <v>45361</v>
      </c>
      <c r="Q340" t="s">
        <v>35</v>
      </c>
      <c r="R340" t="s">
        <v>236</v>
      </c>
      <c r="S340">
        <v>943442</v>
      </c>
      <c r="T340" t="s">
        <v>113</v>
      </c>
      <c r="U340" t="s">
        <v>114</v>
      </c>
      <c r="V340" t="s">
        <v>936</v>
      </c>
      <c r="W340">
        <v>6</v>
      </c>
      <c r="X340">
        <v>0.1</v>
      </c>
      <c r="Y340">
        <v>565.86</v>
      </c>
    </row>
    <row r="341" spans="1:25" x14ac:dyDescent="0.3">
      <c r="A341" t="s">
        <v>929</v>
      </c>
      <c r="B341" t="s">
        <v>405</v>
      </c>
      <c r="C341" t="s">
        <v>930</v>
      </c>
      <c r="D341" s="9">
        <v>30488</v>
      </c>
      <c r="E341">
        <v>2289.8000000000002</v>
      </c>
      <c r="F341">
        <v>2024</v>
      </c>
      <c r="G341" t="s">
        <v>87</v>
      </c>
      <c r="H341" t="s">
        <v>29</v>
      </c>
      <c r="I341" t="s">
        <v>78</v>
      </c>
      <c r="J341" t="s">
        <v>31</v>
      </c>
      <c r="K341" t="s">
        <v>32</v>
      </c>
      <c r="L341" t="s">
        <v>33</v>
      </c>
      <c r="M341" s="9">
        <v>45505</v>
      </c>
      <c r="N341" t="s">
        <v>937</v>
      </c>
      <c r="O341" s="9">
        <v>45505</v>
      </c>
      <c r="P341" s="9">
        <v>45508</v>
      </c>
      <c r="Q341" t="s">
        <v>35</v>
      </c>
      <c r="R341" t="s">
        <v>236</v>
      </c>
      <c r="S341">
        <v>859687</v>
      </c>
      <c r="T341" t="s">
        <v>89</v>
      </c>
      <c r="U341" t="s">
        <v>90</v>
      </c>
      <c r="V341" t="s">
        <v>938</v>
      </c>
      <c r="W341">
        <v>10</v>
      </c>
      <c r="X341">
        <v>0</v>
      </c>
      <c r="Y341">
        <v>295.22000000000003</v>
      </c>
    </row>
    <row r="342" spans="1:25" x14ac:dyDescent="0.3">
      <c r="A342" t="s">
        <v>929</v>
      </c>
      <c r="B342" t="s">
        <v>405</v>
      </c>
      <c r="C342" t="s">
        <v>930</v>
      </c>
      <c r="D342" s="9">
        <v>30488</v>
      </c>
      <c r="E342">
        <v>1275.83</v>
      </c>
      <c r="F342">
        <v>2024</v>
      </c>
      <c r="G342" t="s">
        <v>28</v>
      </c>
      <c r="H342" t="s">
        <v>29</v>
      </c>
      <c r="I342" t="s">
        <v>92</v>
      </c>
      <c r="J342" t="s">
        <v>31</v>
      </c>
      <c r="K342" t="s">
        <v>32</v>
      </c>
      <c r="L342" t="s">
        <v>33</v>
      </c>
      <c r="M342" s="9">
        <v>45555</v>
      </c>
      <c r="N342" t="s">
        <v>939</v>
      </c>
      <c r="O342" s="9">
        <v>45553</v>
      </c>
      <c r="P342" s="9">
        <v>45555</v>
      </c>
      <c r="Q342" t="s">
        <v>41</v>
      </c>
      <c r="R342" t="s">
        <v>236</v>
      </c>
      <c r="S342">
        <v>111230</v>
      </c>
      <c r="T342" t="s">
        <v>127</v>
      </c>
      <c r="U342" t="s">
        <v>128</v>
      </c>
      <c r="V342" t="s">
        <v>940</v>
      </c>
      <c r="W342">
        <v>9</v>
      </c>
      <c r="X342">
        <v>0.1</v>
      </c>
      <c r="Y342">
        <v>85.79</v>
      </c>
    </row>
    <row r="343" spans="1:25" x14ac:dyDescent="0.3">
      <c r="A343" t="s">
        <v>929</v>
      </c>
      <c r="B343" t="s">
        <v>405</v>
      </c>
      <c r="C343" t="s">
        <v>930</v>
      </c>
      <c r="D343" s="9">
        <v>30488</v>
      </c>
      <c r="E343">
        <v>356.67</v>
      </c>
      <c r="F343">
        <v>2024</v>
      </c>
      <c r="G343" t="s">
        <v>48</v>
      </c>
      <c r="H343" t="s">
        <v>29</v>
      </c>
      <c r="I343" t="s">
        <v>61</v>
      </c>
      <c r="J343" t="s">
        <v>31</v>
      </c>
      <c r="K343" t="s">
        <v>32</v>
      </c>
      <c r="L343" t="s">
        <v>33</v>
      </c>
      <c r="M343" s="9">
        <v>45625</v>
      </c>
      <c r="N343" t="s">
        <v>941</v>
      </c>
      <c r="O343" s="9">
        <v>45623</v>
      </c>
      <c r="P343" s="9">
        <v>45625</v>
      </c>
      <c r="Q343" t="s">
        <v>35</v>
      </c>
      <c r="R343" t="s">
        <v>236</v>
      </c>
      <c r="S343">
        <v>477214</v>
      </c>
      <c r="T343" t="s">
        <v>204</v>
      </c>
      <c r="U343" t="s">
        <v>205</v>
      </c>
      <c r="V343" t="s">
        <v>942</v>
      </c>
      <c r="W343">
        <v>1</v>
      </c>
      <c r="X343">
        <v>0.1</v>
      </c>
      <c r="Y343">
        <v>73.03</v>
      </c>
    </row>
    <row r="344" spans="1:25" x14ac:dyDescent="0.3">
      <c r="A344" t="s">
        <v>943</v>
      </c>
      <c r="B344" t="s">
        <v>684</v>
      </c>
      <c r="C344" t="s">
        <v>27</v>
      </c>
      <c r="D344" s="9">
        <v>30010</v>
      </c>
      <c r="E344">
        <v>1260.17</v>
      </c>
      <c r="F344">
        <v>2023</v>
      </c>
      <c r="G344" t="s">
        <v>48</v>
      </c>
      <c r="H344" t="s">
        <v>29</v>
      </c>
      <c r="I344" t="s">
        <v>78</v>
      </c>
      <c r="J344" t="s">
        <v>102</v>
      </c>
      <c r="K344" t="s">
        <v>32</v>
      </c>
      <c r="L344" t="s">
        <v>33</v>
      </c>
      <c r="M344" s="9">
        <v>44929</v>
      </c>
      <c r="N344" t="s">
        <v>944</v>
      </c>
      <c r="O344" s="9">
        <v>44927</v>
      </c>
      <c r="P344" s="9">
        <v>44929</v>
      </c>
      <c r="Q344" t="s">
        <v>35</v>
      </c>
      <c r="R344" t="s">
        <v>197</v>
      </c>
      <c r="S344">
        <v>194545</v>
      </c>
      <c r="T344" t="s">
        <v>117</v>
      </c>
      <c r="U344" t="s">
        <v>118</v>
      </c>
      <c r="V344" t="s">
        <v>945</v>
      </c>
      <c r="W344">
        <v>7</v>
      </c>
      <c r="X344">
        <v>0.05</v>
      </c>
      <c r="Y344">
        <v>216.29</v>
      </c>
    </row>
    <row r="345" spans="1:25" x14ac:dyDescent="0.3">
      <c r="A345" t="s">
        <v>943</v>
      </c>
      <c r="B345" t="s">
        <v>684</v>
      </c>
      <c r="C345" t="s">
        <v>27</v>
      </c>
      <c r="D345" s="9">
        <v>30010</v>
      </c>
      <c r="E345">
        <v>4132.8</v>
      </c>
      <c r="F345">
        <v>2023</v>
      </c>
      <c r="G345" t="s">
        <v>87</v>
      </c>
      <c r="H345" t="s">
        <v>29</v>
      </c>
      <c r="I345" t="s">
        <v>30</v>
      </c>
      <c r="J345" t="s">
        <v>102</v>
      </c>
      <c r="K345" t="s">
        <v>32</v>
      </c>
      <c r="L345" t="s">
        <v>33</v>
      </c>
      <c r="M345" s="9">
        <v>45089</v>
      </c>
      <c r="N345" t="s">
        <v>946</v>
      </c>
      <c r="O345" s="9">
        <v>45088</v>
      </c>
      <c r="P345" s="9">
        <v>45091</v>
      </c>
      <c r="Q345" t="s">
        <v>121</v>
      </c>
      <c r="R345" t="s">
        <v>197</v>
      </c>
      <c r="S345">
        <v>576849</v>
      </c>
      <c r="T345" t="s">
        <v>37</v>
      </c>
      <c r="U345" t="s">
        <v>38</v>
      </c>
      <c r="V345" t="s">
        <v>947</v>
      </c>
      <c r="W345">
        <v>9</v>
      </c>
      <c r="X345">
        <v>0</v>
      </c>
      <c r="Y345">
        <v>637.45000000000005</v>
      </c>
    </row>
    <row r="346" spans="1:25" x14ac:dyDescent="0.3">
      <c r="A346" t="s">
        <v>948</v>
      </c>
      <c r="B346" t="s">
        <v>607</v>
      </c>
      <c r="C346" t="s">
        <v>259</v>
      </c>
      <c r="D346" s="9">
        <v>31284</v>
      </c>
      <c r="E346">
        <v>915.9</v>
      </c>
      <c r="F346">
        <v>2023</v>
      </c>
      <c r="G346" t="s">
        <v>87</v>
      </c>
      <c r="H346" t="s">
        <v>29</v>
      </c>
      <c r="I346" t="s">
        <v>30</v>
      </c>
      <c r="J346" t="s">
        <v>143</v>
      </c>
      <c r="K346" t="s">
        <v>32</v>
      </c>
      <c r="L346" t="s">
        <v>33</v>
      </c>
      <c r="M346" s="9">
        <v>44933</v>
      </c>
      <c r="N346" t="s">
        <v>949</v>
      </c>
      <c r="O346" s="9">
        <v>44931</v>
      </c>
      <c r="P346" s="9">
        <v>44934</v>
      </c>
      <c r="Q346" t="s">
        <v>41</v>
      </c>
      <c r="R346" t="s">
        <v>523</v>
      </c>
      <c r="S346">
        <v>495397</v>
      </c>
      <c r="T346" t="s">
        <v>75</v>
      </c>
      <c r="U346" t="s">
        <v>76</v>
      </c>
      <c r="V346" t="s">
        <v>950</v>
      </c>
      <c r="W346">
        <v>5</v>
      </c>
      <c r="X346">
        <v>0</v>
      </c>
      <c r="Y346">
        <v>266.42</v>
      </c>
    </row>
    <row r="347" spans="1:25" x14ac:dyDescent="0.3">
      <c r="A347" t="s">
        <v>948</v>
      </c>
      <c r="B347" t="s">
        <v>607</v>
      </c>
      <c r="C347" t="s">
        <v>259</v>
      </c>
      <c r="D347" s="9">
        <v>31284</v>
      </c>
      <c r="E347">
        <v>1227.49</v>
      </c>
      <c r="F347">
        <v>2023</v>
      </c>
      <c r="G347" t="s">
        <v>48</v>
      </c>
      <c r="H347" t="s">
        <v>29</v>
      </c>
      <c r="I347" t="s">
        <v>30</v>
      </c>
      <c r="J347" t="s">
        <v>143</v>
      </c>
      <c r="K347" t="s">
        <v>32</v>
      </c>
      <c r="L347" t="s">
        <v>33</v>
      </c>
      <c r="M347" s="9">
        <v>45040</v>
      </c>
      <c r="N347" t="s">
        <v>951</v>
      </c>
      <c r="O347" s="9">
        <v>45036</v>
      </c>
      <c r="P347" s="9">
        <v>45040</v>
      </c>
      <c r="Q347" t="s">
        <v>41</v>
      </c>
      <c r="R347" t="s">
        <v>523</v>
      </c>
      <c r="S347">
        <v>221916</v>
      </c>
      <c r="T347" t="s">
        <v>37</v>
      </c>
      <c r="U347" t="s">
        <v>38</v>
      </c>
      <c r="V347" t="s">
        <v>952</v>
      </c>
      <c r="W347">
        <v>4</v>
      </c>
      <c r="X347">
        <v>0.2</v>
      </c>
      <c r="Y347">
        <v>230.34</v>
      </c>
    </row>
    <row r="348" spans="1:25" x14ac:dyDescent="0.3">
      <c r="A348" t="s">
        <v>948</v>
      </c>
      <c r="B348" t="s">
        <v>607</v>
      </c>
      <c r="C348" t="s">
        <v>259</v>
      </c>
      <c r="D348" s="9">
        <v>31284</v>
      </c>
      <c r="E348">
        <v>1379.68</v>
      </c>
      <c r="F348">
        <v>2023</v>
      </c>
      <c r="G348" t="s">
        <v>87</v>
      </c>
      <c r="H348" t="s">
        <v>29</v>
      </c>
      <c r="I348" t="s">
        <v>43</v>
      </c>
      <c r="J348" t="s">
        <v>143</v>
      </c>
      <c r="K348" t="s">
        <v>32</v>
      </c>
      <c r="L348" t="s">
        <v>33</v>
      </c>
      <c r="M348" s="9">
        <v>45108</v>
      </c>
      <c r="N348" t="s">
        <v>953</v>
      </c>
      <c r="O348" s="9">
        <v>45106</v>
      </c>
      <c r="P348" s="9">
        <v>45110</v>
      </c>
      <c r="Q348" t="s">
        <v>35</v>
      </c>
      <c r="R348" t="s">
        <v>523</v>
      </c>
      <c r="S348">
        <v>834861</v>
      </c>
      <c r="T348" t="s">
        <v>45</v>
      </c>
      <c r="U348" t="s">
        <v>46</v>
      </c>
      <c r="V348" t="s">
        <v>954</v>
      </c>
      <c r="W348">
        <v>4</v>
      </c>
      <c r="X348">
        <v>0</v>
      </c>
      <c r="Y348">
        <v>400.17</v>
      </c>
    </row>
    <row r="349" spans="1:25" x14ac:dyDescent="0.3">
      <c r="A349" t="s">
        <v>948</v>
      </c>
      <c r="B349" t="s">
        <v>607</v>
      </c>
      <c r="C349" t="s">
        <v>259</v>
      </c>
      <c r="D349" s="9">
        <v>31284</v>
      </c>
      <c r="E349">
        <v>359.53</v>
      </c>
      <c r="F349">
        <v>2023</v>
      </c>
      <c r="G349" t="s">
        <v>28</v>
      </c>
      <c r="H349" t="s">
        <v>29</v>
      </c>
      <c r="I349" t="s">
        <v>43</v>
      </c>
      <c r="J349" t="s">
        <v>143</v>
      </c>
      <c r="K349" t="s">
        <v>32</v>
      </c>
      <c r="L349" t="s">
        <v>33</v>
      </c>
      <c r="M349" s="9">
        <v>45194</v>
      </c>
      <c r="N349" t="s">
        <v>955</v>
      </c>
      <c r="O349" s="9">
        <v>45194</v>
      </c>
      <c r="P349" s="9">
        <v>45195</v>
      </c>
      <c r="Q349" t="s">
        <v>74</v>
      </c>
      <c r="R349" t="s">
        <v>523</v>
      </c>
      <c r="S349">
        <v>470711</v>
      </c>
      <c r="T349" t="s">
        <v>45</v>
      </c>
      <c r="U349" t="s">
        <v>46</v>
      </c>
      <c r="V349" t="s">
        <v>956</v>
      </c>
      <c r="W349">
        <v>2</v>
      </c>
      <c r="X349">
        <v>0.15</v>
      </c>
      <c r="Y349">
        <v>106.54</v>
      </c>
    </row>
    <row r="350" spans="1:25" x14ac:dyDescent="0.3">
      <c r="A350" t="s">
        <v>948</v>
      </c>
      <c r="B350" t="s">
        <v>607</v>
      </c>
      <c r="C350" t="s">
        <v>259</v>
      </c>
      <c r="D350" s="9">
        <v>31284</v>
      </c>
      <c r="E350">
        <v>1038.08</v>
      </c>
      <c r="F350">
        <v>2024</v>
      </c>
      <c r="G350" t="s">
        <v>48</v>
      </c>
      <c r="H350" t="s">
        <v>29</v>
      </c>
      <c r="I350" t="s">
        <v>61</v>
      </c>
      <c r="J350" t="s">
        <v>143</v>
      </c>
      <c r="K350" t="s">
        <v>32</v>
      </c>
      <c r="L350" t="s">
        <v>33</v>
      </c>
      <c r="M350" s="9">
        <v>45344</v>
      </c>
      <c r="N350" t="s">
        <v>957</v>
      </c>
      <c r="O350" s="9">
        <v>45343</v>
      </c>
      <c r="P350" s="9">
        <v>45345</v>
      </c>
      <c r="Q350" t="s">
        <v>121</v>
      </c>
      <c r="R350" t="s">
        <v>523</v>
      </c>
      <c r="S350">
        <v>312616</v>
      </c>
      <c r="T350" t="s">
        <v>204</v>
      </c>
      <c r="U350" t="s">
        <v>205</v>
      </c>
      <c r="V350" t="s">
        <v>958</v>
      </c>
      <c r="W350">
        <v>4</v>
      </c>
      <c r="X350">
        <v>0</v>
      </c>
      <c r="Y350">
        <v>125.05</v>
      </c>
    </row>
    <row r="351" spans="1:25" x14ac:dyDescent="0.3">
      <c r="A351" t="s">
        <v>948</v>
      </c>
      <c r="B351" t="s">
        <v>607</v>
      </c>
      <c r="C351" t="s">
        <v>259</v>
      </c>
      <c r="D351" s="9">
        <v>31284</v>
      </c>
      <c r="E351">
        <v>155.08000000000001</v>
      </c>
      <c r="F351">
        <v>2024</v>
      </c>
      <c r="G351" t="s">
        <v>48</v>
      </c>
      <c r="H351" t="s">
        <v>29</v>
      </c>
      <c r="I351" t="s">
        <v>61</v>
      </c>
      <c r="J351" t="s">
        <v>143</v>
      </c>
      <c r="K351" t="s">
        <v>32</v>
      </c>
      <c r="L351" t="s">
        <v>33</v>
      </c>
      <c r="M351" s="9">
        <v>45449</v>
      </c>
      <c r="N351" t="s">
        <v>959</v>
      </c>
      <c r="O351" s="9">
        <v>45445</v>
      </c>
      <c r="P351" s="9">
        <v>45449</v>
      </c>
      <c r="Q351" t="s">
        <v>35</v>
      </c>
      <c r="R351" t="s">
        <v>523</v>
      </c>
      <c r="S351">
        <v>989203</v>
      </c>
      <c r="T351" t="s">
        <v>204</v>
      </c>
      <c r="U351" t="s">
        <v>205</v>
      </c>
      <c r="V351" t="s">
        <v>960</v>
      </c>
      <c r="W351">
        <v>2</v>
      </c>
      <c r="X351">
        <v>0</v>
      </c>
      <c r="Y351">
        <v>39.200000000000003</v>
      </c>
    </row>
    <row r="352" spans="1:25" x14ac:dyDescent="0.3">
      <c r="A352" t="s">
        <v>948</v>
      </c>
      <c r="B352" t="s">
        <v>607</v>
      </c>
      <c r="C352" t="s">
        <v>259</v>
      </c>
      <c r="D352" s="9">
        <v>31284</v>
      </c>
      <c r="E352">
        <v>1384.13</v>
      </c>
      <c r="F352">
        <v>2024</v>
      </c>
      <c r="G352" t="s">
        <v>87</v>
      </c>
      <c r="H352" t="s">
        <v>29</v>
      </c>
      <c r="I352" t="s">
        <v>92</v>
      </c>
      <c r="J352" t="s">
        <v>143</v>
      </c>
      <c r="K352" t="s">
        <v>32</v>
      </c>
      <c r="L352" t="s">
        <v>33</v>
      </c>
      <c r="M352" s="9">
        <v>45516</v>
      </c>
      <c r="N352" t="s">
        <v>961</v>
      </c>
      <c r="O352" s="9">
        <v>45515</v>
      </c>
      <c r="P352" s="9">
        <v>45519</v>
      </c>
      <c r="Q352" t="s">
        <v>74</v>
      </c>
      <c r="R352" t="s">
        <v>523</v>
      </c>
      <c r="S352">
        <v>517206</v>
      </c>
      <c r="T352" t="s">
        <v>94</v>
      </c>
      <c r="U352" t="s">
        <v>95</v>
      </c>
      <c r="V352" t="s">
        <v>962</v>
      </c>
      <c r="W352">
        <v>6</v>
      </c>
      <c r="X352">
        <v>0.1</v>
      </c>
      <c r="Y352">
        <v>429.95</v>
      </c>
    </row>
    <row r="353" spans="1:25" x14ac:dyDescent="0.3">
      <c r="A353" t="s">
        <v>963</v>
      </c>
      <c r="B353" t="s">
        <v>247</v>
      </c>
      <c r="C353" t="s">
        <v>964</v>
      </c>
      <c r="D353" s="9">
        <v>34556</v>
      </c>
      <c r="E353">
        <v>320.67</v>
      </c>
      <c r="F353">
        <v>2023</v>
      </c>
      <c r="G353" t="s">
        <v>48</v>
      </c>
      <c r="H353" t="s">
        <v>29</v>
      </c>
      <c r="I353" t="s">
        <v>78</v>
      </c>
      <c r="J353" t="s">
        <v>31</v>
      </c>
      <c r="K353" t="s">
        <v>32</v>
      </c>
      <c r="L353" t="s">
        <v>144</v>
      </c>
      <c r="M353" s="9">
        <v>45059</v>
      </c>
      <c r="N353" t="s">
        <v>965</v>
      </c>
      <c r="O353" s="9">
        <v>45058</v>
      </c>
      <c r="P353" s="9">
        <v>45060</v>
      </c>
      <c r="Q353" t="s">
        <v>41</v>
      </c>
      <c r="R353" t="s">
        <v>837</v>
      </c>
      <c r="S353">
        <v>430984</v>
      </c>
      <c r="T353" t="s">
        <v>80</v>
      </c>
      <c r="U353" t="s">
        <v>81</v>
      </c>
      <c r="V353" t="s">
        <v>966</v>
      </c>
      <c r="W353">
        <v>9</v>
      </c>
      <c r="X353">
        <v>0</v>
      </c>
      <c r="Y353">
        <v>53.91</v>
      </c>
    </row>
    <row r="354" spans="1:25" x14ac:dyDescent="0.3">
      <c r="A354" t="s">
        <v>963</v>
      </c>
      <c r="B354" t="s">
        <v>247</v>
      </c>
      <c r="C354" t="s">
        <v>964</v>
      </c>
      <c r="D354" s="9">
        <v>34556</v>
      </c>
      <c r="E354">
        <v>808.52</v>
      </c>
      <c r="F354">
        <v>2024</v>
      </c>
      <c r="G354" t="s">
        <v>48</v>
      </c>
      <c r="H354" t="s">
        <v>29</v>
      </c>
      <c r="I354" t="s">
        <v>49</v>
      </c>
      <c r="J354" t="s">
        <v>31</v>
      </c>
      <c r="K354" t="s">
        <v>32</v>
      </c>
      <c r="L354" t="s">
        <v>144</v>
      </c>
      <c r="M354" s="9">
        <v>45519</v>
      </c>
      <c r="N354" t="s">
        <v>967</v>
      </c>
      <c r="O354" s="9">
        <v>45517</v>
      </c>
      <c r="P354" s="9">
        <v>45522</v>
      </c>
      <c r="Q354" t="s">
        <v>74</v>
      </c>
      <c r="R354" t="s">
        <v>837</v>
      </c>
      <c r="S354">
        <v>348658</v>
      </c>
      <c r="T354" t="s">
        <v>109</v>
      </c>
      <c r="U354" t="s">
        <v>110</v>
      </c>
      <c r="V354" t="s">
        <v>968</v>
      </c>
      <c r="W354">
        <v>4</v>
      </c>
      <c r="X354">
        <v>0</v>
      </c>
      <c r="Y354">
        <v>119.36</v>
      </c>
    </row>
    <row r="355" spans="1:25" x14ac:dyDescent="0.3">
      <c r="A355" t="s">
        <v>969</v>
      </c>
      <c r="B355" t="s">
        <v>650</v>
      </c>
      <c r="C355" t="s">
        <v>248</v>
      </c>
      <c r="D355" s="9">
        <v>24880</v>
      </c>
      <c r="E355">
        <v>707.71</v>
      </c>
      <c r="F355">
        <v>2023</v>
      </c>
      <c r="G355" t="s">
        <v>28</v>
      </c>
      <c r="H355" t="s">
        <v>29</v>
      </c>
      <c r="I355" t="s">
        <v>61</v>
      </c>
      <c r="J355" t="s">
        <v>31</v>
      </c>
      <c r="K355" t="s">
        <v>32</v>
      </c>
      <c r="L355" t="s">
        <v>63</v>
      </c>
      <c r="M355" s="9">
        <v>45280</v>
      </c>
      <c r="N355" t="s">
        <v>970</v>
      </c>
      <c r="O355" s="9">
        <v>45278</v>
      </c>
      <c r="P355" s="9">
        <v>45282</v>
      </c>
      <c r="Q355" t="s">
        <v>121</v>
      </c>
      <c r="R355" t="s">
        <v>36</v>
      </c>
      <c r="S355">
        <v>699166</v>
      </c>
      <c r="T355" t="s">
        <v>113</v>
      </c>
      <c r="U355" t="s">
        <v>114</v>
      </c>
      <c r="V355" t="s">
        <v>971</v>
      </c>
      <c r="W355">
        <v>4</v>
      </c>
      <c r="X355">
        <v>0.2</v>
      </c>
      <c r="Y355">
        <v>114.43</v>
      </c>
    </row>
    <row r="356" spans="1:25" x14ac:dyDescent="0.3">
      <c r="A356" t="s">
        <v>969</v>
      </c>
      <c r="B356" t="s">
        <v>650</v>
      </c>
      <c r="C356" t="s">
        <v>248</v>
      </c>
      <c r="D356" s="9">
        <v>24880</v>
      </c>
      <c r="E356">
        <v>585.58000000000004</v>
      </c>
      <c r="F356">
        <v>2024</v>
      </c>
      <c r="G356" t="s">
        <v>48</v>
      </c>
      <c r="H356" t="s">
        <v>29</v>
      </c>
      <c r="I356" t="s">
        <v>61</v>
      </c>
      <c r="J356" t="s">
        <v>31</v>
      </c>
      <c r="K356" t="s">
        <v>32</v>
      </c>
      <c r="L356" t="s">
        <v>63</v>
      </c>
      <c r="M356" s="9">
        <v>45304</v>
      </c>
      <c r="N356" t="s">
        <v>972</v>
      </c>
      <c r="O356" s="9">
        <v>45301</v>
      </c>
      <c r="P356" s="9">
        <v>45305</v>
      </c>
      <c r="Q356" t="s">
        <v>121</v>
      </c>
      <c r="R356" t="s">
        <v>36</v>
      </c>
      <c r="S356">
        <v>938900</v>
      </c>
      <c r="T356" t="s">
        <v>66</v>
      </c>
      <c r="U356" t="s">
        <v>67</v>
      </c>
      <c r="V356" t="s">
        <v>973</v>
      </c>
      <c r="W356">
        <v>2</v>
      </c>
      <c r="X356">
        <v>0.2</v>
      </c>
      <c r="Y356">
        <v>70.7</v>
      </c>
    </row>
    <row r="357" spans="1:25" x14ac:dyDescent="0.3">
      <c r="A357" t="s">
        <v>969</v>
      </c>
      <c r="B357" t="s">
        <v>650</v>
      </c>
      <c r="C357" t="s">
        <v>248</v>
      </c>
      <c r="D357" s="9">
        <v>24880</v>
      </c>
      <c r="E357">
        <v>99.53</v>
      </c>
      <c r="F357">
        <v>2024</v>
      </c>
      <c r="G357" t="s">
        <v>87</v>
      </c>
      <c r="H357" t="s">
        <v>29</v>
      </c>
      <c r="I357" t="s">
        <v>49</v>
      </c>
      <c r="J357" t="s">
        <v>31</v>
      </c>
      <c r="K357" t="s">
        <v>32</v>
      </c>
      <c r="L357" t="s">
        <v>63</v>
      </c>
      <c r="M357" s="9">
        <v>45558</v>
      </c>
      <c r="N357" t="s">
        <v>974</v>
      </c>
      <c r="O357" s="9">
        <v>45554</v>
      </c>
      <c r="P357" s="9">
        <v>45559</v>
      </c>
      <c r="Q357" t="s">
        <v>74</v>
      </c>
      <c r="R357" t="s">
        <v>36</v>
      </c>
      <c r="S357">
        <v>923481</v>
      </c>
      <c r="T357" t="s">
        <v>109</v>
      </c>
      <c r="U357" t="s">
        <v>110</v>
      </c>
      <c r="V357" t="s">
        <v>975</v>
      </c>
      <c r="W357">
        <v>1</v>
      </c>
      <c r="X357">
        <v>0.05</v>
      </c>
      <c r="Y357">
        <v>8.99</v>
      </c>
    </row>
    <row r="358" spans="1:25" x14ac:dyDescent="0.3">
      <c r="A358" t="s">
        <v>976</v>
      </c>
      <c r="B358" t="s">
        <v>124</v>
      </c>
      <c r="C358" t="s">
        <v>327</v>
      </c>
      <c r="D358" s="9">
        <v>34876</v>
      </c>
      <c r="E358">
        <v>117.17</v>
      </c>
      <c r="F358">
        <v>2023</v>
      </c>
      <c r="G358" t="s">
        <v>87</v>
      </c>
      <c r="H358" t="s">
        <v>29</v>
      </c>
      <c r="I358" t="s">
        <v>78</v>
      </c>
      <c r="J358" t="s">
        <v>62</v>
      </c>
      <c r="K358" t="s">
        <v>32</v>
      </c>
      <c r="L358" t="s">
        <v>33</v>
      </c>
      <c r="M358" s="9">
        <v>45184</v>
      </c>
      <c r="N358" t="s">
        <v>977</v>
      </c>
      <c r="O358" s="9">
        <v>45183</v>
      </c>
      <c r="P358" s="9">
        <v>45184</v>
      </c>
      <c r="Q358" t="s">
        <v>74</v>
      </c>
      <c r="R358" t="s">
        <v>65</v>
      </c>
      <c r="S358">
        <v>372387</v>
      </c>
      <c r="T358" t="s">
        <v>80</v>
      </c>
      <c r="U358" t="s">
        <v>81</v>
      </c>
      <c r="V358" t="s">
        <v>978</v>
      </c>
      <c r="W358">
        <v>3</v>
      </c>
      <c r="X358">
        <v>0.2</v>
      </c>
      <c r="Y358">
        <v>14.8</v>
      </c>
    </row>
    <row r="359" spans="1:25" x14ac:dyDescent="0.3">
      <c r="A359" t="s">
        <v>976</v>
      </c>
      <c r="B359" t="s">
        <v>124</v>
      </c>
      <c r="C359" t="s">
        <v>327</v>
      </c>
      <c r="D359" s="9">
        <v>34876</v>
      </c>
      <c r="E359">
        <v>4205.6099999999997</v>
      </c>
      <c r="F359">
        <v>2024</v>
      </c>
      <c r="G359" t="s">
        <v>28</v>
      </c>
      <c r="H359" t="s">
        <v>29</v>
      </c>
      <c r="I359" t="s">
        <v>43</v>
      </c>
      <c r="J359" t="s">
        <v>62</v>
      </c>
      <c r="K359" t="s">
        <v>32</v>
      </c>
      <c r="L359" t="s">
        <v>33</v>
      </c>
      <c r="M359" s="9">
        <v>45502</v>
      </c>
      <c r="N359" t="s">
        <v>979</v>
      </c>
      <c r="O359" s="9">
        <v>45502</v>
      </c>
      <c r="P359" s="9">
        <v>45506</v>
      </c>
      <c r="Q359" t="s">
        <v>121</v>
      </c>
      <c r="R359" t="s">
        <v>65</v>
      </c>
      <c r="S359">
        <v>704875</v>
      </c>
      <c r="T359" t="s">
        <v>153</v>
      </c>
      <c r="U359" t="s">
        <v>154</v>
      </c>
      <c r="V359" t="s">
        <v>980</v>
      </c>
      <c r="W359">
        <v>9</v>
      </c>
      <c r="X359">
        <v>0</v>
      </c>
      <c r="Y359">
        <v>644.48</v>
      </c>
    </row>
    <row r="360" spans="1:25" x14ac:dyDescent="0.3">
      <c r="A360" t="s">
        <v>976</v>
      </c>
      <c r="B360" t="s">
        <v>124</v>
      </c>
      <c r="C360" t="s">
        <v>327</v>
      </c>
      <c r="D360" s="9">
        <v>34876</v>
      </c>
      <c r="E360">
        <v>747.22</v>
      </c>
      <c r="F360">
        <v>2024</v>
      </c>
      <c r="G360" t="s">
        <v>87</v>
      </c>
      <c r="H360" t="s">
        <v>29</v>
      </c>
      <c r="I360" t="s">
        <v>30</v>
      </c>
      <c r="J360" t="s">
        <v>62</v>
      </c>
      <c r="K360" t="s">
        <v>32</v>
      </c>
      <c r="L360" t="s">
        <v>33</v>
      </c>
      <c r="M360" s="9">
        <v>45511</v>
      </c>
      <c r="N360" t="s">
        <v>981</v>
      </c>
      <c r="O360" s="9">
        <v>45508</v>
      </c>
      <c r="P360" s="9">
        <v>45511</v>
      </c>
      <c r="Q360" t="s">
        <v>41</v>
      </c>
      <c r="R360" t="s">
        <v>65</v>
      </c>
      <c r="S360">
        <v>182216</v>
      </c>
      <c r="T360" t="s">
        <v>55</v>
      </c>
      <c r="U360" t="s">
        <v>56</v>
      </c>
      <c r="V360" t="s">
        <v>982</v>
      </c>
      <c r="W360">
        <v>9</v>
      </c>
      <c r="X360">
        <v>0.2</v>
      </c>
      <c r="Y360">
        <v>101.16</v>
      </c>
    </row>
    <row r="361" spans="1:25" x14ac:dyDescent="0.3">
      <c r="A361" t="s">
        <v>976</v>
      </c>
      <c r="B361" t="s">
        <v>124</v>
      </c>
      <c r="C361" t="s">
        <v>327</v>
      </c>
      <c r="D361" s="9">
        <v>34876</v>
      </c>
      <c r="E361">
        <v>1113.74</v>
      </c>
      <c r="F361">
        <v>2025</v>
      </c>
      <c r="G361" t="s">
        <v>87</v>
      </c>
      <c r="H361" t="s">
        <v>29</v>
      </c>
      <c r="I361" t="s">
        <v>92</v>
      </c>
      <c r="J361" t="s">
        <v>62</v>
      </c>
      <c r="K361" t="s">
        <v>32</v>
      </c>
      <c r="L361" t="s">
        <v>33</v>
      </c>
      <c r="M361" s="9">
        <v>45809</v>
      </c>
      <c r="N361" t="s">
        <v>983</v>
      </c>
      <c r="O361" s="9">
        <v>45806</v>
      </c>
      <c r="P361" s="9">
        <v>45809</v>
      </c>
      <c r="Q361" t="s">
        <v>41</v>
      </c>
      <c r="R361" t="s">
        <v>65</v>
      </c>
      <c r="S361">
        <v>990136</v>
      </c>
      <c r="T361" t="s">
        <v>94</v>
      </c>
      <c r="U361" t="s">
        <v>95</v>
      </c>
      <c r="V361" t="s">
        <v>984</v>
      </c>
      <c r="W361">
        <v>3</v>
      </c>
      <c r="X361">
        <v>0.15</v>
      </c>
      <c r="Y361">
        <v>325.56</v>
      </c>
    </row>
    <row r="362" spans="1:25" x14ac:dyDescent="0.3">
      <c r="A362" t="s">
        <v>985</v>
      </c>
      <c r="B362" t="s">
        <v>210</v>
      </c>
      <c r="C362" t="s">
        <v>226</v>
      </c>
      <c r="D362" s="9">
        <v>28022</v>
      </c>
      <c r="E362">
        <v>3294.3</v>
      </c>
      <c r="F362">
        <v>2023</v>
      </c>
      <c r="G362" t="s">
        <v>28</v>
      </c>
      <c r="H362" t="s">
        <v>29</v>
      </c>
      <c r="I362" t="s">
        <v>43</v>
      </c>
      <c r="J362" t="s">
        <v>31</v>
      </c>
      <c r="K362" t="s">
        <v>32</v>
      </c>
      <c r="L362" t="s">
        <v>144</v>
      </c>
      <c r="M362" s="9">
        <v>45011</v>
      </c>
      <c r="N362" t="s">
        <v>986</v>
      </c>
      <c r="O362" s="9">
        <v>45008</v>
      </c>
      <c r="P362" s="9">
        <v>45011</v>
      </c>
      <c r="Q362" t="s">
        <v>121</v>
      </c>
      <c r="R362" t="s">
        <v>261</v>
      </c>
      <c r="S362">
        <v>292818</v>
      </c>
      <c r="T362" t="s">
        <v>70</v>
      </c>
      <c r="U362" t="s">
        <v>71</v>
      </c>
      <c r="V362" t="s">
        <v>987</v>
      </c>
      <c r="W362">
        <v>10</v>
      </c>
      <c r="X362">
        <v>0</v>
      </c>
      <c r="Y362">
        <v>1042.01</v>
      </c>
    </row>
    <row r="363" spans="1:25" x14ac:dyDescent="0.3">
      <c r="A363" t="s">
        <v>985</v>
      </c>
      <c r="B363" t="s">
        <v>210</v>
      </c>
      <c r="C363" t="s">
        <v>226</v>
      </c>
      <c r="D363" s="9">
        <v>28022</v>
      </c>
      <c r="E363">
        <v>1148.42</v>
      </c>
      <c r="F363">
        <v>2023</v>
      </c>
      <c r="G363" t="s">
        <v>48</v>
      </c>
      <c r="H363" t="s">
        <v>29</v>
      </c>
      <c r="I363" t="s">
        <v>78</v>
      </c>
      <c r="J363" t="s">
        <v>31</v>
      </c>
      <c r="K363" t="s">
        <v>32</v>
      </c>
      <c r="L363" t="s">
        <v>144</v>
      </c>
      <c r="M363" s="9">
        <v>45092</v>
      </c>
      <c r="N363" t="s">
        <v>988</v>
      </c>
      <c r="O363" s="9">
        <v>45092</v>
      </c>
      <c r="P363" s="9">
        <v>45093</v>
      </c>
      <c r="Q363" t="s">
        <v>41</v>
      </c>
      <c r="R363" t="s">
        <v>261</v>
      </c>
      <c r="S363">
        <v>208013</v>
      </c>
      <c r="T363" t="s">
        <v>89</v>
      </c>
      <c r="U363" t="s">
        <v>90</v>
      </c>
      <c r="V363" t="s">
        <v>989</v>
      </c>
      <c r="W363">
        <v>4</v>
      </c>
      <c r="X363">
        <v>0.15</v>
      </c>
      <c r="Y363">
        <v>298.83</v>
      </c>
    </row>
    <row r="364" spans="1:25" x14ac:dyDescent="0.3">
      <c r="A364" t="s">
        <v>985</v>
      </c>
      <c r="B364" t="s">
        <v>210</v>
      </c>
      <c r="C364" t="s">
        <v>226</v>
      </c>
      <c r="D364" s="9">
        <v>28022</v>
      </c>
      <c r="E364">
        <v>2266</v>
      </c>
      <c r="F364">
        <v>2023</v>
      </c>
      <c r="G364" t="s">
        <v>48</v>
      </c>
      <c r="H364" t="s">
        <v>29</v>
      </c>
      <c r="I364" t="s">
        <v>78</v>
      </c>
      <c r="J364" t="s">
        <v>31</v>
      </c>
      <c r="K364" t="s">
        <v>32</v>
      </c>
      <c r="L364" t="s">
        <v>144</v>
      </c>
      <c r="M364" s="9">
        <v>45160</v>
      </c>
      <c r="N364" t="s">
        <v>990</v>
      </c>
      <c r="O364" s="9">
        <v>45160</v>
      </c>
      <c r="P364" s="9">
        <v>45165</v>
      </c>
      <c r="Q364" t="s">
        <v>74</v>
      </c>
      <c r="R364" t="s">
        <v>261</v>
      </c>
      <c r="S364">
        <v>748127</v>
      </c>
      <c r="T364" t="s">
        <v>135</v>
      </c>
      <c r="U364" t="s">
        <v>136</v>
      </c>
      <c r="V364" t="s">
        <v>991</v>
      </c>
      <c r="W364">
        <v>8</v>
      </c>
      <c r="X364">
        <v>0</v>
      </c>
      <c r="Y364">
        <v>637.38</v>
      </c>
    </row>
    <row r="365" spans="1:25" x14ac:dyDescent="0.3">
      <c r="A365" t="s">
        <v>985</v>
      </c>
      <c r="B365" t="s">
        <v>210</v>
      </c>
      <c r="C365" t="s">
        <v>226</v>
      </c>
      <c r="D365" s="9">
        <v>28022</v>
      </c>
      <c r="E365">
        <v>1179.5</v>
      </c>
      <c r="F365">
        <v>2023</v>
      </c>
      <c r="G365" t="s">
        <v>48</v>
      </c>
      <c r="H365" t="s">
        <v>29</v>
      </c>
      <c r="I365" t="s">
        <v>61</v>
      </c>
      <c r="J365" t="s">
        <v>31</v>
      </c>
      <c r="K365" t="s">
        <v>32</v>
      </c>
      <c r="L365" t="s">
        <v>144</v>
      </c>
      <c r="M365" s="9">
        <v>45249</v>
      </c>
      <c r="N365" t="s">
        <v>992</v>
      </c>
      <c r="O365" s="9">
        <v>45248</v>
      </c>
      <c r="P365" s="9">
        <v>45252</v>
      </c>
      <c r="Q365" t="s">
        <v>121</v>
      </c>
      <c r="R365" t="s">
        <v>261</v>
      </c>
      <c r="S365">
        <v>129959</v>
      </c>
      <c r="T365" t="s">
        <v>312</v>
      </c>
      <c r="U365" t="s">
        <v>313</v>
      </c>
      <c r="V365" t="s">
        <v>993</v>
      </c>
      <c r="W365">
        <v>7</v>
      </c>
      <c r="X365">
        <v>0</v>
      </c>
      <c r="Y365">
        <v>319.97000000000003</v>
      </c>
    </row>
    <row r="366" spans="1:25" x14ac:dyDescent="0.3">
      <c r="A366" t="s">
        <v>985</v>
      </c>
      <c r="B366" t="s">
        <v>210</v>
      </c>
      <c r="C366" t="s">
        <v>226</v>
      </c>
      <c r="D366" s="9">
        <v>28022</v>
      </c>
      <c r="E366">
        <v>2478.59</v>
      </c>
      <c r="F366">
        <v>2023</v>
      </c>
      <c r="G366" t="s">
        <v>87</v>
      </c>
      <c r="H366" t="s">
        <v>29</v>
      </c>
      <c r="I366" t="s">
        <v>78</v>
      </c>
      <c r="J366" t="s">
        <v>31</v>
      </c>
      <c r="K366" t="s">
        <v>32</v>
      </c>
      <c r="L366" t="s">
        <v>144</v>
      </c>
      <c r="M366" s="9">
        <v>45253</v>
      </c>
      <c r="N366" t="s">
        <v>994</v>
      </c>
      <c r="O366" s="9">
        <v>45251</v>
      </c>
      <c r="P366" s="9">
        <v>45256</v>
      </c>
      <c r="Q366" t="s">
        <v>41</v>
      </c>
      <c r="R366" t="s">
        <v>261</v>
      </c>
      <c r="S366">
        <v>241678</v>
      </c>
      <c r="T366" t="s">
        <v>117</v>
      </c>
      <c r="U366" t="s">
        <v>118</v>
      </c>
      <c r="V366" t="s">
        <v>995</v>
      </c>
      <c r="W366">
        <v>6</v>
      </c>
      <c r="X366">
        <v>0.05</v>
      </c>
      <c r="Y366">
        <v>848.9</v>
      </c>
    </row>
    <row r="367" spans="1:25" x14ac:dyDescent="0.3">
      <c r="A367" t="s">
        <v>985</v>
      </c>
      <c r="B367" t="s">
        <v>210</v>
      </c>
      <c r="C367" t="s">
        <v>226</v>
      </c>
      <c r="D367" s="9">
        <v>28022</v>
      </c>
      <c r="E367">
        <v>2608.14</v>
      </c>
      <c r="F367">
        <v>2023</v>
      </c>
      <c r="G367" t="s">
        <v>87</v>
      </c>
      <c r="H367" t="s">
        <v>29</v>
      </c>
      <c r="I367" t="s">
        <v>49</v>
      </c>
      <c r="J367" t="s">
        <v>31</v>
      </c>
      <c r="K367" t="s">
        <v>32</v>
      </c>
      <c r="L367" t="s">
        <v>144</v>
      </c>
      <c r="M367" s="9">
        <v>45281</v>
      </c>
      <c r="N367" t="s">
        <v>996</v>
      </c>
      <c r="O367" s="9">
        <v>45278</v>
      </c>
      <c r="P367" s="9">
        <v>45283</v>
      </c>
      <c r="Q367" t="s">
        <v>74</v>
      </c>
      <c r="R367" t="s">
        <v>261</v>
      </c>
      <c r="S367">
        <v>464032</v>
      </c>
      <c r="T367" t="s">
        <v>51</v>
      </c>
      <c r="U367" t="s">
        <v>52</v>
      </c>
      <c r="V367" t="s">
        <v>997</v>
      </c>
      <c r="W367">
        <v>10</v>
      </c>
      <c r="X367">
        <v>0.15</v>
      </c>
      <c r="Y367">
        <v>716.39</v>
      </c>
    </row>
    <row r="368" spans="1:25" x14ac:dyDescent="0.3">
      <c r="A368" t="s">
        <v>985</v>
      </c>
      <c r="B368" t="s">
        <v>210</v>
      </c>
      <c r="C368" t="s">
        <v>226</v>
      </c>
      <c r="D368" s="9">
        <v>28022</v>
      </c>
      <c r="E368">
        <v>464.18</v>
      </c>
      <c r="F368">
        <v>2024</v>
      </c>
      <c r="G368" t="s">
        <v>48</v>
      </c>
      <c r="H368" t="s">
        <v>29</v>
      </c>
      <c r="I368" t="s">
        <v>92</v>
      </c>
      <c r="J368" t="s">
        <v>31</v>
      </c>
      <c r="K368" t="s">
        <v>32</v>
      </c>
      <c r="L368" t="s">
        <v>144</v>
      </c>
      <c r="M368" s="9">
        <v>45596</v>
      </c>
      <c r="N368" t="s">
        <v>998</v>
      </c>
      <c r="O368" s="9">
        <v>45595</v>
      </c>
      <c r="P368" s="9">
        <v>45597</v>
      </c>
      <c r="Q368" t="s">
        <v>35</v>
      </c>
      <c r="R368" t="s">
        <v>261</v>
      </c>
      <c r="S368">
        <v>648736</v>
      </c>
      <c r="T368" t="s">
        <v>147</v>
      </c>
      <c r="U368" t="s">
        <v>148</v>
      </c>
      <c r="V368" t="s">
        <v>999</v>
      </c>
      <c r="W368">
        <v>2</v>
      </c>
      <c r="X368">
        <v>0</v>
      </c>
      <c r="Y368">
        <v>80.61</v>
      </c>
    </row>
    <row r="369" spans="1:25" x14ac:dyDescent="0.3">
      <c r="A369" t="s">
        <v>1000</v>
      </c>
      <c r="B369" t="s">
        <v>562</v>
      </c>
      <c r="C369" t="s">
        <v>27</v>
      </c>
      <c r="D369" s="9">
        <v>33517</v>
      </c>
      <c r="E369">
        <v>1048.3800000000001</v>
      </c>
      <c r="F369">
        <v>2023</v>
      </c>
      <c r="G369" t="s">
        <v>48</v>
      </c>
      <c r="H369" t="s">
        <v>29</v>
      </c>
      <c r="I369" t="s">
        <v>78</v>
      </c>
      <c r="J369" t="s">
        <v>143</v>
      </c>
      <c r="K369" t="s">
        <v>32</v>
      </c>
      <c r="L369" t="s">
        <v>63</v>
      </c>
      <c r="M369" s="9">
        <v>45067</v>
      </c>
      <c r="N369" t="s">
        <v>1001</v>
      </c>
      <c r="O369" s="9">
        <v>45066</v>
      </c>
      <c r="P369" s="9">
        <v>45069</v>
      </c>
      <c r="Q369" t="s">
        <v>74</v>
      </c>
      <c r="R369" t="s">
        <v>146</v>
      </c>
      <c r="S369">
        <v>297731</v>
      </c>
      <c r="T369" t="s">
        <v>80</v>
      </c>
      <c r="U369" t="s">
        <v>81</v>
      </c>
      <c r="V369" t="s">
        <v>1002</v>
      </c>
      <c r="W369">
        <v>8</v>
      </c>
      <c r="X369">
        <v>0.2</v>
      </c>
      <c r="Y369">
        <v>187.8</v>
      </c>
    </row>
    <row r="370" spans="1:25" x14ac:dyDescent="0.3">
      <c r="A370" t="s">
        <v>1000</v>
      </c>
      <c r="B370" t="s">
        <v>562</v>
      </c>
      <c r="C370" t="s">
        <v>27</v>
      </c>
      <c r="D370" s="9">
        <v>33517</v>
      </c>
      <c r="E370">
        <v>334.46</v>
      </c>
      <c r="F370">
        <v>2023</v>
      </c>
      <c r="G370" t="s">
        <v>28</v>
      </c>
      <c r="H370" t="s">
        <v>29</v>
      </c>
      <c r="I370" t="s">
        <v>92</v>
      </c>
      <c r="J370" t="s">
        <v>143</v>
      </c>
      <c r="K370" t="s">
        <v>32</v>
      </c>
      <c r="L370" t="s">
        <v>63</v>
      </c>
      <c r="M370" s="9">
        <v>45221</v>
      </c>
      <c r="N370" t="s">
        <v>1003</v>
      </c>
      <c r="O370" s="9">
        <v>45220</v>
      </c>
      <c r="P370" s="9">
        <v>45224</v>
      </c>
      <c r="Q370" t="s">
        <v>35</v>
      </c>
      <c r="R370" t="s">
        <v>146</v>
      </c>
      <c r="S370">
        <v>542750</v>
      </c>
      <c r="T370" t="s">
        <v>127</v>
      </c>
      <c r="U370" t="s">
        <v>128</v>
      </c>
      <c r="V370" t="s">
        <v>1004</v>
      </c>
      <c r="W370">
        <v>4</v>
      </c>
      <c r="X370">
        <v>0.15</v>
      </c>
      <c r="Y370">
        <v>81.540000000000006</v>
      </c>
    </row>
    <row r="371" spans="1:25" x14ac:dyDescent="0.3">
      <c r="A371" t="s">
        <v>1000</v>
      </c>
      <c r="B371" t="s">
        <v>562</v>
      </c>
      <c r="C371" t="s">
        <v>27</v>
      </c>
      <c r="D371" s="9">
        <v>33517</v>
      </c>
      <c r="E371">
        <v>3464.94</v>
      </c>
      <c r="F371">
        <v>2023</v>
      </c>
      <c r="G371" t="s">
        <v>28</v>
      </c>
      <c r="H371" t="s">
        <v>29</v>
      </c>
      <c r="I371" t="s">
        <v>49</v>
      </c>
      <c r="J371" t="s">
        <v>143</v>
      </c>
      <c r="K371" t="s">
        <v>32</v>
      </c>
      <c r="L371" t="s">
        <v>63</v>
      </c>
      <c r="M371" s="9">
        <v>45281</v>
      </c>
      <c r="N371" t="s">
        <v>1005</v>
      </c>
      <c r="O371" s="9">
        <v>45279</v>
      </c>
      <c r="P371" s="9">
        <v>45284</v>
      </c>
      <c r="Q371" t="s">
        <v>121</v>
      </c>
      <c r="R371" t="s">
        <v>146</v>
      </c>
      <c r="S371">
        <v>994940</v>
      </c>
      <c r="T371" t="s">
        <v>109</v>
      </c>
      <c r="U371" t="s">
        <v>110</v>
      </c>
      <c r="V371" t="s">
        <v>1006</v>
      </c>
      <c r="W371">
        <v>10</v>
      </c>
      <c r="X371">
        <v>0.15</v>
      </c>
      <c r="Y371">
        <v>455.85</v>
      </c>
    </row>
    <row r="372" spans="1:25" x14ac:dyDescent="0.3">
      <c r="A372" t="s">
        <v>1000</v>
      </c>
      <c r="B372" t="s">
        <v>562</v>
      </c>
      <c r="C372" t="s">
        <v>27</v>
      </c>
      <c r="D372" s="9">
        <v>33517</v>
      </c>
      <c r="E372">
        <v>346.61</v>
      </c>
      <c r="F372">
        <v>2024</v>
      </c>
      <c r="G372" t="s">
        <v>48</v>
      </c>
      <c r="H372" t="s">
        <v>29</v>
      </c>
      <c r="I372" t="s">
        <v>78</v>
      </c>
      <c r="J372" t="s">
        <v>143</v>
      </c>
      <c r="K372" t="s">
        <v>32</v>
      </c>
      <c r="L372" t="s">
        <v>63</v>
      </c>
      <c r="M372" s="9">
        <v>45410</v>
      </c>
      <c r="N372" t="s">
        <v>1007</v>
      </c>
      <c r="O372" s="9">
        <v>45407</v>
      </c>
      <c r="P372" s="9">
        <v>45410</v>
      </c>
      <c r="Q372" t="s">
        <v>74</v>
      </c>
      <c r="R372" t="s">
        <v>146</v>
      </c>
      <c r="S372">
        <v>120337</v>
      </c>
      <c r="T372" t="s">
        <v>89</v>
      </c>
      <c r="U372" t="s">
        <v>90</v>
      </c>
      <c r="V372" t="s">
        <v>1008</v>
      </c>
      <c r="W372">
        <v>5</v>
      </c>
      <c r="X372">
        <v>0.05</v>
      </c>
      <c r="Y372">
        <v>81.56</v>
      </c>
    </row>
    <row r="373" spans="1:25" x14ac:dyDescent="0.3">
      <c r="A373" t="s">
        <v>1000</v>
      </c>
      <c r="B373" t="s">
        <v>562</v>
      </c>
      <c r="C373" t="s">
        <v>27</v>
      </c>
      <c r="D373" s="9">
        <v>33517</v>
      </c>
      <c r="E373">
        <v>109.25</v>
      </c>
      <c r="F373">
        <v>2024</v>
      </c>
      <c r="G373" t="s">
        <v>28</v>
      </c>
      <c r="H373" t="s">
        <v>29</v>
      </c>
      <c r="I373" t="s">
        <v>61</v>
      </c>
      <c r="J373" t="s">
        <v>143</v>
      </c>
      <c r="K373" t="s">
        <v>32</v>
      </c>
      <c r="L373" t="s">
        <v>63</v>
      </c>
      <c r="M373" s="9">
        <v>45476</v>
      </c>
      <c r="N373" t="s">
        <v>1009</v>
      </c>
      <c r="O373" s="9">
        <v>45474</v>
      </c>
      <c r="P373" s="9">
        <v>45476</v>
      </c>
      <c r="Q373" t="s">
        <v>35</v>
      </c>
      <c r="R373" t="s">
        <v>146</v>
      </c>
      <c r="S373">
        <v>344119</v>
      </c>
      <c r="T373" t="s">
        <v>312</v>
      </c>
      <c r="U373" t="s">
        <v>313</v>
      </c>
      <c r="V373" t="s">
        <v>1010</v>
      </c>
      <c r="W373">
        <v>1</v>
      </c>
      <c r="X373">
        <v>0</v>
      </c>
      <c r="Y373">
        <v>14.71</v>
      </c>
    </row>
    <row r="374" spans="1:25" x14ac:dyDescent="0.3">
      <c r="A374" t="s">
        <v>1000</v>
      </c>
      <c r="B374" t="s">
        <v>562</v>
      </c>
      <c r="C374" t="s">
        <v>27</v>
      </c>
      <c r="D374" s="9">
        <v>33517</v>
      </c>
      <c r="E374">
        <v>944.3</v>
      </c>
      <c r="F374">
        <v>2025</v>
      </c>
      <c r="G374" t="s">
        <v>28</v>
      </c>
      <c r="H374" t="s">
        <v>29</v>
      </c>
      <c r="I374" t="s">
        <v>78</v>
      </c>
      <c r="J374" t="s">
        <v>143</v>
      </c>
      <c r="K374" t="s">
        <v>32</v>
      </c>
      <c r="L374" t="s">
        <v>63</v>
      </c>
      <c r="M374" s="9">
        <v>45797</v>
      </c>
      <c r="N374" t="s">
        <v>1011</v>
      </c>
      <c r="O374" s="9">
        <v>45795</v>
      </c>
      <c r="P374" s="9">
        <v>45799</v>
      </c>
      <c r="Q374" t="s">
        <v>35</v>
      </c>
      <c r="R374" t="s">
        <v>146</v>
      </c>
      <c r="S374">
        <v>446290</v>
      </c>
      <c r="T374" t="s">
        <v>89</v>
      </c>
      <c r="U374" t="s">
        <v>90</v>
      </c>
      <c r="V374" t="s">
        <v>1012</v>
      </c>
      <c r="W374">
        <v>8</v>
      </c>
      <c r="X374">
        <v>0.05</v>
      </c>
      <c r="Y374">
        <v>135.47999999999999</v>
      </c>
    </row>
    <row r="375" spans="1:25" x14ac:dyDescent="0.3">
      <c r="A375" t="s">
        <v>1013</v>
      </c>
      <c r="B375" t="s">
        <v>454</v>
      </c>
      <c r="C375" t="s">
        <v>348</v>
      </c>
      <c r="D375" s="9">
        <v>33675</v>
      </c>
      <c r="E375">
        <v>360.83</v>
      </c>
      <c r="F375">
        <v>2025</v>
      </c>
      <c r="G375" t="s">
        <v>48</v>
      </c>
      <c r="H375" t="s">
        <v>29</v>
      </c>
      <c r="I375" t="s">
        <v>61</v>
      </c>
      <c r="J375" t="s">
        <v>62</v>
      </c>
      <c r="K375" t="s">
        <v>32</v>
      </c>
      <c r="L375" t="s">
        <v>144</v>
      </c>
      <c r="M375" s="9">
        <v>45698</v>
      </c>
      <c r="N375" t="s">
        <v>1014</v>
      </c>
      <c r="O375" s="9">
        <v>45695</v>
      </c>
      <c r="P375" s="9">
        <v>45698</v>
      </c>
      <c r="Q375" t="s">
        <v>35</v>
      </c>
      <c r="R375" t="s">
        <v>386</v>
      </c>
      <c r="S375">
        <v>905459</v>
      </c>
      <c r="T375" t="s">
        <v>312</v>
      </c>
      <c r="U375" t="s">
        <v>313</v>
      </c>
      <c r="V375" t="s">
        <v>1015</v>
      </c>
      <c r="W375">
        <v>7</v>
      </c>
      <c r="X375">
        <v>0.05</v>
      </c>
      <c r="Y375">
        <v>37.700000000000003</v>
      </c>
    </row>
    <row r="376" spans="1:25" x14ac:dyDescent="0.3">
      <c r="A376" t="s">
        <v>1016</v>
      </c>
      <c r="B376" t="s">
        <v>591</v>
      </c>
      <c r="C376" t="s">
        <v>322</v>
      </c>
      <c r="D376" s="9">
        <v>27916</v>
      </c>
      <c r="E376">
        <v>540.29999999999995</v>
      </c>
      <c r="F376">
        <v>2023</v>
      </c>
      <c r="G376" t="s">
        <v>48</v>
      </c>
      <c r="H376" t="s">
        <v>29</v>
      </c>
      <c r="I376" t="s">
        <v>78</v>
      </c>
      <c r="J376" t="s">
        <v>102</v>
      </c>
      <c r="K376" t="s">
        <v>32</v>
      </c>
      <c r="L376" t="s">
        <v>33</v>
      </c>
      <c r="M376" s="9">
        <v>45182</v>
      </c>
      <c r="N376" t="s">
        <v>1017</v>
      </c>
      <c r="O376" s="9">
        <v>45180</v>
      </c>
      <c r="P376" s="9">
        <v>45183</v>
      </c>
      <c r="Q376" t="s">
        <v>35</v>
      </c>
      <c r="R376" t="s">
        <v>197</v>
      </c>
      <c r="S376">
        <v>880900</v>
      </c>
      <c r="T376" t="s">
        <v>89</v>
      </c>
      <c r="U376" t="s">
        <v>90</v>
      </c>
      <c r="V376" t="s">
        <v>1018</v>
      </c>
      <c r="W376">
        <v>2</v>
      </c>
      <c r="X376">
        <v>0</v>
      </c>
      <c r="Y376">
        <v>103.66</v>
      </c>
    </row>
    <row r="377" spans="1:25" x14ac:dyDescent="0.3">
      <c r="A377" t="s">
        <v>1016</v>
      </c>
      <c r="B377" t="s">
        <v>591</v>
      </c>
      <c r="C377" t="s">
        <v>322</v>
      </c>
      <c r="D377" s="9">
        <v>27916</v>
      </c>
      <c r="E377">
        <v>1254.95</v>
      </c>
      <c r="F377">
        <v>2024</v>
      </c>
      <c r="G377" t="s">
        <v>48</v>
      </c>
      <c r="H377" t="s">
        <v>29</v>
      </c>
      <c r="I377" t="s">
        <v>30</v>
      </c>
      <c r="J377" t="s">
        <v>102</v>
      </c>
      <c r="K377" t="s">
        <v>32</v>
      </c>
      <c r="L377" t="s">
        <v>33</v>
      </c>
      <c r="M377" s="9">
        <v>45321</v>
      </c>
      <c r="N377" t="s">
        <v>1019</v>
      </c>
      <c r="O377" s="9">
        <v>45321</v>
      </c>
      <c r="P377" s="9">
        <v>45322</v>
      </c>
      <c r="Q377" t="s">
        <v>121</v>
      </c>
      <c r="R377" t="s">
        <v>197</v>
      </c>
      <c r="S377">
        <v>763653</v>
      </c>
      <c r="T377" t="s">
        <v>55</v>
      </c>
      <c r="U377" t="s">
        <v>56</v>
      </c>
      <c r="V377" t="s">
        <v>1020</v>
      </c>
      <c r="W377">
        <v>5</v>
      </c>
      <c r="X377">
        <v>0</v>
      </c>
      <c r="Y377">
        <v>137.56</v>
      </c>
    </row>
    <row r="378" spans="1:25" x14ac:dyDescent="0.3">
      <c r="A378" t="s">
        <v>1016</v>
      </c>
      <c r="B378" t="s">
        <v>591</v>
      </c>
      <c r="C378" t="s">
        <v>322</v>
      </c>
      <c r="D378" s="9">
        <v>27916</v>
      </c>
      <c r="E378">
        <v>1083.54</v>
      </c>
      <c r="F378">
        <v>2024</v>
      </c>
      <c r="G378" t="s">
        <v>48</v>
      </c>
      <c r="H378" t="s">
        <v>29</v>
      </c>
      <c r="I378" t="s">
        <v>92</v>
      </c>
      <c r="J378" t="s">
        <v>102</v>
      </c>
      <c r="K378" t="s">
        <v>32</v>
      </c>
      <c r="L378" t="s">
        <v>33</v>
      </c>
      <c r="M378" s="9">
        <v>45380</v>
      </c>
      <c r="N378" t="s">
        <v>1021</v>
      </c>
      <c r="O378" s="9">
        <v>45380</v>
      </c>
      <c r="P378" s="9">
        <v>45382</v>
      </c>
      <c r="Q378" t="s">
        <v>41</v>
      </c>
      <c r="R378" t="s">
        <v>197</v>
      </c>
      <c r="S378">
        <v>821846</v>
      </c>
      <c r="T378" t="s">
        <v>94</v>
      </c>
      <c r="U378" t="s">
        <v>95</v>
      </c>
      <c r="V378" t="s">
        <v>1022</v>
      </c>
      <c r="W378">
        <v>3</v>
      </c>
      <c r="X378">
        <v>0.1</v>
      </c>
      <c r="Y378">
        <v>93.07</v>
      </c>
    </row>
    <row r="379" spans="1:25" x14ac:dyDescent="0.3">
      <c r="A379" t="s">
        <v>1016</v>
      </c>
      <c r="B379" t="s">
        <v>591</v>
      </c>
      <c r="C379" t="s">
        <v>322</v>
      </c>
      <c r="D379" s="9">
        <v>27916</v>
      </c>
      <c r="E379">
        <v>264.83999999999997</v>
      </c>
      <c r="F379">
        <v>2025</v>
      </c>
      <c r="G379" t="s">
        <v>87</v>
      </c>
      <c r="H379" t="s">
        <v>29</v>
      </c>
      <c r="I379" t="s">
        <v>30</v>
      </c>
      <c r="J379" t="s">
        <v>102</v>
      </c>
      <c r="K379" t="s">
        <v>32</v>
      </c>
      <c r="L379" t="s">
        <v>33</v>
      </c>
      <c r="M379" s="9">
        <v>45684</v>
      </c>
      <c r="N379" t="s">
        <v>1023</v>
      </c>
      <c r="O379" s="9">
        <v>45682</v>
      </c>
      <c r="P379" s="9">
        <v>45687</v>
      </c>
      <c r="Q379" t="s">
        <v>35</v>
      </c>
      <c r="R379" t="s">
        <v>197</v>
      </c>
      <c r="S379">
        <v>162678</v>
      </c>
      <c r="T379" t="s">
        <v>75</v>
      </c>
      <c r="U379" t="s">
        <v>76</v>
      </c>
      <c r="V379" t="s">
        <v>1024</v>
      </c>
      <c r="W379">
        <v>2</v>
      </c>
      <c r="X379">
        <v>0.05</v>
      </c>
      <c r="Y379">
        <v>20.5</v>
      </c>
    </row>
    <row r="380" spans="1:25" x14ac:dyDescent="0.3">
      <c r="A380" t="s">
        <v>1016</v>
      </c>
      <c r="B380" t="s">
        <v>591</v>
      </c>
      <c r="C380" t="s">
        <v>322</v>
      </c>
      <c r="D380" s="9">
        <v>27916</v>
      </c>
      <c r="E380">
        <v>3599.1</v>
      </c>
      <c r="F380">
        <v>2025</v>
      </c>
      <c r="G380" t="s">
        <v>28</v>
      </c>
      <c r="H380" t="s">
        <v>29</v>
      </c>
      <c r="I380" t="s">
        <v>43</v>
      </c>
      <c r="J380" t="s">
        <v>102</v>
      </c>
      <c r="K380" t="s">
        <v>32</v>
      </c>
      <c r="L380" t="s">
        <v>33</v>
      </c>
      <c r="M380" s="9">
        <v>45718</v>
      </c>
      <c r="N380" t="s">
        <v>1025</v>
      </c>
      <c r="O380" s="9">
        <v>45716</v>
      </c>
      <c r="P380" s="9">
        <v>45719</v>
      </c>
      <c r="Q380" t="s">
        <v>121</v>
      </c>
      <c r="R380" t="s">
        <v>197</v>
      </c>
      <c r="S380">
        <v>122390</v>
      </c>
      <c r="T380" t="s">
        <v>70</v>
      </c>
      <c r="U380" t="s">
        <v>71</v>
      </c>
      <c r="V380" t="s">
        <v>515</v>
      </c>
      <c r="W380">
        <v>9</v>
      </c>
      <c r="X380">
        <v>0</v>
      </c>
      <c r="Y380">
        <v>706.69</v>
      </c>
    </row>
    <row r="381" spans="1:25" x14ac:dyDescent="0.3">
      <c r="A381" t="s">
        <v>1026</v>
      </c>
      <c r="B381" t="s">
        <v>711</v>
      </c>
      <c r="C381" t="s">
        <v>211</v>
      </c>
      <c r="D381" s="9">
        <v>36956</v>
      </c>
      <c r="E381">
        <v>1332.42</v>
      </c>
      <c r="F381">
        <v>2023</v>
      </c>
      <c r="G381" t="s">
        <v>28</v>
      </c>
      <c r="H381" t="s">
        <v>29</v>
      </c>
      <c r="I381" t="s">
        <v>92</v>
      </c>
      <c r="J381" t="s">
        <v>62</v>
      </c>
      <c r="K381" t="s">
        <v>32</v>
      </c>
      <c r="L381" t="s">
        <v>144</v>
      </c>
      <c r="M381" s="9">
        <v>44969</v>
      </c>
      <c r="N381" t="s">
        <v>1027</v>
      </c>
      <c r="O381" s="9">
        <v>44967</v>
      </c>
      <c r="P381" s="9">
        <v>44969</v>
      </c>
      <c r="Q381" t="s">
        <v>74</v>
      </c>
      <c r="R381" t="s">
        <v>65</v>
      </c>
      <c r="S381">
        <v>867979</v>
      </c>
      <c r="T381" t="s">
        <v>127</v>
      </c>
      <c r="U381" t="s">
        <v>128</v>
      </c>
      <c r="V381" t="s">
        <v>1028</v>
      </c>
      <c r="W381">
        <v>5</v>
      </c>
      <c r="X381">
        <v>0.05</v>
      </c>
      <c r="Y381">
        <v>142.47999999999999</v>
      </c>
    </row>
    <row r="382" spans="1:25" x14ac:dyDescent="0.3">
      <c r="A382" t="s">
        <v>1026</v>
      </c>
      <c r="B382" t="s">
        <v>711</v>
      </c>
      <c r="C382" t="s">
        <v>211</v>
      </c>
      <c r="D382" s="9">
        <v>36956</v>
      </c>
      <c r="E382">
        <v>4130.55</v>
      </c>
      <c r="F382">
        <v>2023</v>
      </c>
      <c r="G382" t="s">
        <v>28</v>
      </c>
      <c r="H382" t="s">
        <v>29</v>
      </c>
      <c r="I382" t="s">
        <v>92</v>
      </c>
      <c r="J382" t="s">
        <v>62</v>
      </c>
      <c r="K382" t="s">
        <v>32</v>
      </c>
      <c r="L382" t="s">
        <v>144</v>
      </c>
      <c r="M382" s="9">
        <v>45065</v>
      </c>
      <c r="N382" t="s">
        <v>1029</v>
      </c>
      <c r="O382" s="9">
        <v>45064</v>
      </c>
      <c r="P382" s="9">
        <v>45069</v>
      </c>
      <c r="Q382" t="s">
        <v>74</v>
      </c>
      <c r="R382" t="s">
        <v>65</v>
      </c>
      <c r="S382">
        <v>959222</v>
      </c>
      <c r="T382" t="s">
        <v>94</v>
      </c>
      <c r="U382" t="s">
        <v>95</v>
      </c>
      <c r="V382" t="s">
        <v>1030</v>
      </c>
      <c r="W382">
        <v>10</v>
      </c>
      <c r="X382">
        <v>0.1</v>
      </c>
      <c r="Y382">
        <v>405.22</v>
      </c>
    </row>
    <row r="383" spans="1:25" x14ac:dyDescent="0.3">
      <c r="A383" t="s">
        <v>1026</v>
      </c>
      <c r="B383" t="s">
        <v>711</v>
      </c>
      <c r="C383" t="s">
        <v>211</v>
      </c>
      <c r="D383" s="9">
        <v>36956</v>
      </c>
      <c r="E383">
        <v>138.38</v>
      </c>
      <c r="F383">
        <v>2023</v>
      </c>
      <c r="G383" t="s">
        <v>87</v>
      </c>
      <c r="H383" t="s">
        <v>29</v>
      </c>
      <c r="I383" t="s">
        <v>43</v>
      </c>
      <c r="J383" t="s">
        <v>62</v>
      </c>
      <c r="K383" t="s">
        <v>32</v>
      </c>
      <c r="L383" t="s">
        <v>144</v>
      </c>
      <c r="M383" s="9">
        <v>45183</v>
      </c>
      <c r="N383" t="s">
        <v>1031</v>
      </c>
      <c r="O383" s="9">
        <v>45183</v>
      </c>
      <c r="P383" s="9">
        <v>45185</v>
      </c>
      <c r="Q383" t="s">
        <v>74</v>
      </c>
      <c r="R383" t="s">
        <v>65</v>
      </c>
      <c r="S383">
        <v>913712</v>
      </c>
      <c r="T383" t="s">
        <v>70</v>
      </c>
      <c r="U383" t="s">
        <v>71</v>
      </c>
      <c r="V383" t="s">
        <v>1032</v>
      </c>
      <c r="W383">
        <v>8</v>
      </c>
      <c r="X383">
        <v>0.15</v>
      </c>
      <c r="Y383">
        <v>27.92</v>
      </c>
    </row>
    <row r="384" spans="1:25" x14ac:dyDescent="0.3">
      <c r="A384" t="s">
        <v>1026</v>
      </c>
      <c r="B384" t="s">
        <v>711</v>
      </c>
      <c r="C384" t="s">
        <v>211</v>
      </c>
      <c r="D384" s="9">
        <v>36956</v>
      </c>
      <c r="E384">
        <v>604.76</v>
      </c>
      <c r="F384">
        <v>2024</v>
      </c>
      <c r="G384" t="s">
        <v>87</v>
      </c>
      <c r="H384" t="s">
        <v>29</v>
      </c>
      <c r="I384" t="s">
        <v>30</v>
      </c>
      <c r="J384" t="s">
        <v>62</v>
      </c>
      <c r="K384" t="s">
        <v>32</v>
      </c>
      <c r="L384" t="s">
        <v>144</v>
      </c>
      <c r="M384" s="9">
        <v>45295</v>
      </c>
      <c r="N384" t="s">
        <v>1033</v>
      </c>
      <c r="O384" s="9">
        <v>45293</v>
      </c>
      <c r="P384" s="9">
        <v>45295</v>
      </c>
      <c r="Q384" t="s">
        <v>41</v>
      </c>
      <c r="R384" t="s">
        <v>65</v>
      </c>
      <c r="S384">
        <v>902930</v>
      </c>
      <c r="T384" t="s">
        <v>75</v>
      </c>
      <c r="U384" t="s">
        <v>76</v>
      </c>
      <c r="V384" t="s">
        <v>1034</v>
      </c>
      <c r="W384">
        <v>2</v>
      </c>
      <c r="X384">
        <v>0.1</v>
      </c>
      <c r="Y384">
        <v>178.84</v>
      </c>
    </row>
    <row r="385" spans="1:25" x14ac:dyDescent="0.3">
      <c r="A385" t="s">
        <v>1026</v>
      </c>
      <c r="B385" t="s">
        <v>711</v>
      </c>
      <c r="C385" t="s">
        <v>211</v>
      </c>
      <c r="D385" s="9">
        <v>36956</v>
      </c>
      <c r="E385">
        <v>743.11</v>
      </c>
      <c r="F385">
        <v>2025</v>
      </c>
      <c r="G385" t="s">
        <v>48</v>
      </c>
      <c r="H385" t="s">
        <v>29</v>
      </c>
      <c r="I385" t="s">
        <v>30</v>
      </c>
      <c r="J385" t="s">
        <v>62</v>
      </c>
      <c r="K385" t="s">
        <v>32</v>
      </c>
      <c r="L385" t="s">
        <v>144</v>
      </c>
      <c r="M385" s="9">
        <v>45668</v>
      </c>
      <c r="N385" t="s">
        <v>1035</v>
      </c>
      <c r="O385" s="9">
        <v>45668</v>
      </c>
      <c r="P385" s="9">
        <v>45669</v>
      </c>
      <c r="Q385" t="s">
        <v>121</v>
      </c>
      <c r="R385" t="s">
        <v>65</v>
      </c>
      <c r="S385">
        <v>287316</v>
      </c>
      <c r="T385" t="s">
        <v>75</v>
      </c>
      <c r="U385" t="s">
        <v>76</v>
      </c>
      <c r="V385" t="s">
        <v>1036</v>
      </c>
      <c r="W385">
        <v>5</v>
      </c>
      <c r="X385">
        <v>0.15</v>
      </c>
      <c r="Y385">
        <v>108.95</v>
      </c>
    </row>
    <row r="386" spans="1:25" x14ac:dyDescent="0.3">
      <c r="A386" t="s">
        <v>1037</v>
      </c>
      <c r="B386" t="s">
        <v>100</v>
      </c>
      <c r="C386" t="s">
        <v>184</v>
      </c>
      <c r="D386" s="9">
        <v>34625</v>
      </c>
      <c r="E386">
        <v>2115.54</v>
      </c>
      <c r="F386">
        <v>2023</v>
      </c>
      <c r="G386" t="s">
        <v>48</v>
      </c>
      <c r="H386" t="s">
        <v>29</v>
      </c>
      <c r="I386" t="s">
        <v>30</v>
      </c>
      <c r="J386" t="s">
        <v>143</v>
      </c>
      <c r="K386" t="s">
        <v>32</v>
      </c>
      <c r="L386" t="s">
        <v>63</v>
      </c>
      <c r="M386" s="9">
        <v>44961</v>
      </c>
      <c r="N386" t="s">
        <v>1038</v>
      </c>
      <c r="O386" s="9">
        <v>44959</v>
      </c>
      <c r="P386" s="9">
        <v>44964</v>
      </c>
      <c r="Q386" t="s">
        <v>74</v>
      </c>
      <c r="R386" t="s">
        <v>309</v>
      </c>
      <c r="S386">
        <v>331444</v>
      </c>
      <c r="T386" t="s">
        <v>55</v>
      </c>
      <c r="U386" t="s">
        <v>56</v>
      </c>
      <c r="V386" t="s">
        <v>1039</v>
      </c>
      <c r="W386">
        <v>7</v>
      </c>
      <c r="X386">
        <v>0.1</v>
      </c>
      <c r="Y386">
        <v>501.79</v>
      </c>
    </row>
    <row r="387" spans="1:25" x14ac:dyDescent="0.3">
      <c r="A387" t="s">
        <v>1037</v>
      </c>
      <c r="B387" t="s">
        <v>100</v>
      </c>
      <c r="C387" t="s">
        <v>184</v>
      </c>
      <c r="D387" s="9">
        <v>34625</v>
      </c>
      <c r="E387">
        <v>466.5</v>
      </c>
      <c r="F387">
        <v>2023</v>
      </c>
      <c r="G387" t="s">
        <v>87</v>
      </c>
      <c r="H387" t="s">
        <v>29</v>
      </c>
      <c r="I387" t="s">
        <v>30</v>
      </c>
      <c r="J387" t="s">
        <v>143</v>
      </c>
      <c r="K387" t="s">
        <v>32</v>
      </c>
      <c r="L387" t="s">
        <v>63</v>
      </c>
      <c r="M387" s="9">
        <v>45029</v>
      </c>
      <c r="N387" t="s">
        <v>1040</v>
      </c>
      <c r="O387" s="9">
        <v>45028</v>
      </c>
      <c r="P387" s="9">
        <v>45029</v>
      </c>
      <c r="Q387" t="s">
        <v>35</v>
      </c>
      <c r="R387" t="s">
        <v>309</v>
      </c>
      <c r="S387">
        <v>478458</v>
      </c>
      <c r="T387" t="s">
        <v>55</v>
      </c>
      <c r="U387" t="s">
        <v>56</v>
      </c>
      <c r="V387" t="s">
        <v>1041</v>
      </c>
      <c r="W387">
        <v>1</v>
      </c>
      <c r="X387">
        <v>0</v>
      </c>
      <c r="Y387">
        <v>115.1</v>
      </c>
    </row>
    <row r="388" spans="1:25" x14ac:dyDescent="0.3">
      <c r="A388" t="s">
        <v>1037</v>
      </c>
      <c r="B388" t="s">
        <v>100</v>
      </c>
      <c r="C388" t="s">
        <v>184</v>
      </c>
      <c r="D388" s="9">
        <v>34625</v>
      </c>
      <c r="E388">
        <v>2407.44</v>
      </c>
      <c r="F388">
        <v>2023</v>
      </c>
      <c r="G388" t="s">
        <v>87</v>
      </c>
      <c r="H388" t="s">
        <v>29</v>
      </c>
      <c r="I388" t="s">
        <v>30</v>
      </c>
      <c r="J388" t="s">
        <v>143</v>
      </c>
      <c r="K388" t="s">
        <v>32</v>
      </c>
      <c r="L388" t="s">
        <v>63</v>
      </c>
      <c r="M388" s="9">
        <v>45036</v>
      </c>
      <c r="N388" t="s">
        <v>1042</v>
      </c>
      <c r="O388" s="9">
        <v>45036</v>
      </c>
      <c r="P388" s="9">
        <v>45039</v>
      </c>
      <c r="Q388" t="s">
        <v>35</v>
      </c>
      <c r="R388" t="s">
        <v>309</v>
      </c>
      <c r="S388">
        <v>974991</v>
      </c>
      <c r="T388" t="s">
        <v>55</v>
      </c>
      <c r="U388" t="s">
        <v>56</v>
      </c>
      <c r="V388" t="s">
        <v>1043</v>
      </c>
      <c r="W388">
        <v>6</v>
      </c>
      <c r="X388">
        <v>0</v>
      </c>
      <c r="Y388">
        <v>715.23</v>
      </c>
    </row>
    <row r="389" spans="1:25" x14ac:dyDescent="0.3">
      <c r="A389" t="s">
        <v>1037</v>
      </c>
      <c r="B389" t="s">
        <v>100</v>
      </c>
      <c r="C389" t="s">
        <v>184</v>
      </c>
      <c r="D389" s="9">
        <v>34625</v>
      </c>
      <c r="E389">
        <v>509.64</v>
      </c>
      <c r="F389">
        <v>2023</v>
      </c>
      <c r="G389" t="s">
        <v>48</v>
      </c>
      <c r="H389" t="s">
        <v>29</v>
      </c>
      <c r="I389" t="s">
        <v>43</v>
      </c>
      <c r="J389" t="s">
        <v>143</v>
      </c>
      <c r="K389" t="s">
        <v>32</v>
      </c>
      <c r="L389" t="s">
        <v>63</v>
      </c>
      <c r="M389" s="9">
        <v>45124</v>
      </c>
      <c r="N389" t="s">
        <v>1044</v>
      </c>
      <c r="O389" s="9">
        <v>45123</v>
      </c>
      <c r="P389" s="9">
        <v>45127</v>
      </c>
      <c r="Q389" t="s">
        <v>121</v>
      </c>
      <c r="R389" t="s">
        <v>309</v>
      </c>
      <c r="S389">
        <v>697717</v>
      </c>
      <c r="T389" t="s">
        <v>45</v>
      </c>
      <c r="U389" t="s">
        <v>46</v>
      </c>
      <c r="V389" t="s">
        <v>1045</v>
      </c>
      <c r="W389">
        <v>9</v>
      </c>
      <c r="X389">
        <v>0.15</v>
      </c>
      <c r="Y389">
        <v>60.8</v>
      </c>
    </row>
    <row r="390" spans="1:25" x14ac:dyDescent="0.3">
      <c r="A390" t="s">
        <v>1037</v>
      </c>
      <c r="B390" t="s">
        <v>100</v>
      </c>
      <c r="C390" t="s">
        <v>184</v>
      </c>
      <c r="D390" s="9">
        <v>34625</v>
      </c>
      <c r="E390">
        <v>1973.61</v>
      </c>
      <c r="F390">
        <v>2023</v>
      </c>
      <c r="G390" t="s">
        <v>87</v>
      </c>
      <c r="H390" t="s">
        <v>29</v>
      </c>
      <c r="I390" t="s">
        <v>49</v>
      </c>
      <c r="J390" t="s">
        <v>143</v>
      </c>
      <c r="K390" t="s">
        <v>32</v>
      </c>
      <c r="L390" t="s">
        <v>63</v>
      </c>
      <c r="M390" s="9">
        <v>45135</v>
      </c>
      <c r="N390" t="s">
        <v>1046</v>
      </c>
      <c r="O390" s="9">
        <v>45133</v>
      </c>
      <c r="P390" s="9">
        <v>45138</v>
      </c>
      <c r="Q390" t="s">
        <v>41</v>
      </c>
      <c r="R390" t="s">
        <v>309</v>
      </c>
      <c r="S390">
        <v>836677</v>
      </c>
      <c r="T390" t="s">
        <v>109</v>
      </c>
      <c r="U390" t="s">
        <v>110</v>
      </c>
      <c r="V390" t="s">
        <v>1047</v>
      </c>
      <c r="W390">
        <v>9</v>
      </c>
      <c r="X390">
        <v>0</v>
      </c>
      <c r="Y390">
        <v>552.38</v>
      </c>
    </row>
    <row r="391" spans="1:25" x14ac:dyDescent="0.3">
      <c r="A391" t="s">
        <v>1037</v>
      </c>
      <c r="B391" t="s">
        <v>100</v>
      </c>
      <c r="C391" t="s">
        <v>184</v>
      </c>
      <c r="D391" s="9">
        <v>34625</v>
      </c>
      <c r="E391">
        <v>1081.03</v>
      </c>
      <c r="F391">
        <v>2024</v>
      </c>
      <c r="G391" t="s">
        <v>87</v>
      </c>
      <c r="H391" t="s">
        <v>29</v>
      </c>
      <c r="I391" t="s">
        <v>49</v>
      </c>
      <c r="J391" t="s">
        <v>143</v>
      </c>
      <c r="K391" t="s">
        <v>32</v>
      </c>
      <c r="L391" t="s">
        <v>63</v>
      </c>
      <c r="M391" s="9">
        <v>45425</v>
      </c>
      <c r="N391" t="s">
        <v>1048</v>
      </c>
      <c r="O391" s="9">
        <v>45424</v>
      </c>
      <c r="P391" s="9">
        <v>45427</v>
      </c>
      <c r="Q391" t="s">
        <v>41</v>
      </c>
      <c r="R391" t="s">
        <v>309</v>
      </c>
      <c r="S391">
        <v>469438</v>
      </c>
      <c r="T391" t="s">
        <v>84</v>
      </c>
      <c r="U391" t="s">
        <v>85</v>
      </c>
      <c r="V391" t="s">
        <v>1049</v>
      </c>
      <c r="W391">
        <v>3</v>
      </c>
      <c r="X391">
        <v>0.1</v>
      </c>
      <c r="Y391">
        <v>184.28</v>
      </c>
    </row>
    <row r="392" spans="1:25" x14ac:dyDescent="0.3">
      <c r="A392" t="s">
        <v>1050</v>
      </c>
      <c r="B392" t="s">
        <v>210</v>
      </c>
      <c r="C392" t="s">
        <v>60</v>
      </c>
      <c r="D392" s="9">
        <v>28663</v>
      </c>
      <c r="E392">
        <v>1161.24</v>
      </c>
      <c r="F392">
        <v>2023</v>
      </c>
      <c r="G392" t="s">
        <v>28</v>
      </c>
      <c r="H392" t="s">
        <v>29</v>
      </c>
      <c r="I392" t="s">
        <v>92</v>
      </c>
      <c r="J392" t="s">
        <v>62</v>
      </c>
      <c r="K392" t="s">
        <v>32</v>
      </c>
      <c r="L392" t="s">
        <v>63</v>
      </c>
      <c r="M392" s="9">
        <v>45264</v>
      </c>
      <c r="N392" t="s">
        <v>1051</v>
      </c>
      <c r="O392" s="9">
        <v>45259</v>
      </c>
      <c r="P392" s="9">
        <v>45264</v>
      </c>
      <c r="Q392" t="s">
        <v>74</v>
      </c>
      <c r="R392" t="s">
        <v>386</v>
      </c>
      <c r="S392">
        <v>574379</v>
      </c>
      <c r="T392" t="s">
        <v>94</v>
      </c>
      <c r="U392" t="s">
        <v>95</v>
      </c>
      <c r="V392" t="s">
        <v>1052</v>
      </c>
      <c r="W392">
        <v>4</v>
      </c>
      <c r="X392">
        <v>0</v>
      </c>
      <c r="Y392">
        <v>188.72</v>
      </c>
    </row>
    <row r="393" spans="1:25" x14ac:dyDescent="0.3">
      <c r="A393" t="s">
        <v>1050</v>
      </c>
      <c r="B393" t="s">
        <v>210</v>
      </c>
      <c r="C393" t="s">
        <v>60</v>
      </c>
      <c r="D393" s="9">
        <v>28663</v>
      </c>
      <c r="E393">
        <v>442.64</v>
      </c>
      <c r="F393">
        <v>2024</v>
      </c>
      <c r="G393" t="s">
        <v>48</v>
      </c>
      <c r="H393" t="s">
        <v>29</v>
      </c>
      <c r="I393" t="s">
        <v>92</v>
      </c>
      <c r="J393" t="s">
        <v>62</v>
      </c>
      <c r="K393" t="s">
        <v>32</v>
      </c>
      <c r="L393" t="s">
        <v>63</v>
      </c>
      <c r="M393" s="9">
        <v>45308</v>
      </c>
      <c r="N393" t="s">
        <v>1053</v>
      </c>
      <c r="O393" s="9">
        <v>45307</v>
      </c>
      <c r="P393" s="9">
        <v>45309</v>
      </c>
      <c r="Q393" t="s">
        <v>74</v>
      </c>
      <c r="R393" t="s">
        <v>386</v>
      </c>
      <c r="S393">
        <v>332665</v>
      </c>
      <c r="T393" t="s">
        <v>127</v>
      </c>
      <c r="U393" t="s">
        <v>128</v>
      </c>
      <c r="V393" t="s">
        <v>1054</v>
      </c>
      <c r="W393">
        <v>1</v>
      </c>
      <c r="X393">
        <v>0.1</v>
      </c>
      <c r="Y393">
        <v>24.3</v>
      </c>
    </row>
    <row r="394" spans="1:25" x14ac:dyDescent="0.3">
      <c r="A394" t="s">
        <v>1050</v>
      </c>
      <c r="B394" t="s">
        <v>210</v>
      </c>
      <c r="C394" t="s">
        <v>60</v>
      </c>
      <c r="D394" s="9">
        <v>28663</v>
      </c>
      <c r="E394">
        <v>2075.2600000000002</v>
      </c>
      <c r="F394">
        <v>2024</v>
      </c>
      <c r="G394" t="s">
        <v>48</v>
      </c>
      <c r="H394" t="s">
        <v>29</v>
      </c>
      <c r="I394" t="s">
        <v>61</v>
      </c>
      <c r="J394" t="s">
        <v>62</v>
      </c>
      <c r="K394" t="s">
        <v>32</v>
      </c>
      <c r="L394" t="s">
        <v>63</v>
      </c>
      <c r="M394" s="9">
        <v>45350</v>
      </c>
      <c r="N394" t="s">
        <v>1055</v>
      </c>
      <c r="O394" s="9">
        <v>45349</v>
      </c>
      <c r="P394" s="9">
        <v>45354</v>
      </c>
      <c r="Q394" t="s">
        <v>35</v>
      </c>
      <c r="R394" t="s">
        <v>386</v>
      </c>
      <c r="S394">
        <v>582732</v>
      </c>
      <c r="T394" t="s">
        <v>204</v>
      </c>
      <c r="U394" t="s">
        <v>205</v>
      </c>
      <c r="V394" t="s">
        <v>1056</v>
      </c>
      <c r="W394">
        <v>5</v>
      </c>
      <c r="X394">
        <v>0.1</v>
      </c>
      <c r="Y394">
        <v>450.12</v>
      </c>
    </row>
    <row r="395" spans="1:25" x14ac:dyDescent="0.3">
      <c r="A395" t="s">
        <v>1050</v>
      </c>
      <c r="B395" t="s">
        <v>210</v>
      </c>
      <c r="C395" t="s">
        <v>60</v>
      </c>
      <c r="D395" s="9">
        <v>28663</v>
      </c>
      <c r="E395">
        <v>882.9</v>
      </c>
      <c r="F395">
        <v>2024</v>
      </c>
      <c r="G395" t="s">
        <v>48</v>
      </c>
      <c r="H395" t="s">
        <v>29</v>
      </c>
      <c r="I395" t="s">
        <v>43</v>
      </c>
      <c r="J395" t="s">
        <v>62</v>
      </c>
      <c r="K395" t="s">
        <v>32</v>
      </c>
      <c r="L395" t="s">
        <v>63</v>
      </c>
      <c r="M395" s="9">
        <v>45492</v>
      </c>
      <c r="N395" t="s">
        <v>1057</v>
      </c>
      <c r="O395" s="9">
        <v>45490</v>
      </c>
      <c r="P395" s="9">
        <v>45493</v>
      </c>
      <c r="Q395" t="s">
        <v>41</v>
      </c>
      <c r="R395" t="s">
        <v>386</v>
      </c>
      <c r="S395">
        <v>696707</v>
      </c>
      <c r="T395" t="s">
        <v>45</v>
      </c>
      <c r="U395" t="s">
        <v>46</v>
      </c>
      <c r="V395" t="s">
        <v>1058</v>
      </c>
      <c r="W395">
        <v>5</v>
      </c>
      <c r="X395">
        <v>0.1</v>
      </c>
      <c r="Y395">
        <v>110.32</v>
      </c>
    </row>
    <row r="396" spans="1:25" x14ac:dyDescent="0.3">
      <c r="A396" t="s">
        <v>1050</v>
      </c>
      <c r="B396" t="s">
        <v>210</v>
      </c>
      <c r="C396" t="s">
        <v>60</v>
      </c>
      <c r="D396" s="9">
        <v>28663</v>
      </c>
      <c r="E396">
        <v>2403.54</v>
      </c>
      <c r="F396">
        <v>2024</v>
      </c>
      <c r="G396" t="s">
        <v>87</v>
      </c>
      <c r="H396" t="s">
        <v>29</v>
      </c>
      <c r="I396" t="s">
        <v>61</v>
      </c>
      <c r="J396" t="s">
        <v>62</v>
      </c>
      <c r="K396" t="s">
        <v>32</v>
      </c>
      <c r="L396" t="s">
        <v>63</v>
      </c>
      <c r="M396" s="9">
        <v>45575</v>
      </c>
      <c r="N396" t="s">
        <v>1059</v>
      </c>
      <c r="O396" s="9">
        <v>45575</v>
      </c>
      <c r="P396" s="9">
        <v>45580</v>
      </c>
      <c r="Q396" t="s">
        <v>74</v>
      </c>
      <c r="R396" t="s">
        <v>386</v>
      </c>
      <c r="S396">
        <v>139186</v>
      </c>
      <c r="T396" t="s">
        <v>312</v>
      </c>
      <c r="U396" t="s">
        <v>313</v>
      </c>
      <c r="V396" t="s">
        <v>1060</v>
      </c>
      <c r="W396">
        <v>6</v>
      </c>
      <c r="X396">
        <v>0</v>
      </c>
      <c r="Y396">
        <v>472.25</v>
      </c>
    </row>
    <row r="397" spans="1:25" x14ac:dyDescent="0.3">
      <c r="A397" t="s">
        <v>1050</v>
      </c>
      <c r="B397" t="s">
        <v>210</v>
      </c>
      <c r="C397" t="s">
        <v>60</v>
      </c>
      <c r="D397" s="9">
        <v>28663</v>
      </c>
      <c r="E397">
        <v>631.14</v>
      </c>
      <c r="F397">
        <v>2025</v>
      </c>
      <c r="G397" t="s">
        <v>48</v>
      </c>
      <c r="H397" t="s">
        <v>29</v>
      </c>
      <c r="I397" t="s">
        <v>49</v>
      </c>
      <c r="J397" t="s">
        <v>62</v>
      </c>
      <c r="K397" t="s">
        <v>32</v>
      </c>
      <c r="L397" t="s">
        <v>63</v>
      </c>
      <c r="M397" s="9">
        <v>45712</v>
      </c>
      <c r="N397" t="s">
        <v>1061</v>
      </c>
      <c r="O397" s="9">
        <v>45709</v>
      </c>
      <c r="P397" s="9">
        <v>45713</v>
      </c>
      <c r="Q397" t="s">
        <v>121</v>
      </c>
      <c r="R397" t="s">
        <v>386</v>
      </c>
      <c r="S397">
        <v>883997</v>
      </c>
      <c r="T397" t="s">
        <v>51</v>
      </c>
      <c r="U397" t="s">
        <v>52</v>
      </c>
      <c r="V397" t="s">
        <v>448</v>
      </c>
      <c r="W397">
        <v>2</v>
      </c>
      <c r="X397">
        <v>0.2</v>
      </c>
      <c r="Y397">
        <v>94.87</v>
      </c>
    </row>
    <row r="398" spans="1:25" x14ac:dyDescent="0.3">
      <c r="A398" t="s">
        <v>1050</v>
      </c>
      <c r="B398" t="s">
        <v>210</v>
      </c>
      <c r="C398" t="s">
        <v>60</v>
      </c>
      <c r="D398" s="9">
        <v>28663</v>
      </c>
      <c r="E398">
        <v>289.67</v>
      </c>
      <c r="F398">
        <v>2025</v>
      </c>
      <c r="G398" t="s">
        <v>48</v>
      </c>
      <c r="H398" t="s">
        <v>29</v>
      </c>
      <c r="I398" t="s">
        <v>49</v>
      </c>
      <c r="J398" t="s">
        <v>62</v>
      </c>
      <c r="K398" t="s">
        <v>32</v>
      </c>
      <c r="L398" t="s">
        <v>63</v>
      </c>
      <c r="M398" s="9">
        <v>45796</v>
      </c>
      <c r="N398" t="s">
        <v>1062</v>
      </c>
      <c r="O398" s="9">
        <v>45792</v>
      </c>
      <c r="P398" s="9">
        <v>45797</v>
      </c>
      <c r="Q398" t="s">
        <v>74</v>
      </c>
      <c r="R398" t="s">
        <v>386</v>
      </c>
      <c r="S398">
        <v>626806</v>
      </c>
      <c r="T398" t="s">
        <v>51</v>
      </c>
      <c r="U398" t="s">
        <v>52</v>
      </c>
      <c r="V398" t="s">
        <v>1063</v>
      </c>
      <c r="W398">
        <v>7</v>
      </c>
      <c r="X398">
        <v>0.1</v>
      </c>
      <c r="Y398">
        <v>18.059999999999999</v>
      </c>
    </row>
    <row r="399" spans="1:25" x14ac:dyDescent="0.3">
      <c r="A399" t="s">
        <v>1064</v>
      </c>
      <c r="B399" t="s">
        <v>617</v>
      </c>
      <c r="C399" t="s">
        <v>176</v>
      </c>
      <c r="D399" s="9">
        <v>30335</v>
      </c>
      <c r="E399">
        <v>1058.02</v>
      </c>
      <c r="F399">
        <v>2023</v>
      </c>
      <c r="G399" t="s">
        <v>28</v>
      </c>
      <c r="H399" t="s">
        <v>163</v>
      </c>
      <c r="I399" t="s">
        <v>92</v>
      </c>
      <c r="J399" t="s">
        <v>143</v>
      </c>
      <c r="K399" t="s">
        <v>32</v>
      </c>
      <c r="L399" t="s">
        <v>33</v>
      </c>
      <c r="M399" s="9">
        <v>44978</v>
      </c>
      <c r="N399" t="s">
        <v>1065</v>
      </c>
      <c r="O399" s="9">
        <v>44978</v>
      </c>
      <c r="P399" s="9">
        <v>44981</v>
      </c>
      <c r="Q399" t="s">
        <v>35</v>
      </c>
      <c r="R399" t="s">
        <v>421</v>
      </c>
      <c r="S399">
        <v>674779</v>
      </c>
      <c r="T399" t="s">
        <v>187</v>
      </c>
      <c r="U399" t="s">
        <v>188</v>
      </c>
      <c r="V399" t="s">
        <v>1066</v>
      </c>
      <c r="W399">
        <v>7</v>
      </c>
      <c r="X399">
        <v>0.05</v>
      </c>
      <c r="Y399">
        <v>99.88</v>
      </c>
    </row>
    <row r="400" spans="1:25" x14ac:dyDescent="0.3">
      <c r="A400" t="s">
        <v>1064</v>
      </c>
      <c r="B400" t="s">
        <v>617</v>
      </c>
      <c r="C400" t="s">
        <v>176</v>
      </c>
      <c r="D400" s="9">
        <v>30335</v>
      </c>
      <c r="E400">
        <v>1460.93</v>
      </c>
      <c r="F400">
        <v>2023</v>
      </c>
      <c r="G400" t="s">
        <v>87</v>
      </c>
      <c r="H400" t="s">
        <v>163</v>
      </c>
      <c r="I400" t="s">
        <v>92</v>
      </c>
      <c r="J400" t="s">
        <v>143</v>
      </c>
      <c r="K400" t="s">
        <v>32</v>
      </c>
      <c r="L400" t="s">
        <v>33</v>
      </c>
      <c r="M400" s="9">
        <v>45084</v>
      </c>
      <c r="N400" t="s">
        <v>1067</v>
      </c>
      <c r="O400" s="9">
        <v>45083</v>
      </c>
      <c r="P400" s="9">
        <v>45085</v>
      </c>
      <c r="Q400" t="s">
        <v>121</v>
      </c>
      <c r="R400" t="s">
        <v>421</v>
      </c>
      <c r="S400">
        <v>611559</v>
      </c>
      <c r="T400" t="s">
        <v>94</v>
      </c>
      <c r="U400" t="s">
        <v>95</v>
      </c>
      <c r="V400" t="s">
        <v>1068</v>
      </c>
      <c r="W400">
        <v>7</v>
      </c>
      <c r="X400">
        <v>0.2</v>
      </c>
      <c r="Y400">
        <v>378.91</v>
      </c>
    </row>
    <row r="401" spans="1:25" x14ac:dyDescent="0.3">
      <c r="A401" t="s">
        <v>1064</v>
      </c>
      <c r="B401" t="s">
        <v>617</v>
      </c>
      <c r="C401" t="s">
        <v>176</v>
      </c>
      <c r="D401" s="9">
        <v>30335</v>
      </c>
      <c r="E401">
        <v>4487.3999999999996</v>
      </c>
      <c r="F401">
        <v>2024</v>
      </c>
      <c r="G401" t="s">
        <v>28</v>
      </c>
      <c r="H401" t="s">
        <v>163</v>
      </c>
      <c r="I401" t="s">
        <v>92</v>
      </c>
      <c r="J401" t="s">
        <v>143</v>
      </c>
      <c r="K401" t="s">
        <v>32</v>
      </c>
      <c r="L401" t="s">
        <v>33</v>
      </c>
      <c r="M401" s="9">
        <v>45330</v>
      </c>
      <c r="N401" t="s">
        <v>1069</v>
      </c>
      <c r="O401" s="9">
        <v>45329</v>
      </c>
      <c r="P401" s="9">
        <v>45330</v>
      </c>
      <c r="Q401" t="s">
        <v>74</v>
      </c>
      <c r="R401" t="s">
        <v>421</v>
      </c>
      <c r="S401">
        <v>817999</v>
      </c>
      <c r="T401" t="s">
        <v>147</v>
      </c>
      <c r="U401" t="s">
        <v>148</v>
      </c>
      <c r="V401" t="s">
        <v>1070</v>
      </c>
      <c r="W401">
        <v>10</v>
      </c>
      <c r="X401">
        <v>0.1</v>
      </c>
      <c r="Y401">
        <v>555.87</v>
      </c>
    </row>
    <row r="402" spans="1:25" x14ac:dyDescent="0.3">
      <c r="A402" t="s">
        <v>1064</v>
      </c>
      <c r="B402" t="s">
        <v>617</v>
      </c>
      <c r="C402" t="s">
        <v>176</v>
      </c>
      <c r="D402" s="9">
        <v>30335</v>
      </c>
      <c r="E402">
        <v>1563.1</v>
      </c>
      <c r="F402">
        <v>2024</v>
      </c>
      <c r="G402" t="s">
        <v>28</v>
      </c>
      <c r="H402" t="s">
        <v>163</v>
      </c>
      <c r="I402" t="s">
        <v>30</v>
      </c>
      <c r="J402" t="s">
        <v>143</v>
      </c>
      <c r="K402" t="s">
        <v>32</v>
      </c>
      <c r="L402" t="s">
        <v>33</v>
      </c>
      <c r="M402" s="9">
        <v>45616</v>
      </c>
      <c r="N402" t="s">
        <v>1071</v>
      </c>
      <c r="O402" s="9">
        <v>45616</v>
      </c>
      <c r="P402" s="9">
        <v>45619</v>
      </c>
      <c r="Q402" t="s">
        <v>121</v>
      </c>
      <c r="R402" t="s">
        <v>421</v>
      </c>
      <c r="S402">
        <v>466704</v>
      </c>
      <c r="T402" t="s">
        <v>75</v>
      </c>
      <c r="U402" t="s">
        <v>76</v>
      </c>
      <c r="V402" t="s">
        <v>1072</v>
      </c>
      <c r="W402">
        <v>7</v>
      </c>
      <c r="X402">
        <v>0</v>
      </c>
      <c r="Y402">
        <v>167.48</v>
      </c>
    </row>
    <row r="403" spans="1:25" x14ac:dyDescent="0.3">
      <c r="A403" t="s">
        <v>1064</v>
      </c>
      <c r="B403" t="s">
        <v>617</v>
      </c>
      <c r="C403" t="s">
        <v>176</v>
      </c>
      <c r="D403" s="9">
        <v>30335</v>
      </c>
      <c r="E403">
        <v>555.41</v>
      </c>
      <c r="F403">
        <v>2025</v>
      </c>
      <c r="G403" t="s">
        <v>87</v>
      </c>
      <c r="H403" t="s">
        <v>163</v>
      </c>
      <c r="I403" t="s">
        <v>30</v>
      </c>
      <c r="J403" t="s">
        <v>143</v>
      </c>
      <c r="K403" t="s">
        <v>32</v>
      </c>
      <c r="L403" t="s">
        <v>33</v>
      </c>
      <c r="M403" s="9">
        <v>45677</v>
      </c>
      <c r="N403" t="s">
        <v>1073</v>
      </c>
      <c r="O403" s="9">
        <v>45676</v>
      </c>
      <c r="P403" s="9">
        <v>45679</v>
      </c>
      <c r="Q403" t="s">
        <v>35</v>
      </c>
      <c r="R403" t="s">
        <v>421</v>
      </c>
      <c r="S403">
        <v>217830</v>
      </c>
      <c r="T403" t="s">
        <v>37</v>
      </c>
      <c r="U403" t="s">
        <v>38</v>
      </c>
      <c r="V403" t="s">
        <v>1074</v>
      </c>
      <c r="W403">
        <v>3</v>
      </c>
      <c r="X403">
        <v>0.2</v>
      </c>
      <c r="Y403">
        <v>66.680000000000007</v>
      </c>
    </row>
    <row r="404" spans="1:25" x14ac:dyDescent="0.3">
      <c r="A404" t="s">
        <v>1075</v>
      </c>
      <c r="B404" t="s">
        <v>617</v>
      </c>
      <c r="C404" t="s">
        <v>271</v>
      </c>
      <c r="D404" s="9">
        <v>29954</v>
      </c>
      <c r="E404">
        <v>316.27</v>
      </c>
      <c r="F404">
        <v>2023</v>
      </c>
      <c r="G404" t="s">
        <v>87</v>
      </c>
      <c r="H404" t="s">
        <v>29</v>
      </c>
      <c r="I404" t="s">
        <v>43</v>
      </c>
      <c r="J404" t="s">
        <v>31</v>
      </c>
      <c r="K404" t="s">
        <v>32</v>
      </c>
      <c r="L404" t="s">
        <v>63</v>
      </c>
      <c r="M404" s="9">
        <v>45080</v>
      </c>
      <c r="N404" t="s">
        <v>1076</v>
      </c>
      <c r="O404" s="9">
        <v>45078</v>
      </c>
      <c r="P404" s="9">
        <v>45080</v>
      </c>
      <c r="Q404" t="s">
        <v>121</v>
      </c>
      <c r="R404" t="s">
        <v>261</v>
      </c>
      <c r="S404">
        <v>313701</v>
      </c>
      <c r="T404" t="s">
        <v>45</v>
      </c>
      <c r="U404" t="s">
        <v>46</v>
      </c>
      <c r="V404" t="s">
        <v>1077</v>
      </c>
      <c r="W404">
        <v>2</v>
      </c>
      <c r="X404">
        <v>0.05</v>
      </c>
      <c r="Y404">
        <v>17.97</v>
      </c>
    </row>
    <row r="405" spans="1:25" x14ac:dyDescent="0.3">
      <c r="A405" t="s">
        <v>1075</v>
      </c>
      <c r="B405" t="s">
        <v>617</v>
      </c>
      <c r="C405" t="s">
        <v>271</v>
      </c>
      <c r="D405" s="9">
        <v>29954</v>
      </c>
      <c r="E405">
        <v>1275.3900000000001</v>
      </c>
      <c r="F405">
        <v>2023</v>
      </c>
      <c r="G405" t="s">
        <v>87</v>
      </c>
      <c r="H405" t="s">
        <v>29</v>
      </c>
      <c r="I405" t="s">
        <v>30</v>
      </c>
      <c r="J405" t="s">
        <v>31</v>
      </c>
      <c r="K405" t="s">
        <v>32</v>
      </c>
      <c r="L405" t="s">
        <v>63</v>
      </c>
      <c r="M405" s="9">
        <v>45177</v>
      </c>
      <c r="N405" t="s">
        <v>1078</v>
      </c>
      <c r="O405" s="9">
        <v>45175</v>
      </c>
      <c r="P405" s="9">
        <v>45177</v>
      </c>
      <c r="Q405" t="s">
        <v>35</v>
      </c>
      <c r="R405" t="s">
        <v>261</v>
      </c>
      <c r="S405">
        <v>494900</v>
      </c>
      <c r="T405" t="s">
        <v>55</v>
      </c>
      <c r="U405" t="s">
        <v>56</v>
      </c>
      <c r="V405" t="s">
        <v>1079</v>
      </c>
      <c r="W405">
        <v>5</v>
      </c>
      <c r="X405">
        <v>0.1</v>
      </c>
      <c r="Y405">
        <v>343.05</v>
      </c>
    </row>
    <row r="406" spans="1:25" x14ac:dyDescent="0.3">
      <c r="A406" t="s">
        <v>1075</v>
      </c>
      <c r="B406" t="s">
        <v>617</v>
      </c>
      <c r="C406" t="s">
        <v>271</v>
      </c>
      <c r="D406" s="9">
        <v>29954</v>
      </c>
      <c r="E406">
        <v>142.62</v>
      </c>
      <c r="F406">
        <v>2024</v>
      </c>
      <c r="G406" t="s">
        <v>48</v>
      </c>
      <c r="H406" t="s">
        <v>29</v>
      </c>
      <c r="I406" t="s">
        <v>30</v>
      </c>
      <c r="J406" t="s">
        <v>31</v>
      </c>
      <c r="K406" t="s">
        <v>32</v>
      </c>
      <c r="L406" t="s">
        <v>63</v>
      </c>
      <c r="M406" s="9">
        <v>45564</v>
      </c>
      <c r="N406" t="s">
        <v>1080</v>
      </c>
      <c r="O406" s="9">
        <v>45562</v>
      </c>
      <c r="P406" s="9">
        <v>45567</v>
      </c>
      <c r="Q406" t="s">
        <v>41</v>
      </c>
      <c r="R406" t="s">
        <v>261</v>
      </c>
      <c r="S406">
        <v>786563</v>
      </c>
      <c r="T406" t="s">
        <v>55</v>
      </c>
      <c r="U406" t="s">
        <v>56</v>
      </c>
      <c r="V406" t="s">
        <v>1081</v>
      </c>
      <c r="W406">
        <v>1</v>
      </c>
      <c r="X406">
        <v>0</v>
      </c>
      <c r="Y406">
        <v>19.28</v>
      </c>
    </row>
    <row r="407" spans="1:25" x14ac:dyDescent="0.3">
      <c r="A407" t="s">
        <v>1075</v>
      </c>
      <c r="B407" t="s">
        <v>617</v>
      </c>
      <c r="C407" t="s">
        <v>271</v>
      </c>
      <c r="D407" s="9">
        <v>29954</v>
      </c>
      <c r="E407">
        <v>1437.48</v>
      </c>
      <c r="F407">
        <v>2025</v>
      </c>
      <c r="G407" t="s">
        <v>28</v>
      </c>
      <c r="H407" t="s">
        <v>29</v>
      </c>
      <c r="I407" t="s">
        <v>78</v>
      </c>
      <c r="J407" t="s">
        <v>31</v>
      </c>
      <c r="K407" t="s">
        <v>32</v>
      </c>
      <c r="L407" t="s">
        <v>63</v>
      </c>
      <c r="M407" s="9">
        <v>45779</v>
      </c>
      <c r="N407" t="s">
        <v>1082</v>
      </c>
      <c r="O407" s="9">
        <v>45779</v>
      </c>
      <c r="P407" s="9">
        <v>45780</v>
      </c>
      <c r="Q407" t="s">
        <v>41</v>
      </c>
      <c r="R407" t="s">
        <v>261</v>
      </c>
      <c r="S407">
        <v>342397</v>
      </c>
      <c r="T407" t="s">
        <v>135</v>
      </c>
      <c r="U407" t="s">
        <v>136</v>
      </c>
      <c r="V407" t="s">
        <v>1083</v>
      </c>
      <c r="W407">
        <v>5</v>
      </c>
      <c r="X407">
        <v>0.15</v>
      </c>
      <c r="Y407">
        <v>227.22</v>
      </c>
    </row>
    <row r="408" spans="1:25" x14ac:dyDescent="0.3">
      <c r="A408" t="s">
        <v>1075</v>
      </c>
      <c r="B408" t="s">
        <v>617</v>
      </c>
      <c r="C408" t="s">
        <v>271</v>
      </c>
      <c r="D408" s="9">
        <v>29954</v>
      </c>
      <c r="E408">
        <v>3139.56</v>
      </c>
      <c r="F408">
        <v>2025</v>
      </c>
      <c r="G408" t="s">
        <v>28</v>
      </c>
      <c r="H408" t="s">
        <v>29</v>
      </c>
      <c r="I408" t="s">
        <v>92</v>
      </c>
      <c r="J408" t="s">
        <v>31</v>
      </c>
      <c r="K408" t="s">
        <v>32</v>
      </c>
      <c r="L408" t="s">
        <v>63</v>
      </c>
      <c r="M408" s="9">
        <v>45818</v>
      </c>
      <c r="N408" t="s">
        <v>1084</v>
      </c>
      <c r="O408" s="9">
        <v>45816</v>
      </c>
      <c r="P408" s="9">
        <v>45818</v>
      </c>
      <c r="Q408" t="s">
        <v>35</v>
      </c>
      <c r="R408" t="s">
        <v>261</v>
      </c>
      <c r="S408">
        <v>141683</v>
      </c>
      <c r="T408" t="s">
        <v>187</v>
      </c>
      <c r="U408" t="s">
        <v>188</v>
      </c>
      <c r="V408" t="s">
        <v>1085</v>
      </c>
      <c r="W408">
        <v>8</v>
      </c>
      <c r="X408">
        <v>0.1</v>
      </c>
      <c r="Y408">
        <v>239.88</v>
      </c>
    </row>
    <row r="409" spans="1:25" x14ac:dyDescent="0.3">
      <c r="A409" t="s">
        <v>1086</v>
      </c>
      <c r="B409" t="s">
        <v>521</v>
      </c>
      <c r="C409" t="s">
        <v>327</v>
      </c>
      <c r="D409" s="9">
        <v>32720</v>
      </c>
      <c r="E409">
        <v>73.489999999999995</v>
      </c>
      <c r="F409">
        <v>2023</v>
      </c>
      <c r="G409" t="s">
        <v>87</v>
      </c>
      <c r="H409" t="s">
        <v>29</v>
      </c>
      <c r="I409" t="s">
        <v>43</v>
      </c>
      <c r="J409" t="s">
        <v>102</v>
      </c>
      <c r="K409" t="s">
        <v>32</v>
      </c>
      <c r="L409" t="s">
        <v>144</v>
      </c>
      <c r="M409" s="9">
        <v>45240</v>
      </c>
      <c r="N409" t="s">
        <v>1087</v>
      </c>
      <c r="O409" s="9">
        <v>45239</v>
      </c>
      <c r="P409" s="9">
        <v>45242</v>
      </c>
      <c r="Q409" t="s">
        <v>74</v>
      </c>
      <c r="R409" t="s">
        <v>165</v>
      </c>
      <c r="S409">
        <v>951331</v>
      </c>
      <c r="T409" t="s">
        <v>153</v>
      </c>
      <c r="U409" t="s">
        <v>154</v>
      </c>
      <c r="V409" t="s">
        <v>1088</v>
      </c>
      <c r="W409">
        <v>3</v>
      </c>
      <c r="X409">
        <v>0.15</v>
      </c>
      <c r="Y409">
        <v>11.43</v>
      </c>
    </row>
    <row r="410" spans="1:25" x14ac:dyDescent="0.3">
      <c r="A410" t="s">
        <v>1086</v>
      </c>
      <c r="B410" t="s">
        <v>521</v>
      </c>
      <c r="C410" t="s">
        <v>327</v>
      </c>
      <c r="D410" s="9">
        <v>32720</v>
      </c>
      <c r="E410">
        <v>2505.38</v>
      </c>
      <c r="F410">
        <v>2024</v>
      </c>
      <c r="G410" t="s">
        <v>48</v>
      </c>
      <c r="H410" t="s">
        <v>29</v>
      </c>
      <c r="I410" t="s">
        <v>78</v>
      </c>
      <c r="J410" t="s">
        <v>102</v>
      </c>
      <c r="K410" t="s">
        <v>32</v>
      </c>
      <c r="L410" t="s">
        <v>144</v>
      </c>
      <c r="M410" s="9">
        <v>45471</v>
      </c>
      <c r="N410" t="s">
        <v>1089</v>
      </c>
      <c r="O410" s="9">
        <v>45469</v>
      </c>
      <c r="P410" s="9">
        <v>45474</v>
      </c>
      <c r="Q410" t="s">
        <v>121</v>
      </c>
      <c r="R410" t="s">
        <v>165</v>
      </c>
      <c r="S410">
        <v>458388</v>
      </c>
      <c r="T410" t="s">
        <v>117</v>
      </c>
      <c r="U410" t="s">
        <v>118</v>
      </c>
      <c r="V410" t="s">
        <v>1090</v>
      </c>
      <c r="W410">
        <v>7</v>
      </c>
      <c r="X410">
        <v>0.2</v>
      </c>
      <c r="Y410">
        <v>869.64</v>
      </c>
    </row>
    <row r="411" spans="1:25" x14ac:dyDescent="0.3">
      <c r="A411" t="s">
        <v>1091</v>
      </c>
      <c r="B411" t="s">
        <v>270</v>
      </c>
      <c r="C411" t="s">
        <v>348</v>
      </c>
      <c r="D411" s="9">
        <v>36616</v>
      </c>
      <c r="E411">
        <v>793.15</v>
      </c>
      <c r="F411">
        <v>2023</v>
      </c>
      <c r="G411" t="s">
        <v>28</v>
      </c>
      <c r="H411" t="s">
        <v>29</v>
      </c>
      <c r="I411" t="s">
        <v>49</v>
      </c>
      <c r="J411" t="s">
        <v>227</v>
      </c>
      <c r="K411" t="s">
        <v>32</v>
      </c>
      <c r="L411" t="s">
        <v>144</v>
      </c>
      <c r="M411" s="9">
        <v>45018</v>
      </c>
      <c r="N411" t="s">
        <v>1092</v>
      </c>
      <c r="O411" s="9">
        <v>45016</v>
      </c>
      <c r="P411" s="9">
        <v>45019</v>
      </c>
      <c r="Q411" t="s">
        <v>121</v>
      </c>
      <c r="R411" t="s">
        <v>229</v>
      </c>
      <c r="S411">
        <v>316800</v>
      </c>
      <c r="T411" t="s">
        <v>51</v>
      </c>
      <c r="U411" t="s">
        <v>52</v>
      </c>
      <c r="V411" t="s">
        <v>1093</v>
      </c>
      <c r="W411">
        <v>4</v>
      </c>
      <c r="X411">
        <v>0.1</v>
      </c>
      <c r="Y411">
        <v>76</v>
      </c>
    </row>
    <row r="412" spans="1:25" x14ac:dyDescent="0.3">
      <c r="A412" t="s">
        <v>1091</v>
      </c>
      <c r="B412" t="s">
        <v>270</v>
      </c>
      <c r="C412" t="s">
        <v>348</v>
      </c>
      <c r="D412" s="9">
        <v>36616</v>
      </c>
      <c r="E412">
        <v>3135.06</v>
      </c>
      <c r="F412">
        <v>2023</v>
      </c>
      <c r="G412" t="s">
        <v>28</v>
      </c>
      <c r="H412" t="s">
        <v>29</v>
      </c>
      <c r="I412" t="s">
        <v>49</v>
      </c>
      <c r="J412" t="s">
        <v>227</v>
      </c>
      <c r="K412" t="s">
        <v>32</v>
      </c>
      <c r="L412" t="s">
        <v>144</v>
      </c>
      <c r="M412" s="9">
        <v>45068</v>
      </c>
      <c r="N412" t="s">
        <v>1094</v>
      </c>
      <c r="O412" s="9">
        <v>45067</v>
      </c>
      <c r="P412" s="9">
        <v>45070</v>
      </c>
      <c r="Q412" t="s">
        <v>121</v>
      </c>
      <c r="R412" t="s">
        <v>229</v>
      </c>
      <c r="S412">
        <v>788108</v>
      </c>
      <c r="T412" t="s">
        <v>109</v>
      </c>
      <c r="U412" t="s">
        <v>110</v>
      </c>
      <c r="V412" t="s">
        <v>1095</v>
      </c>
      <c r="W412">
        <v>9</v>
      </c>
      <c r="X412">
        <v>0</v>
      </c>
      <c r="Y412">
        <v>968.03</v>
      </c>
    </row>
    <row r="413" spans="1:25" x14ac:dyDescent="0.3">
      <c r="A413" t="s">
        <v>1091</v>
      </c>
      <c r="B413" t="s">
        <v>270</v>
      </c>
      <c r="C413" t="s">
        <v>348</v>
      </c>
      <c r="D413" s="9">
        <v>36616</v>
      </c>
      <c r="E413">
        <v>488.78</v>
      </c>
      <c r="F413">
        <v>2024</v>
      </c>
      <c r="G413" t="s">
        <v>87</v>
      </c>
      <c r="H413" t="s">
        <v>29</v>
      </c>
      <c r="I413" t="s">
        <v>30</v>
      </c>
      <c r="J413" t="s">
        <v>227</v>
      </c>
      <c r="K413" t="s">
        <v>32</v>
      </c>
      <c r="L413" t="s">
        <v>144</v>
      </c>
      <c r="M413" s="9">
        <v>45319</v>
      </c>
      <c r="N413" t="s">
        <v>1096</v>
      </c>
      <c r="O413" s="9">
        <v>45318</v>
      </c>
      <c r="P413" s="9">
        <v>45321</v>
      </c>
      <c r="Q413" t="s">
        <v>35</v>
      </c>
      <c r="R413" t="s">
        <v>229</v>
      </c>
      <c r="S413">
        <v>902616</v>
      </c>
      <c r="T413" t="s">
        <v>75</v>
      </c>
      <c r="U413" t="s">
        <v>76</v>
      </c>
      <c r="V413" t="s">
        <v>1097</v>
      </c>
      <c r="W413">
        <v>2</v>
      </c>
      <c r="X413">
        <v>0.15</v>
      </c>
      <c r="Y413">
        <v>41.8</v>
      </c>
    </row>
    <row r="414" spans="1:25" x14ac:dyDescent="0.3">
      <c r="A414" t="s">
        <v>1091</v>
      </c>
      <c r="B414" t="s">
        <v>270</v>
      </c>
      <c r="C414" t="s">
        <v>348</v>
      </c>
      <c r="D414" s="9">
        <v>36616</v>
      </c>
      <c r="E414">
        <v>930.56</v>
      </c>
      <c r="F414">
        <v>2024</v>
      </c>
      <c r="G414" t="s">
        <v>48</v>
      </c>
      <c r="H414" t="s">
        <v>29</v>
      </c>
      <c r="I414" t="s">
        <v>43</v>
      </c>
      <c r="J414" t="s">
        <v>227</v>
      </c>
      <c r="K414" t="s">
        <v>32</v>
      </c>
      <c r="L414" t="s">
        <v>144</v>
      </c>
      <c r="M414" s="9">
        <v>45461</v>
      </c>
      <c r="N414" t="s">
        <v>1098</v>
      </c>
      <c r="O414" s="9">
        <v>45460</v>
      </c>
      <c r="P414" s="9">
        <v>45463</v>
      </c>
      <c r="Q414" t="s">
        <v>35</v>
      </c>
      <c r="R414" t="s">
        <v>229</v>
      </c>
      <c r="S414">
        <v>237935</v>
      </c>
      <c r="T414" t="s">
        <v>153</v>
      </c>
      <c r="U414" t="s">
        <v>154</v>
      </c>
      <c r="V414" t="s">
        <v>1099</v>
      </c>
      <c r="W414">
        <v>5</v>
      </c>
      <c r="X414">
        <v>0.2</v>
      </c>
      <c r="Y414">
        <v>296.14</v>
      </c>
    </row>
    <row r="415" spans="1:25" x14ac:dyDescent="0.3">
      <c r="A415" t="s">
        <v>1091</v>
      </c>
      <c r="B415" t="s">
        <v>270</v>
      </c>
      <c r="C415" t="s">
        <v>348</v>
      </c>
      <c r="D415" s="9">
        <v>36616</v>
      </c>
      <c r="E415">
        <v>2845.17</v>
      </c>
      <c r="F415">
        <v>2024</v>
      </c>
      <c r="G415" t="s">
        <v>48</v>
      </c>
      <c r="H415" t="s">
        <v>29</v>
      </c>
      <c r="I415" t="s">
        <v>61</v>
      </c>
      <c r="J415" t="s">
        <v>227</v>
      </c>
      <c r="K415" t="s">
        <v>32</v>
      </c>
      <c r="L415" t="s">
        <v>144</v>
      </c>
      <c r="M415" s="9">
        <v>45601</v>
      </c>
      <c r="N415" t="s">
        <v>1100</v>
      </c>
      <c r="O415" s="9">
        <v>45599</v>
      </c>
      <c r="P415" s="9">
        <v>45601</v>
      </c>
      <c r="Q415" t="s">
        <v>121</v>
      </c>
      <c r="R415" t="s">
        <v>229</v>
      </c>
      <c r="S415">
        <v>820767</v>
      </c>
      <c r="T415" t="s">
        <v>312</v>
      </c>
      <c r="U415" t="s">
        <v>313</v>
      </c>
      <c r="V415" t="s">
        <v>1101</v>
      </c>
      <c r="W415">
        <v>10</v>
      </c>
      <c r="X415">
        <v>0.1</v>
      </c>
      <c r="Y415">
        <v>626.26</v>
      </c>
    </row>
    <row r="416" spans="1:25" x14ac:dyDescent="0.3">
      <c r="A416" t="s">
        <v>1091</v>
      </c>
      <c r="B416" t="s">
        <v>270</v>
      </c>
      <c r="C416" t="s">
        <v>348</v>
      </c>
      <c r="D416" s="9">
        <v>36616</v>
      </c>
      <c r="E416">
        <v>539.9</v>
      </c>
      <c r="F416">
        <v>2025</v>
      </c>
      <c r="G416" t="s">
        <v>28</v>
      </c>
      <c r="H416" t="s">
        <v>29</v>
      </c>
      <c r="I416" t="s">
        <v>78</v>
      </c>
      <c r="J416" t="s">
        <v>227</v>
      </c>
      <c r="K416" t="s">
        <v>32</v>
      </c>
      <c r="L416" t="s">
        <v>144</v>
      </c>
      <c r="M416" s="9">
        <v>45675</v>
      </c>
      <c r="N416" t="s">
        <v>1102</v>
      </c>
      <c r="O416" s="9">
        <v>45674</v>
      </c>
      <c r="P416" s="9">
        <v>45677</v>
      </c>
      <c r="Q416" t="s">
        <v>41</v>
      </c>
      <c r="R416" t="s">
        <v>229</v>
      </c>
      <c r="S416">
        <v>596864</v>
      </c>
      <c r="T416" t="s">
        <v>117</v>
      </c>
      <c r="U416" t="s">
        <v>118</v>
      </c>
      <c r="V416" t="s">
        <v>1103</v>
      </c>
      <c r="W416">
        <v>8</v>
      </c>
      <c r="X416">
        <v>0.2</v>
      </c>
      <c r="Y416">
        <v>124.94</v>
      </c>
    </row>
    <row r="417" spans="1:25" x14ac:dyDescent="0.3">
      <c r="A417" t="s">
        <v>1104</v>
      </c>
      <c r="B417" t="s">
        <v>526</v>
      </c>
      <c r="C417" t="s">
        <v>618</v>
      </c>
      <c r="D417" s="9">
        <v>34812</v>
      </c>
      <c r="E417">
        <v>441</v>
      </c>
      <c r="F417">
        <v>2023</v>
      </c>
      <c r="G417" t="s">
        <v>48</v>
      </c>
      <c r="H417" t="s">
        <v>29</v>
      </c>
      <c r="I417" t="s">
        <v>78</v>
      </c>
      <c r="J417" t="s">
        <v>31</v>
      </c>
      <c r="K417" t="s">
        <v>32</v>
      </c>
      <c r="L417" t="s">
        <v>63</v>
      </c>
      <c r="M417" s="9">
        <v>45124</v>
      </c>
      <c r="N417" t="s">
        <v>1105</v>
      </c>
      <c r="O417" s="9">
        <v>45124</v>
      </c>
      <c r="P417" s="9">
        <v>45126</v>
      </c>
      <c r="Q417" t="s">
        <v>121</v>
      </c>
      <c r="R417" t="s">
        <v>837</v>
      </c>
      <c r="S417">
        <v>560623</v>
      </c>
      <c r="T417" t="s">
        <v>80</v>
      </c>
      <c r="U417" t="s">
        <v>81</v>
      </c>
      <c r="V417" t="s">
        <v>1106</v>
      </c>
      <c r="W417">
        <v>1</v>
      </c>
      <c r="X417">
        <v>0.05</v>
      </c>
      <c r="Y417">
        <v>51.49</v>
      </c>
    </row>
    <row r="418" spans="1:25" x14ac:dyDescent="0.3">
      <c r="A418" t="s">
        <v>1104</v>
      </c>
      <c r="B418" t="s">
        <v>526</v>
      </c>
      <c r="C418" t="s">
        <v>618</v>
      </c>
      <c r="D418" s="9">
        <v>34812</v>
      </c>
      <c r="E418">
        <v>2616.3000000000002</v>
      </c>
      <c r="F418">
        <v>2023</v>
      </c>
      <c r="G418" t="s">
        <v>87</v>
      </c>
      <c r="H418" t="s">
        <v>29</v>
      </c>
      <c r="I418" t="s">
        <v>30</v>
      </c>
      <c r="J418" t="s">
        <v>31</v>
      </c>
      <c r="K418" t="s">
        <v>32</v>
      </c>
      <c r="L418" t="s">
        <v>63</v>
      </c>
      <c r="M418" s="9">
        <v>45159</v>
      </c>
      <c r="N418" t="s">
        <v>1107</v>
      </c>
      <c r="O418" s="9">
        <v>45158</v>
      </c>
      <c r="P418" s="9">
        <v>45159</v>
      </c>
      <c r="Q418" t="s">
        <v>74</v>
      </c>
      <c r="R418" t="s">
        <v>837</v>
      </c>
      <c r="S418">
        <v>513296</v>
      </c>
      <c r="T418" t="s">
        <v>37</v>
      </c>
      <c r="U418" t="s">
        <v>38</v>
      </c>
      <c r="V418" t="s">
        <v>1108</v>
      </c>
      <c r="W418">
        <v>6</v>
      </c>
      <c r="X418">
        <v>0</v>
      </c>
      <c r="Y418">
        <v>466.4</v>
      </c>
    </row>
    <row r="419" spans="1:25" x14ac:dyDescent="0.3">
      <c r="A419" t="s">
        <v>1109</v>
      </c>
      <c r="B419" t="s">
        <v>1110</v>
      </c>
      <c r="C419" t="s">
        <v>271</v>
      </c>
      <c r="D419" s="9">
        <v>25132</v>
      </c>
      <c r="E419">
        <v>256.41000000000003</v>
      </c>
      <c r="F419">
        <v>2024</v>
      </c>
      <c r="G419" t="s">
        <v>87</v>
      </c>
      <c r="H419" t="s">
        <v>163</v>
      </c>
      <c r="I419" t="s">
        <v>30</v>
      </c>
      <c r="J419" t="s">
        <v>143</v>
      </c>
      <c r="K419" t="s">
        <v>32</v>
      </c>
      <c r="L419" t="s">
        <v>33</v>
      </c>
      <c r="M419" s="9">
        <v>45476</v>
      </c>
      <c r="N419" t="s">
        <v>1111</v>
      </c>
      <c r="O419" s="9">
        <v>45476</v>
      </c>
      <c r="P419" s="9">
        <v>45477</v>
      </c>
      <c r="Q419" t="s">
        <v>41</v>
      </c>
      <c r="R419" t="s">
        <v>421</v>
      </c>
      <c r="S419">
        <v>870881</v>
      </c>
      <c r="T419" t="s">
        <v>55</v>
      </c>
      <c r="U419" t="s">
        <v>56</v>
      </c>
      <c r="V419" t="s">
        <v>1112</v>
      </c>
      <c r="W419">
        <v>1</v>
      </c>
      <c r="X419">
        <v>0.05</v>
      </c>
      <c r="Y419">
        <v>47.97</v>
      </c>
    </row>
    <row r="420" spans="1:25" x14ac:dyDescent="0.3">
      <c r="A420" t="s">
        <v>1109</v>
      </c>
      <c r="B420" t="s">
        <v>1110</v>
      </c>
      <c r="C420" t="s">
        <v>271</v>
      </c>
      <c r="D420" s="9">
        <v>25132</v>
      </c>
      <c r="E420">
        <v>105.57</v>
      </c>
      <c r="F420">
        <v>2024</v>
      </c>
      <c r="G420" t="s">
        <v>28</v>
      </c>
      <c r="H420" t="s">
        <v>163</v>
      </c>
      <c r="I420" t="s">
        <v>78</v>
      </c>
      <c r="J420" t="s">
        <v>143</v>
      </c>
      <c r="K420" t="s">
        <v>32</v>
      </c>
      <c r="L420" t="s">
        <v>33</v>
      </c>
      <c r="M420" s="9">
        <v>45514</v>
      </c>
      <c r="N420" t="s">
        <v>1113</v>
      </c>
      <c r="O420" s="9">
        <v>45512</v>
      </c>
      <c r="P420" s="9">
        <v>45515</v>
      </c>
      <c r="Q420" t="s">
        <v>121</v>
      </c>
      <c r="R420" t="s">
        <v>421</v>
      </c>
      <c r="S420">
        <v>542983</v>
      </c>
      <c r="T420" t="s">
        <v>80</v>
      </c>
      <c r="U420" t="s">
        <v>81</v>
      </c>
      <c r="V420" t="s">
        <v>1114</v>
      </c>
      <c r="W420">
        <v>1</v>
      </c>
      <c r="X420">
        <v>0.05</v>
      </c>
      <c r="Y420">
        <v>17.88</v>
      </c>
    </row>
    <row r="421" spans="1:25" x14ac:dyDescent="0.3">
      <c r="A421" t="s">
        <v>1109</v>
      </c>
      <c r="B421" t="s">
        <v>1110</v>
      </c>
      <c r="C421" t="s">
        <v>271</v>
      </c>
      <c r="D421" s="9">
        <v>25132</v>
      </c>
      <c r="E421">
        <v>3879.65</v>
      </c>
      <c r="F421">
        <v>2024</v>
      </c>
      <c r="G421" t="s">
        <v>87</v>
      </c>
      <c r="H421" t="s">
        <v>163</v>
      </c>
      <c r="I421" t="s">
        <v>43</v>
      </c>
      <c r="J421" t="s">
        <v>143</v>
      </c>
      <c r="K421" t="s">
        <v>32</v>
      </c>
      <c r="L421" t="s">
        <v>33</v>
      </c>
      <c r="M421" s="9">
        <v>45535</v>
      </c>
      <c r="N421" t="s">
        <v>1115</v>
      </c>
      <c r="O421" s="9">
        <v>45535</v>
      </c>
      <c r="P421" s="9">
        <v>45539</v>
      </c>
      <c r="Q421" t="s">
        <v>35</v>
      </c>
      <c r="R421" t="s">
        <v>421</v>
      </c>
      <c r="S421">
        <v>288503</v>
      </c>
      <c r="T421" t="s">
        <v>70</v>
      </c>
      <c r="U421" t="s">
        <v>71</v>
      </c>
      <c r="V421" t="s">
        <v>1116</v>
      </c>
      <c r="W421">
        <v>9</v>
      </c>
      <c r="X421">
        <v>0.05</v>
      </c>
      <c r="Y421">
        <v>1159.8900000000001</v>
      </c>
    </row>
    <row r="422" spans="1:25" x14ac:dyDescent="0.3">
      <c r="A422" t="s">
        <v>1109</v>
      </c>
      <c r="B422" t="s">
        <v>1110</v>
      </c>
      <c r="C422" t="s">
        <v>271</v>
      </c>
      <c r="D422" s="9">
        <v>25132</v>
      </c>
      <c r="E422">
        <v>626.01</v>
      </c>
      <c r="F422">
        <v>2025</v>
      </c>
      <c r="G422" t="s">
        <v>87</v>
      </c>
      <c r="H422" t="s">
        <v>163</v>
      </c>
      <c r="I422" t="s">
        <v>30</v>
      </c>
      <c r="J422" t="s">
        <v>143</v>
      </c>
      <c r="K422" t="s">
        <v>32</v>
      </c>
      <c r="L422" t="s">
        <v>33</v>
      </c>
      <c r="M422" s="9">
        <v>45688</v>
      </c>
      <c r="N422" t="s">
        <v>1117</v>
      </c>
      <c r="O422" s="9">
        <v>45687</v>
      </c>
      <c r="P422" s="9">
        <v>45689</v>
      </c>
      <c r="Q422" t="s">
        <v>121</v>
      </c>
      <c r="R422" t="s">
        <v>421</v>
      </c>
      <c r="S422">
        <v>576769</v>
      </c>
      <c r="T422" t="s">
        <v>55</v>
      </c>
      <c r="U422" t="s">
        <v>56</v>
      </c>
      <c r="V422" t="s">
        <v>1118</v>
      </c>
      <c r="W422">
        <v>3</v>
      </c>
      <c r="X422">
        <v>0</v>
      </c>
      <c r="Y422">
        <v>115.98</v>
      </c>
    </row>
    <row r="423" spans="1:25" x14ac:dyDescent="0.3">
      <c r="A423" t="s">
        <v>1119</v>
      </c>
      <c r="B423" t="s">
        <v>661</v>
      </c>
      <c r="C423" t="s">
        <v>284</v>
      </c>
      <c r="D423" s="9">
        <v>34766</v>
      </c>
      <c r="E423">
        <v>1094.46</v>
      </c>
      <c r="F423">
        <v>2023</v>
      </c>
      <c r="G423" t="s">
        <v>48</v>
      </c>
      <c r="H423" t="s">
        <v>163</v>
      </c>
      <c r="I423" t="s">
        <v>49</v>
      </c>
      <c r="J423" t="s">
        <v>143</v>
      </c>
      <c r="K423" t="s">
        <v>32</v>
      </c>
      <c r="L423" t="s">
        <v>33</v>
      </c>
      <c r="M423" s="9">
        <v>45260</v>
      </c>
      <c r="N423" t="s">
        <v>1120</v>
      </c>
      <c r="O423" s="9">
        <v>45258</v>
      </c>
      <c r="P423" s="9">
        <v>45262</v>
      </c>
      <c r="Q423" t="s">
        <v>41</v>
      </c>
      <c r="R423" t="s">
        <v>421</v>
      </c>
      <c r="S423">
        <v>862182</v>
      </c>
      <c r="T423" t="s">
        <v>51</v>
      </c>
      <c r="U423" t="s">
        <v>52</v>
      </c>
      <c r="V423" t="s">
        <v>1121</v>
      </c>
      <c r="W423">
        <v>3</v>
      </c>
      <c r="X423">
        <v>0</v>
      </c>
      <c r="Y423">
        <v>84.66</v>
      </c>
    </row>
    <row r="424" spans="1:25" x14ac:dyDescent="0.3">
      <c r="A424" t="s">
        <v>1122</v>
      </c>
      <c r="B424" t="s">
        <v>375</v>
      </c>
      <c r="C424" t="s">
        <v>964</v>
      </c>
      <c r="D424" s="9">
        <v>24500</v>
      </c>
      <c r="E424">
        <v>1236.28</v>
      </c>
      <c r="F424">
        <v>2023</v>
      </c>
      <c r="G424" t="s">
        <v>48</v>
      </c>
      <c r="H424" t="s">
        <v>29</v>
      </c>
      <c r="I424" t="s">
        <v>92</v>
      </c>
      <c r="J424" t="s">
        <v>31</v>
      </c>
      <c r="K424" t="s">
        <v>32</v>
      </c>
      <c r="L424" t="s">
        <v>63</v>
      </c>
      <c r="M424" s="9">
        <v>45090</v>
      </c>
      <c r="N424" t="s">
        <v>1123</v>
      </c>
      <c r="O424" s="9">
        <v>45090</v>
      </c>
      <c r="P424" s="9">
        <v>45092</v>
      </c>
      <c r="Q424" t="s">
        <v>121</v>
      </c>
      <c r="R424" t="s">
        <v>236</v>
      </c>
      <c r="S424">
        <v>906519</v>
      </c>
      <c r="T424" t="s">
        <v>187</v>
      </c>
      <c r="U424" t="s">
        <v>188</v>
      </c>
      <c r="V424" t="s">
        <v>1124</v>
      </c>
      <c r="W424">
        <v>3</v>
      </c>
      <c r="X424">
        <v>0.1</v>
      </c>
      <c r="Y424">
        <v>384.97</v>
      </c>
    </row>
    <row r="425" spans="1:25" x14ac:dyDescent="0.3">
      <c r="A425" t="s">
        <v>1122</v>
      </c>
      <c r="B425" t="s">
        <v>375</v>
      </c>
      <c r="C425" t="s">
        <v>964</v>
      </c>
      <c r="D425" s="9">
        <v>24500</v>
      </c>
      <c r="E425">
        <v>674.28</v>
      </c>
      <c r="F425">
        <v>2024</v>
      </c>
      <c r="G425" t="s">
        <v>48</v>
      </c>
      <c r="H425" t="s">
        <v>29</v>
      </c>
      <c r="I425" t="s">
        <v>49</v>
      </c>
      <c r="J425" t="s">
        <v>31</v>
      </c>
      <c r="K425" t="s">
        <v>32</v>
      </c>
      <c r="L425" t="s">
        <v>63</v>
      </c>
      <c r="M425" s="9">
        <v>45315</v>
      </c>
      <c r="N425" t="s">
        <v>1125</v>
      </c>
      <c r="O425" s="9">
        <v>45314</v>
      </c>
      <c r="P425" s="9">
        <v>45317</v>
      </c>
      <c r="Q425" t="s">
        <v>121</v>
      </c>
      <c r="R425" t="s">
        <v>236</v>
      </c>
      <c r="S425">
        <v>312705</v>
      </c>
      <c r="T425" t="s">
        <v>109</v>
      </c>
      <c r="U425" t="s">
        <v>110</v>
      </c>
      <c r="V425" t="s">
        <v>1126</v>
      </c>
      <c r="W425">
        <v>5</v>
      </c>
      <c r="X425">
        <v>0.2</v>
      </c>
      <c r="Y425">
        <v>228.1</v>
      </c>
    </row>
    <row r="426" spans="1:25" x14ac:dyDescent="0.3">
      <c r="A426" t="s">
        <v>1122</v>
      </c>
      <c r="B426" t="s">
        <v>375</v>
      </c>
      <c r="C426" t="s">
        <v>964</v>
      </c>
      <c r="D426" s="9">
        <v>24500</v>
      </c>
      <c r="E426">
        <v>1967.34</v>
      </c>
      <c r="F426">
        <v>2024</v>
      </c>
      <c r="G426" t="s">
        <v>48</v>
      </c>
      <c r="H426" t="s">
        <v>29</v>
      </c>
      <c r="I426" t="s">
        <v>78</v>
      </c>
      <c r="J426" t="s">
        <v>31</v>
      </c>
      <c r="K426" t="s">
        <v>32</v>
      </c>
      <c r="L426" t="s">
        <v>63</v>
      </c>
      <c r="M426" s="9">
        <v>45451</v>
      </c>
      <c r="N426" t="s">
        <v>1127</v>
      </c>
      <c r="O426" s="9">
        <v>45450</v>
      </c>
      <c r="P426" s="9">
        <v>45451</v>
      </c>
      <c r="Q426" t="s">
        <v>121</v>
      </c>
      <c r="R426" t="s">
        <v>236</v>
      </c>
      <c r="S426">
        <v>717466</v>
      </c>
      <c r="T426" t="s">
        <v>117</v>
      </c>
      <c r="U426" t="s">
        <v>118</v>
      </c>
      <c r="V426" t="s">
        <v>1128</v>
      </c>
      <c r="W426">
        <v>8</v>
      </c>
      <c r="X426">
        <v>0.05</v>
      </c>
      <c r="Y426">
        <v>419.14</v>
      </c>
    </row>
    <row r="427" spans="1:25" x14ac:dyDescent="0.3">
      <c r="A427" t="s">
        <v>1122</v>
      </c>
      <c r="B427" t="s">
        <v>375</v>
      </c>
      <c r="C427" t="s">
        <v>964</v>
      </c>
      <c r="D427" s="9">
        <v>24500</v>
      </c>
      <c r="E427">
        <v>1462.23</v>
      </c>
      <c r="F427">
        <v>2024</v>
      </c>
      <c r="G427" t="s">
        <v>28</v>
      </c>
      <c r="H427" t="s">
        <v>29</v>
      </c>
      <c r="I427" t="s">
        <v>49</v>
      </c>
      <c r="J427" t="s">
        <v>31</v>
      </c>
      <c r="K427" t="s">
        <v>32</v>
      </c>
      <c r="L427" t="s">
        <v>63</v>
      </c>
      <c r="M427" s="9">
        <v>45492</v>
      </c>
      <c r="N427" t="s">
        <v>1129</v>
      </c>
      <c r="O427" s="9">
        <v>45490</v>
      </c>
      <c r="P427" s="9">
        <v>45492</v>
      </c>
      <c r="Q427" t="s">
        <v>121</v>
      </c>
      <c r="R427" t="s">
        <v>236</v>
      </c>
      <c r="S427">
        <v>151295</v>
      </c>
      <c r="T427" t="s">
        <v>84</v>
      </c>
      <c r="U427" t="s">
        <v>85</v>
      </c>
      <c r="V427" t="s">
        <v>1130</v>
      </c>
      <c r="W427">
        <v>7</v>
      </c>
      <c r="X427">
        <v>0.1</v>
      </c>
      <c r="Y427">
        <v>336.36</v>
      </c>
    </row>
    <row r="428" spans="1:25" x14ac:dyDescent="0.3">
      <c r="A428" t="s">
        <v>1122</v>
      </c>
      <c r="B428" t="s">
        <v>375</v>
      </c>
      <c r="C428" t="s">
        <v>964</v>
      </c>
      <c r="D428" s="9">
        <v>24500</v>
      </c>
      <c r="E428">
        <v>180.62</v>
      </c>
      <c r="F428">
        <v>2024</v>
      </c>
      <c r="G428" t="s">
        <v>28</v>
      </c>
      <c r="H428" t="s">
        <v>29</v>
      </c>
      <c r="I428" t="s">
        <v>61</v>
      </c>
      <c r="J428" t="s">
        <v>31</v>
      </c>
      <c r="K428" t="s">
        <v>32</v>
      </c>
      <c r="L428" t="s">
        <v>63</v>
      </c>
      <c r="M428" s="9">
        <v>45557</v>
      </c>
      <c r="N428" t="s">
        <v>1131</v>
      </c>
      <c r="O428" s="9">
        <v>45553</v>
      </c>
      <c r="P428" s="9">
        <v>45558</v>
      </c>
      <c r="Q428" t="s">
        <v>74</v>
      </c>
      <c r="R428" t="s">
        <v>236</v>
      </c>
      <c r="S428">
        <v>191962</v>
      </c>
      <c r="T428" t="s">
        <v>66</v>
      </c>
      <c r="U428" t="s">
        <v>67</v>
      </c>
      <c r="V428" t="s">
        <v>1132</v>
      </c>
      <c r="W428">
        <v>6</v>
      </c>
      <c r="X428">
        <v>0.2</v>
      </c>
      <c r="Y428">
        <v>10.79</v>
      </c>
    </row>
    <row r="429" spans="1:25" x14ac:dyDescent="0.3">
      <c r="A429" t="s">
        <v>1133</v>
      </c>
      <c r="B429" t="s">
        <v>872</v>
      </c>
      <c r="C429" t="s">
        <v>184</v>
      </c>
      <c r="D429" s="9">
        <v>31204</v>
      </c>
      <c r="E429">
        <v>1331.61</v>
      </c>
      <c r="F429">
        <v>2024</v>
      </c>
      <c r="G429" t="s">
        <v>48</v>
      </c>
      <c r="H429" t="s">
        <v>29</v>
      </c>
      <c r="I429" t="s">
        <v>61</v>
      </c>
      <c r="J429" t="s">
        <v>143</v>
      </c>
      <c r="K429" t="s">
        <v>32</v>
      </c>
      <c r="L429" t="s">
        <v>63</v>
      </c>
      <c r="M429" s="9">
        <v>45357</v>
      </c>
      <c r="N429" t="s">
        <v>1134</v>
      </c>
      <c r="O429" s="9">
        <v>45353</v>
      </c>
      <c r="P429" s="9">
        <v>45358</v>
      </c>
      <c r="Q429" t="s">
        <v>41</v>
      </c>
      <c r="R429" t="s">
        <v>146</v>
      </c>
      <c r="S429">
        <v>885734</v>
      </c>
      <c r="T429" t="s">
        <v>66</v>
      </c>
      <c r="U429" t="s">
        <v>67</v>
      </c>
      <c r="V429" t="s">
        <v>1135</v>
      </c>
      <c r="W429">
        <v>5</v>
      </c>
      <c r="X429">
        <v>0.15</v>
      </c>
      <c r="Y429">
        <v>346.16</v>
      </c>
    </row>
    <row r="430" spans="1:25" x14ac:dyDescent="0.3">
      <c r="A430" t="s">
        <v>1136</v>
      </c>
      <c r="B430" t="s">
        <v>684</v>
      </c>
      <c r="C430" t="s">
        <v>327</v>
      </c>
      <c r="D430" s="9">
        <v>31842</v>
      </c>
      <c r="E430">
        <v>614.48</v>
      </c>
      <c r="F430">
        <v>2023</v>
      </c>
      <c r="G430" t="s">
        <v>48</v>
      </c>
      <c r="H430" t="s">
        <v>29</v>
      </c>
      <c r="I430" t="s">
        <v>43</v>
      </c>
      <c r="J430" t="s">
        <v>143</v>
      </c>
      <c r="K430" t="s">
        <v>32</v>
      </c>
      <c r="L430" t="s">
        <v>33</v>
      </c>
      <c r="M430" s="9">
        <v>44966</v>
      </c>
      <c r="N430" t="s">
        <v>1137</v>
      </c>
      <c r="O430" s="9">
        <v>44963</v>
      </c>
      <c r="P430" s="9">
        <v>44966</v>
      </c>
      <c r="Q430" t="s">
        <v>35</v>
      </c>
      <c r="R430" t="s">
        <v>250</v>
      </c>
      <c r="S430">
        <v>828361</v>
      </c>
      <c r="T430" t="s">
        <v>153</v>
      </c>
      <c r="U430" t="s">
        <v>154</v>
      </c>
      <c r="V430" t="s">
        <v>1138</v>
      </c>
      <c r="W430">
        <v>2</v>
      </c>
      <c r="X430">
        <v>0.2</v>
      </c>
      <c r="Y430">
        <v>132.19999999999999</v>
      </c>
    </row>
    <row r="431" spans="1:25" x14ac:dyDescent="0.3">
      <c r="A431" t="s">
        <v>1136</v>
      </c>
      <c r="B431" t="s">
        <v>684</v>
      </c>
      <c r="C431" t="s">
        <v>327</v>
      </c>
      <c r="D431" s="9">
        <v>31842</v>
      </c>
      <c r="E431">
        <v>1617.39</v>
      </c>
      <c r="F431">
        <v>2023</v>
      </c>
      <c r="G431" t="s">
        <v>87</v>
      </c>
      <c r="H431" t="s">
        <v>29</v>
      </c>
      <c r="I431" t="s">
        <v>43</v>
      </c>
      <c r="J431" t="s">
        <v>143</v>
      </c>
      <c r="K431" t="s">
        <v>32</v>
      </c>
      <c r="L431" t="s">
        <v>33</v>
      </c>
      <c r="M431" s="9">
        <v>45022</v>
      </c>
      <c r="N431" t="s">
        <v>1139</v>
      </c>
      <c r="O431" s="9">
        <v>45022</v>
      </c>
      <c r="P431" s="9">
        <v>45023</v>
      </c>
      <c r="Q431" t="s">
        <v>35</v>
      </c>
      <c r="R431" t="s">
        <v>250</v>
      </c>
      <c r="S431">
        <v>607157</v>
      </c>
      <c r="T431" t="s">
        <v>153</v>
      </c>
      <c r="U431" t="s">
        <v>154</v>
      </c>
      <c r="V431" t="s">
        <v>1140</v>
      </c>
      <c r="W431">
        <v>7</v>
      </c>
      <c r="X431">
        <v>0.15</v>
      </c>
      <c r="Y431">
        <v>182.3</v>
      </c>
    </row>
    <row r="432" spans="1:25" x14ac:dyDescent="0.3">
      <c r="A432" t="s">
        <v>1136</v>
      </c>
      <c r="B432" t="s">
        <v>684</v>
      </c>
      <c r="C432" t="s">
        <v>327</v>
      </c>
      <c r="D432" s="9">
        <v>31842</v>
      </c>
      <c r="E432">
        <v>899.96</v>
      </c>
      <c r="F432">
        <v>2023</v>
      </c>
      <c r="G432" t="s">
        <v>87</v>
      </c>
      <c r="H432" t="s">
        <v>29</v>
      </c>
      <c r="I432" t="s">
        <v>49</v>
      </c>
      <c r="J432" t="s">
        <v>143</v>
      </c>
      <c r="K432" t="s">
        <v>32</v>
      </c>
      <c r="L432" t="s">
        <v>33</v>
      </c>
      <c r="M432" s="9">
        <v>45237</v>
      </c>
      <c r="N432" t="s">
        <v>1141</v>
      </c>
      <c r="O432" s="9">
        <v>45233</v>
      </c>
      <c r="P432" s="9">
        <v>45238</v>
      </c>
      <c r="Q432" t="s">
        <v>74</v>
      </c>
      <c r="R432" t="s">
        <v>250</v>
      </c>
      <c r="S432">
        <v>236014</v>
      </c>
      <c r="T432" t="s">
        <v>51</v>
      </c>
      <c r="U432" t="s">
        <v>52</v>
      </c>
      <c r="V432" t="s">
        <v>1142</v>
      </c>
      <c r="W432">
        <v>5</v>
      </c>
      <c r="X432">
        <v>0.2</v>
      </c>
      <c r="Y432">
        <v>130.44999999999999</v>
      </c>
    </row>
    <row r="433" spans="1:25" x14ac:dyDescent="0.3">
      <c r="A433" t="s">
        <v>1136</v>
      </c>
      <c r="B433" t="s">
        <v>684</v>
      </c>
      <c r="C433" t="s">
        <v>327</v>
      </c>
      <c r="D433" s="9">
        <v>31842</v>
      </c>
      <c r="E433">
        <v>3163.59</v>
      </c>
      <c r="F433">
        <v>2025</v>
      </c>
      <c r="G433" t="s">
        <v>48</v>
      </c>
      <c r="H433" t="s">
        <v>29</v>
      </c>
      <c r="I433" t="s">
        <v>30</v>
      </c>
      <c r="J433" t="s">
        <v>143</v>
      </c>
      <c r="K433" t="s">
        <v>32</v>
      </c>
      <c r="L433" t="s">
        <v>33</v>
      </c>
      <c r="M433" s="9">
        <v>45715</v>
      </c>
      <c r="N433" t="s">
        <v>1143</v>
      </c>
      <c r="O433" s="9">
        <v>45713</v>
      </c>
      <c r="P433" s="9">
        <v>45715</v>
      </c>
      <c r="Q433" t="s">
        <v>74</v>
      </c>
      <c r="R433" t="s">
        <v>250</v>
      </c>
      <c r="S433">
        <v>302957</v>
      </c>
      <c r="T433" t="s">
        <v>55</v>
      </c>
      <c r="U433" t="s">
        <v>56</v>
      </c>
      <c r="V433" t="s">
        <v>1144</v>
      </c>
      <c r="W433">
        <v>9</v>
      </c>
      <c r="X433">
        <v>0.05</v>
      </c>
      <c r="Y433">
        <v>625.6</v>
      </c>
    </row>
    <row r="434" spans="1:25" x14ac:dyDescent="0.3">
      <c r="A434" t="s">
        <v>1145</v>
      </c>
      <c r="B434" t="s">
        <v>141</v>
      </c>
      <c r="C434" t="s">
        <v>142</v>
      </c>
      <c r="D434" s="9">
        <v>23833</v>
      </c>
      <c r="E434">
        <v>1534.4</v>
      </c>
      <c r="F434">
        <v>2023</v>
      </c>
      <c r="G434" t="s">
        <v>87</v>
      </c>
      <c r="H434" t="s">
        <v>29</v>
      </c>
      <c r="I434" t="s">
        <v>92</v>
      </c>
      <c r="J434" t="s">
        <v>102</v>
      </c>
      <c r="K434" t="s">
        <v>32</v>
      </c>
      <c r="L434" t="s">
        <v>33</v>
      </c>
      <c r="M434" s="9">
        <v>44953</v>
      </c>
      <c r="N434" t="s">
        <v>1146</v>
      </c>
      <c r="O434" s="9">
        <v>44951</v>
      </c>
      <c r="P434" s="9">
        <v>44954</v>
      </c>
      <c r="Q434" t="s">
        <v>121</v>
      </c>
      <c r="R434" t="s">
        <v>186</v>
      </c>
      <c r="S434">
        <v>111846</v>
      </c>
      <c r="T434" t="s">
        <v>187</v>
      </c>
      <c r="U434" t="s">
        <v>188</v>
      </c>
      <c r="V434" t="s">
        <v>1147</v>
      </c>
      <c r="W434">
        <v>4</v>
      </c>
      <c r="X434">
        <v>0.05</v>
      </c>
      <c r="Y434">
        <v>267.31</v>
      </c>
    </row>
    <row r="435" spans="1:25" x14ac:dyDescent="0.3">
      <c r="A435" t="s">
        <v>1148</v>
      </c>
      <c r="B435" t="s">
        <v>924</v>
      </c>
      <c r="C435" t="s">
        <v>930</v>
      </c>
      <c r="D435" s="9">
        <v>35144</v>
      </c>
      <c r="E435">
        <v>2044.8</v>
      </c>
      <c r="F435">
        <v>2023</v>
      </c>
      <c r="G435" t="s">
        <v>28</v>
      </c>
      <c r="H435" t="s">
        <v>29</v>
      </c>
      <c r="I435" t="s">
        <v>78</v>
      </c>
      <c r="J435" t="s">
        <v>62</v>
      </c>
      <c r="K435" t="s">
        <v>32</v>
      </c>
      <c r="L435" t="s">
        <v>33</v>
      </c>
      <c r="M435" s="9">
        <v>45189</v>
      </c>
      <c r="N435" t="s">
        <v>1149</v>
      </c>
      <c r="O435" s="9">
        <v>45187</v>
      </c>
      <c r="P435" s="9">
        <v>45190</v>
      </c>
      <c r="Q435" t="s">
        <v>35</v>
      </c>
      <c r="R435" t="s">
        <v>386</v>
      </c>
      <c r="S435">
        <v>972460</v>
      </c>
      <c r="T435" t="s">
        <v>117</v>
      </c>
      <c r="U435" t="s">
        <v>118</v>
      </c>
      <c r="V435" t="s">
        <v>339</v>
      </c>
      <c r="W435">
        <v>9</v>
      </c>
      <c r="X435">
        <v>0.2</v>
      </c>
      <c r="Y435">
        <v>106</v>
      </c>
    </row>
    <row r="436" spans="1:25" x14ac:dyDescent="0.3">
      <c r="A436" t="s">
        <v>1148</v>
      </c>
      <c r="B436" t="s">
        <v>924</v>
      </c>
      <c r="C436" t="s">
        <v>930</v>
      </c>
      <c r="D436" s="9">
        <v>35144</v>
      </c>
      <c r="E436">
        <v>2637.33</v>
      </c>
      <c r="F436">
        <v>2023</v>
      </c>
      <c r="G436" t="s">
        <v>28</v>
      </c>
      <c r="H436" t="s">
        <v>29</v>
      </c>
      <c r="I436" t="s">
        <v>61</v>
      </c>
      <c r="J436" t="s">
        <v>62</v>
      </c>
      <c r="K436" t="s">
        <v>32</v>
      </c>
      <c r="L436" t="s">
        <v>33</v>
      </c>
      <c r="M436" s="9">
        <v>45215</v>
      </c>
      <c r="N436" t="s">
        <v>1150</v>
      </c>
      <c r="O436" s="9">
        <v>45215</v>
      </c>
      <c r="P436" s="9">
        <v>45216</v>
      </c>
      <c r="Q436" t="s">
        <v>121</v>
      </c>
      <c r="R436" t="s">
        <v>386</v>
      </c>
      <c r="S436">
        <v>757667</v>
      </c>
      <c r="T436" t="s">
        <v>66</v>
      </c>
      <c r="U436" t="s">
        <v>67</v>
      </c>
      <c r="V436" t="s">
        <v>1151</v>
      </c>
      <c r="W436">
        <v>6</v>
      </c>
      <c r="X436">
        <v>0.05</v>
      </c>
      <c r="Y436">
        <v>856.73</v>
      </c>
    </row>
    <row r="437" spans="1:25" x14ac:dyDescent="0.3">
      <c r="A437" t="s">
        <v>1148</v>
      </c>
      <c r="B437" t="s">
        <v>924</v>
      </c>
      <c r="C437" t="s">
        <v>930</v>
      </c>
      <c r="D437" s="9">
        <v>35144</v>
      </c>
      <c r="E437">
        <v>3257.38</v>
      </c>
      <c r="F437">
        <v>2024</v>
      </c>
      <c r="G437" t="s">
        <v>87</v>
      </c>
      <c r="H437" t="s">
        <v>29</v>
      </c>
      <c r="I437" t="s">
        <v>92</v>
      </c>
      <c r="J437" t="s">
        <v>62</v>
      </c>
      <c r="K437" t="s">
        <v>32</v>
      </c>
      <c r="L437" t="s">
        <v>33</v>
      </c>
      <c r="M437" s="9">
        <v>45635</v>
      </c>
      <c r="N437" t="s">
        <v>1152</v>
      </c>
      <c r="O437" s="9">
        <v>45633</v>
      </c>
      <c r="P437" s="9">
        <v>45636</v>
      </c>
      <c r="Q437" t="s">
        <v>35</v>
      </c>
      <c r="R437" t="s">
        <v>386</v>
      </c>
      <c r="S437">
        <v>318379</v>
      </c>
      <c r="T437" t="s">
        <v>94</v>
      </c>
      <c r="U437" t="s">
        <v>95</v>
      </c>
      <c r="V437" t="s">
        <v>1153</v>
      </c>
      <c r="W437">
        <v>7</v>
      </c>
      <c r="X437">
        <v>0</v>
      </c>
      <c r="Y437">
        <v>978.95</v>
      </c>
    </row>
    <row r="438" spans="1:25" x14ac:dyDescent="0.3">
      <c r="A438" t="s">
        <v>1148</v>
      </c>
      <c r="B438" t="s">
        <v>924</v>
      </c>
      <c r="C438" t="s">
        <v>930</v>
      </c>
      <c r="D438" s="9">
        <v>35144</v>
      </c>
      <c r="E438">
        <v>310.68</v>
      </c>
      <c r="F438">
        <v>2025</v>
      </c>
      <c r="G438" t="s">
        <v>28</v>
      </c>
      <c r="H438" t="s">
        <v>29</v>
      </c>
      <c r="I438" t="s">
        <v>30</v>
      </c>
      <c r="J438" t="s">
        <v>62</v>
      </c>
      <c r="K438" t="s">
        <v>32</v>
      </c>
      <c r="L438" t="s">
        <v>33</v>
      </c>
      <c r="M438" s="9">
        <v>45737</v>
      </c>
      <c r="N438" t="s">
        <v>1154</v>
      </c>
      <c r="O438" s="9">
        <v>45736</v>
      </c>
      <c r="P438" s="9">
        <v>45737</v>
      </c>
      <c r="Q438" t="s">
        <v>121</v>
      </c>
      <c r="R438" t="s">
        <v>386</v>
      </c>
      <c r="S438">
        <v>698717</v>
      </c>
      <c r="T438" t="s">
        <v>55</v>
      </c>
      <c r="U438" t="s">
        <v>56</v>
      </c>
      <c r="V438" t="s">
        <v>1155</v>
      </c>
      <c r="W438">
        <v>6</v>
      </c>
      <c r="X438">
        <v>0</v>
      </c>
      <c r="Y438">
        <v>41.67</v>
      </c>
    </row>
    <row r="439" spans="1:25" x14ac:dyDescent="0.3">
      <c r="A439" t="s">
        <v>1156</v>
      </c>
      <c r="B439" t="s">
        <v>1157</v>
      </c>
      <c r="C439" t="s">
        <v>284</v>
      </c>
      <c r="D439" s="9">
        <v>25731</v>
      </c>
      <c r="E439">
        <v>2164.3200000000002</v>
      </c>
      <c r="F439">
        <v>2023</v>
      </c>
      <c r="G439" t="s">
        <v>28</v>
      </c>
      <c r="H439" t="s">
        <v>163</v>
      </c>
      <c r="I439" t="s">
        <v>43</v>
      </c>
      <c r="J439" t="s">
        <v>62</v>
      </c>
      <c r="K439" t="s">
        <v>32</v>
      </c>
      <c r="L439" t="s">
        <v>144</v>
      </c>
      <c r="M439" s="9">
        <v>45047</v>
      </c>
      <c r="N439" t="s">
        <v>1158</v>
      </c>
      <c r="O439" s="9">
        <v>45046</v>
      </c>
      <c r="P439" s="9">
        <v>45050</v>
      </c>
      <c r="Q439" t="s">
        <v>41</v>
      </c>
      <c r="R439" t="s">
        <v>286</v>
      </c>
      <c r="S439">
        <v>969749</v>
      </c>
      <c r="T439" t="s">
        <v>70</v>
      </c>
      <c r="U439" t="s">
        <v>71</v>
      </c>
      <c r="V439" t="s">
        <v>1159</v>
      </c>
      <c r="W439">
        <v>6</v>
      </c>
      <c r="X439">
        <v>0</v>
      </c>
      <c r="Y439">
        <v>376.94</v>
      </c>
    </row>
    <row r="440" spans="1:25" x14ac:dyDescent="0.3">
      <c r="A440" t="s">
        <v>1156</v>
      </c>
      <c r="B440" t="s">
        <v>1157</v>
      </c>
      <c r="C440" t="s">
        <v>284</v>
      </c>
      <c r="D440" s="9">
        <v>25731</v>
      </c>
      <c r="E440">
        <v>520.04999999999995</v>
      </c>
      <c r="F440">
        <v>2023</v>
      </c>
      <c r="G440" t="s">
        <v>28</v>
      </c>
      <c r="H440" t="s">
        <v>163</v>
      </c>
      <c r="I440" t="s">
        <v>43</v>
      </c>
      <c r="J440" t="s">
        <v>62</v>
      </c>
      <c r="K440" t="s">
        <v>32</v>
      </c>
      <c r="L440" t="s">
        <v>144</v>
      </c>
      <c r="M440" s="9">
        <v>45118</v>
      </c>
      <c r="N440" t="s">
        <v>1160</v>
      </c>
      <c r="O440" s="9">
        <v>45118</v>
      </c>
      <c r="P440" s="9">
        <v>45120</v>
      </c>
      <c r="Q440" t="s">
        <v>35</v>
      </c>
      <c r="R440" t="s">
        <v>286</v>
      </c>
      <c r="S440">
        <v>937838</v>
      </c>
      <c r="T440" t="s">
        <v>45</v>
      </c>
      <c r="U440" t="s">
        <v>46</v>
      </c>
      <c r="V440" t="s">
        <v>1161</v>
      </c>
      <c r="W440">
        <v>5</v>
      </c>
      <c r="X440">
        <v>0</v>
      </c>
      <c r="Y440">
        <v>148.47</v>
      </c>
    </row>
    <row r="441" spans="1:25" x14ac:dyDescent="0.3">
      <c r="A441" t="s">
        <v>1156</v>
      </c>
      <c r="B441" t="s">
        <v>1157</v>
      </c>
      <c r="C441" t="s">
        <v>284</v>
      </c>
      <c r="D441" s="9">
        <v>25731</v>
      </c>
      <c r="E441">
        <v>2363.09</v>
      </c>
      <c r="F441">
        <v>2024</v>
      </c>
      <c r="G441" t="s">
        <v>48</v>
      </c>
      <c r="H441" t="s">
        <v>163</v>
      </c>
      <c r="I441" t="s">
        <v>92</v>
      </c>
      <c r="J441" t="s">
        <v>62</v>
      </c>
      <c r="K441" t="s">
        <v>32</v>
      </c>
      <c r="L441" t="s">
        <v>144</v>
      </c>
      <c r="M441" s="9">
        <v>45538</v>
      </c>
      <c r="N441" t="s">
        <v>1162</v>
      </c>
      <c r="O441" s="9">
        <v>45536</v>
      </c>
      <c r="P441" s="9">
        <v>45539</v>
      </c>
      <c r="Q441" t="s">
        <v>35</v>
      </c>
      <c r="R441" t="s">
        <v>286</v>
      </c>
      <c r="S441">
        <v>962074</v>
      </c>
      <c r="T441" t="s">
        <v>147</v>
      </c>
      <c r="U441" t="s">
        <v>148</v>
      </c>
      <c r="V441" t="s">
        <v>1163</v>
      </c>
      <c r="W441">
        <v>6</v>
      </c>
      <c r="X441">
        <v>0.15</v>
      </c>
      <c r="Y441">
        <v>737.67</v>
      </c>
    </row>
    <row r="442" spans="1:25" x14ac:dyDescent="0.3">
      <c r="A442" t="s">
        <v>1156</v>
      </c>
      <c r="B442" t="s">
        <v>1157</v>
      </c>
      <c r="C442" t="s">
        <v>284</v>
      </c>
      <c r="D442" s="9">
        <v>25731</v>
      </c>
      <c r="E442">
        <v>1397.6</v>
      </c>
      <c r="F442">
        <v>2025</v>
      </c>
      <c r="G442" t="s">
        <v>48</v>
      </c>
      <c r="H442" t="s">
        <v>163</v>
      </c>
      <c r="I442" t="s">
        <v>30</v>
      </c>
      <c r="J442" t="s">
        <v>62</v>
      </c>
      <c r="K442" t="s">
        <v>32</v>
      </c>
      <c r="L442" t="s">
        <v>144</v>
      </c>
      <c r="M442" s="9">
        <v>45812</v>
      </c>
      <c r="N442" t="s">
        <v>1164</v>
      </c>
      <c r="O442" s="9">
        <v>45812</v>
      </c>
      <c r="P442" s="9">
        <v>45817</v>
      </c>
      <c r="Q442" t="s">
        <v>74</v>
      </c>
      <c r="R442" t="s">
        <v>286</v>
      </c>
      <c r="S442">
        <v>146168</v>
      </c>
      <c r="T442" t="s">
        <v>55</v>
      </c>
      <c r="U442" t="s">
        <v>56</v>
      </c>
      <c r="V442" t="s">
        <v>1165</v>
      </c>
      <c r="W442">
        <v>4</v>
      </c>
      <c r="X442">
        <v>0.05</v>
      </c>
      <c r="Y442">
        <v>232.39</v>
      </c>
    </row>
    <row r="443" spans="1:25" x14ac:dyDescent="0.3">
      <c r="A443" t="s">
        <v>1166</v>
      </c>
      <c r="B443" t="s">
        <v>492</v>
      </c>
      <c r="C443" t="s">
        <v>364</v>
      </c>
      <c r="D443" s="9">
        <v>32900</v>
      </c>
      <c r="E443">
        <v>123.16</v>
      </c>
      <c r="F443">
        <v>2023</v>
      </c>
      <c r="G443" t="s">
        <v>48</v>
      </c>
      <c r="H443" t="s">
        <v>29</v>
      </c>
      <c r="I443" t="s">
        <v>78</v>
      </c>
      <c r="J443" t="s">
        <v>227</v>
      </c>
      <c r="K443" t="s">
        <v>32</v>
      </c>
      <c r="L443" t="s">
        <v>144</v>
      </c>
      <c r="M443" s="9">
        <v>45017</v>
      </c>
      <c r="N443" t="s">
        <v>1167</v>
      </c>
      <c r="O443" s="9">
        <v>45016</v>
      </c>
      <c r="P443" s="9">
        <v>45018</v>
      </c>
      <c r="Q443" t="s">
        <v>121</v>
      </c>
      <c r="R443" t="s">
        <v>738</v>
      </c>
      <c r="S443">
        <v>400487</v>
      </c>
      <c r="T443" t="s">
        <v>135</v>
      </c>
      <c r="U443" t="s">
        <v>136</v>
      </c>
      <c r="V443" t="s">
        <v>1168</v>
      </c>
      <c r="W443">
        <v>5</v>
      </c>
      <c r="X443">
        <v>0.2</v>
      </c>
      <c r="Y443">
        <v>17.690000000000001</v>
      </c>
    </row>
    <row r="444" spans="1:25" x14ac:dyDescent="0.3">
      <c r="A444" t="s">
        <v>1166</v>
      </c>
      <c r="B444" t="s">
        <v>492</v>
      </c>
      <c r="C444" t="s">
        <v>364</v>
      </c>
      <c r="D444" s="9">
        <v>32900</v>
      </c>
      <c r="E444">
        <v>2737.12</v>
      </c>
      <c r="F444">
        <v>2023</v>
      </c>
      <c r="G444" t="s">
        <v>48</v>
      </c>
      <c r="H444" t="s">
        <v>29</v>
      </c>
      <c r="I444" t="s">
        <v>43</v>
      </c>
      <c r="J444" t="s">
        <v>227</v>
      </c>
      <c r="K444" t="s">
        <v>32</v>
      </c>
      <c r="L444" t="s">
        <v>144</v>
      </c>
      <c r="M444" s="9">
        <v>45268</v>
      </c>
      <c r="N444" t="s">
        <v>1169</v>
      </c>
      <c r="O444" s="9">
        <v>45268</v>
      </c>
      <c r="P444" s="9">
        <v>45271</v>
      </c>
      <c r="Q444" t="s">
        <v>35</v>
      </c>
      <c r="R444" t="s">
        <v>738</v>
      </c>
      <c r="S444">
        <v>316612</v>
      </c>
      <c r="T444" t="s">
        <v>70</v>
      </c>
      <c r="U444" t="s">
        <v>71</v>
      </c>
      <c r="V444" t="s">
        <v>1170</v>
      </c>
      <c r="W444">
        <v>8</v>
      </c>
      <c r="X444">
        <v>0</v>
      </c>
      <c r="Y444">
        <v>259.47000000000003</v>
      </c>
    </row>
    <row r="445" spans="1:25" x14ac:dyDescent="0.3">
      <c r="A445" t="s">
        <v>1166</v>
      </c>
      <c r="B445" t="s">
        <v>492</v>
      </c>
      <c r="C445" t="s">
        <v>364</v>
      </c>
      <c r="D445" s="9">
        <v>32900</v>
      </c>
      <c r="E445">
        <v>765.56</v>
      </c>
      <c r="F445">
        <v>2024</v>
      </c>
      <c r="G445" t="s">
        <v>48</v>
      </c>
      <c r="H445" t="s">
        <v>29</v>
      </c>
      <c r="I445" t="s">
        <v>30</v>
      </c>
      <c r="J445" t="s">
        <v>227</v>
      </c>
      <c r="K445" t="s">
        <v>32</v>
      </c>
      <c r="L445" t="s">
        <v>144</v>
      </c>
      <c r="M445" s="9">
        <v>45406</v>
      </c>
      <c r="N445" t="s">
        <v>1171</v>
      </c>
      <c r="O445" s="9">
        <v>45405</v>
      </c>
      <c r="P445" s="9">
        <v>45410</v>
      </c>
      <c r="Q445" t="s">
        <v>35</v>
      </c>
      <c r="R445" t="s">
        <v>738</v>
      </c>
      <c r="S445">
        <v>426503</v>
      </c>
      <c r="T445" t="s">
        <v>37</v>
      </c>
      <c r="U445" t="s">
        <v>38</v>
      </c>
      <c r="V445" t="s">
        <v>1172</v>
      </c>
      <c r="W445">
        <v>6</v>
      </c>
      <c r="X445">
        <v>0.15</v>
      </c>
      <c r="Y445">
        <v>222.93</v>
      </c>
    </row>
    <row r="446" spans="1:25" x14ac:dyDescent="0.3">
      <c r="A446" t="s">
        <v>1166</v>
      </c>
      <c r="B446" t="s">
        <v>492</v>
      </c>
      <c r="C446" t="s">
        <v>364</v>
      </c>
      <c r="D446" s="9">
        <v>32900</v>
      </c>
      <c r="E446">
        <v>354.8</v>
      </c>
      <c r="F446">
        <v>2024</v>
      </c>
      <c r="G446" t="s">
        <v>28</v>
      </c>
      <c r="H446" t="s">
        <v>29</v>
      </c>
      <c r="I446" t="s">
        <v>30</v>
      </c>
      <c r="J446" t="s">
        <v>227</v>
      </c>
      <c r="K446" t="s">
        <v>32</v>
      </c>
      <c r="L446" t="s">
        <v>144</v>
      </c>
      <c r="M446" s="9">
        <v>45535</v>
      </c>
      <c r="N446" t="s">
        <v>1173</v>
      </c>
      <c r="O446" s="9">
        <v>45535</v>
      </c>
      <c r="P446" s="9">
        <v>45536</v>
      </c>
      <c r="Q446" t="s">
        <v>35</v>
      </c>
      <c r="R446" t="s">
        <v>738</v>
      </c>
      <c r="S446">
        <v>190302</v>
      </c>
      <c r="T446" t="s">
        <v>37</v>
      </c>
      <c r="U446" t="s">
        <v>38</v>
      </c>
      <c r="V446" t="s">
        <v>1174</v>
      </c>
      <c r="W446">
        <v>8</v>
      </c>
      <c r="X446">
        <v>0</v>
      </c>
      <c r="Y446">
        <v>67.849999999999994</v>
      </c>
    </row>
    <row r="447" spans="1:25" x14ac:dyDescent="0.3">
      <c r="A447" t="s">
        <v>1166</v>
      </c>
      <c r="B447" t="s">
        <v>492</v>
      </c>
      <c r="C447" t="s">
        <v>364</v>
      </c>
      <c r="D447" s="9">
        <v>32900</v>
      </c>
      <c r="E447">
        <v>3806.39</v>
      </c>
      <c r="F447">
        <v>2025</v>
      </c>
      <c r="G447" t="s">
        <v>28</v>
      </c>
      <c r="H447" t="s">
        <v>29</v>
      </c>
      <c r="I447" t="s">
        <v>92</v>
      </c>
      <c r="J447" t="s">
        <v>227</v>
      </c>
      <c r="K447" t="s">
        <v>32</v>
      </c>
      <c r="L447" t="s">
        <v>144</v>
      </c>
      <c r="M447" s="9">
        <v>45823</v>
      </c>
      <c r="N447" t="s">
        <v>1175</v>
      </c>
      <c r="O447" s="9">
        <v>45819</v>
      </c>
      <c r="P447" s="9">
        <v>45823</v>
      </c>
      <c r="Q447" t="s">
        <v>74</v>
      </c>
      <c r="R447" t="s">
        <v>738</v>
      </c>
      <c r="S447">
        <v>448475</v>
      </c>
      <c r="T447" t="s">
        <v>127</v>
      </c>
      <c r="U447" t="s">
        <v>128</v>
      </c>
      <c r="V447" t="s">
        <v>1176</v>
      </c>
      <c r="W447">
        <v>10</v>
      </c>
      <c r="X447">
        <v>0.15</v>
      </c>
      <c r="Y447">
        <v>1145.1600000000001</v>
      </c>
    </row>
    <row r="448" spans="1:25" x14ac:dyDescent="0.3">
      <c r="A448" t="s">
        <v>1177</v>
      </c>
      <c r="B448" t="s">
        <v>225</v>
      </c>
      <c r="C448" t="s">
        <v>259</v>
      </c>
      <c r="D448" s="9">
        <v>35527</v>
      </c>
      <c r="E448">
        <v>533.52</v>
      </c>
      <c r="F448">
        <v>2023</v>
      </c>
      <c r="G448" t="s">
        <v>48</v>
      </c>
      <c r="H448" t="s">
        <v>29</v>
      </c>
      <c r="I448" t="s">
        <v>92</v>
      </c>
      <c r="J448" t="s">
        <v>62</v>
      </c>
      <c r="K448" t="s">
        <v>32</v>
      </c>
      <c r="L448" t="s">
        <v>63</v>
      </c>
      <c r="M448" s="9">
        <v>45010</v>
      </c>
      <c r="N448" t="s">
        <v>1178</v>
      </c>
      <c r="O448" s="9">
        <v>45007</v>
      </c>
      <c r="P448" s="9">
        <v>45011</v>
      </c>
      <c r="Q448" t="s">
        <v>121</v>
      </c>
      <c r="R448" t="s">
        <v>386</v>
      </c>
      <c r="S448">
        <v>250703</v>
      </c>
      <c r="T448" t="s">
        <v>147</v>
      </c>
      <c r="U448" t="s">
        <v>148</v>
      </c>
      <c r="V448" t="s">
        <v>1179</v>
      </c>
      <c r="W448">
        <v>8</v>
      </c>
      <c r="X448">
        <v>0</v>
      </c>
      <c r="Y448">
        <v>136.22999999999999</v>
      </c>
    </row>
    <row r="449" spans="1:25" x14ac:dyDescent="0.3">
      <c r="A449" t="s">
        <v>1177</v>
      </c>
      <c r="B449" t="s">
        <v>225</v>
      </c>
      <c r="C449" t="s">
        <v>259</v>
      </c>
      <c r="D449" s="9">
        <v>35527</v>
      </c>
      <c r="E449">
        <v>642.66</v>
      </c>
      <c r="F449">
        <v>2024</v>
      </c>
      <c r="G449" t="s">
        <v>28</v>
      </c>
      <c r="H449" t="s">
        <v>29</v>
      </c>
      <c r="I449" t="s">
        <v>30</v>
      </c>
      <c r="J449" t="s">
        <v>62</v>
      </c>
      <c r="K449" t="s">
        <v>32</v>
      </c>
      <c r="L449" t="s">
        <v>63</v>
      </c>
      <c r="M449" s="9">
        <v>45476</v>
      </c>
      <c r="N449" t="s">
        <v>1180</v>
      </c>
      <c r="O449" s="9">
        <v>45473</v>
      </c>
      <c r="P449" s="9">
        <v>45476</v>
      </c>
      <c r="Q449" t="s">
        <v>35</v>
      </c>
      <c r="R449" t="s">
        <v>386</v>
      </c>
      <c r="S449">
        <v>168540</v>
      </c>
      <c r="T449" t="s">
        <v>37</v>
      </c>
      <c r="U449" t="s">
        <v>38</v>
      </c>
      <c r="V449" t="s">
        <v>1181</v>
      </c>
      <c r="W449">
        <v>7</v>
      </c>
      <c r="X449">
        <v>0.15</v>
      </c>
      <c r="Y449">
        <v>95.82</v>
      </c>
    </row>
    <row r="450" spans="1:25" x14ac:dyDescent="0.3">
      <c r="A450" t="s">
        <v>1177</v>
      </c>
      <c r="B450" t="s">
        <v>225</v>
      </c>
      <c r="C450" t="s">
        <v>259</v>
      </c>
      <c r="D450" s="9">
        <v>35527</v>
      </c>
      <c r="E450">
        <v>1931.2</v>
      </c>
      <c r="F450">
        <v>2024</v>
      </c>
      <c r="G450" t="s">
        <v>87</v>
      </c>
      <c r="H450" t="s">
        <v>29</v>
      </c>
      <c r="I450" t="s">
        <v>92</v>
      </c>
      <c r="J450" t="s">
        <v>62</v>
      </c>
      <c r="K450" t="s">
        <v>32</v>
      </c>
      <c r="L450" t="s">
        <v>63</v>
      </c>
      <c r="M450" s="9">
        <v>45614</v>
      </c>
      <c r="N450" t="s">
        <v>1182</v>
      </c>
      <c r="O450" s="9">
        <v>45613</v>
      </c>
      <c r="P450" s="9">
        <v>45616</v>
      </c>
      <c r="Q450" t="s">
        <v>35</v>
      </c>
      <c r="R450" t="s">
        <v>386</v>
      </c>
      <c r="S450">
        <v>525392</v>
      </c>
      <c r="T450" t="s">
        <v>187</v>
      </c>
      <c r="U450" t="s">
        <v>188</v>
      </c>
      <c r="V450" t="s">
        <v>1183</v>
      </c>
      <c r="W450">
        <v>8</v>
      </c>
      <c r="X450">
        <v>0</v>
      </c>
      <c r="Y450">
        <v>260.08999999999997</v>
      </c>
    </row>
    <row r="451" spans="1:25" x14ac:dyDescent="0.3">
      <c r="A451" t="s">
        <v>1177</v>
      </c>
      <c r="B451" t="s">
        <v>225</v>
      </c>
      <c r="C451" t="s">
        <v>259</v>
      </c>
      <c r="D451" s="9">
        <v>35527</v>
      </c>
      <c r="E451">
        <v>2388.5300000000002</v>
      </c>
      <c r="F451">
        <v>2024</v>
      </c>
      <c r="G451" t="s">
        <v>87</v>
      </c>
      <c r="H451" t="s">
        <v>29</v>
      </c>
      <c r="I451" t="s">
        <v>49</v>
      </c>
      <c r="J451" t="s">
        <v>62</v>
      </c>
      <c r="K451" t="s">
        <v>32</v>
      </c>
      <c r="L451" t="s">
        <v>63</v>
      </c>
      <c r="M451" s="9">
        <v>45660</v>
      </c>
      <c r="N451" t="s">
        <v>1184</v>
      </c>
      <c r="O451" s="9">
        <v>45657</v>
      </c>
      <c r="P451" s="9">
        <v>45661</v>
      </c>
      <c r="Q451" t="s">
        <v>41</v>
      </c>
      <c r="R451" t="s">
        <v>386</v>
      </c>
      <c r="S451">
        <v>350164</v>
      </c>
      <c r="T451" t="s">
        <v>109</v>
      </c>
      <c r="U451" t="s">
        <v>110</v>
      </c>
      <c r="V451" t="s">
        <v>1185</v>
      </c>
      <c r="W451">
        <v>9</v>
      </c>
      <c r="X451">
        <v>0.2</v>
      </c>
      <c r="Y451">
        <v>335.91</v>
      </c>
    </row>
    <row r="452" spans="1:25" x14ac:dyDescent="0.3">
      <c r="A452" t="s">
        <v>1177</v>
      </c>
      <c r="B452" t="s">
        <v>225</v>
      </c>
      <c r="C452" t="s">
        <v>259</v>
      </c>
      <c r="D452" s="9">
        <v>35527</v>
      </c>
      <c r="E452">
        <v>1389.29</v>
      </c>
      <c r="F452">
        <v>2025</v>
      </c>
      <c r="G452" t="s">
        <v>87</v>
      </c>
      <c r="H452" t="s">
        <v>29</v>
      </c>
      <c r="I452" t="s">
        <v>30</v>
      </c>
      <c r="J452" t="s">
        <v>62</v>
      </c>
      <c r="K452" t="s">
        <v>32</v>
      </c>
      <c r="L452" t="s">
        <v>63</v>
      </c>
      <c r="M452" s="9">
        <v>45705</v>
      </c>
      <c r="N452" t="s">
        <v>1186</v>
      </c>
      <c r="O452" s="9">
        <v>45703</v>
      </c>
      <c r="P452" s="9">
        <v>45705</v>
      </c>
      <c r="Q452" t="s">
        <v>41</v>
      </c>
      <c r="R452" t="s">
        <v>386</v>
      </c>
      <c r="S452">
        <v>922412</v>
      </c>
      <c r="T452" t="s">
        <v>75</v>
      </c>
      <c r="U452" t="s">
        <v>76</v>
      </c>
      <c r="V452" t="s">
        <v>1187</v>
      </c>
      <c r="W452">
        <v>3</v>
      </c>
      <c r="X452">
        <v>0.05</v>
      </c>
      <c r="Y452">
        <v>97</v>
      </c>
    </row>
    <row r="453" spans="1:25" x14ac:dyDescent="0.3">
      <c r="A453" t="s">
        <v>1177</v>
      </c>
      <c r="B453" t="s">
        <v>225</v>
      </c>
      <c r="C453" t="s">
        <v>259</v>
      </c>
      <c r="D453" s="9">
        <v>35527</v>
      </c>
      <c r="E453">
        <v>350.47</v>
      </c>
      <c r="F453">
        <v>2025</v>
      </c>
      <c r="G453" t="s">
        <v>48</v>
      </c>
      <c r="H453" t="s">
        <v>29</v>
      </c>
      <c r="I453" t="s">
        <v>92</v>
      </c>
      <c r="J453" t="s">
        <v>62</v>
      </c>
      <c r="K453" t="s">
        <v>32</v>
      </c>
      <c r="L453" t="s">
        <v>63</v>
      </c>
      <c r="M453" s="9">
        <v>45758</v>
      </c>
      <c r="N453" t="s">
        <v>1188</v>
      </c>
      <c r="O453" s="9">
        <v>45755</v>
      </c>
      <c r="P453" s="9">
        <v>45760</v>
      </c>
      <c r="Q453" t="s">
        <v>41</v>
      </c>
      <c r="R453" t="s">
        <v>386</v>
      </c>
      <c r="S453">
        <v>441183</v>
      </c>
      <c r="T453" t="s">
        <v>94</v>
      </c>
      <c r="U453" t="s">
        <v>95</v>
      </c>
      <c r="V453" t="s">
        <v>1189</v>
      </c>
      <c r="W453">
        <v>4</v>
      </c>
      <c r="X453">
        <v>0.15</v>
      </c>
      <c r="Y453">
        <v>25.71</v>
      </c>
    </row>
    <row r="454" spans="1:25" x14ac:dyDescent="0.3">
      <c r="A454" t="s">
        <v>1190</v>
      </c>
      <c r="B454" t="s">
        <v>526</v>
      </c>
      <c r="C454" t="s">
        <v>226</v>
      </c>
      <c r="D454" s="9">
        <v>26350</v>
      </c>
      <c r="E454">
        <v>628.27</v>
      </c>
      <c r="F454">
        <v>2023</v>
      </c>
      <c r="G454" t="s">
        <v>28</v>
      </c>
      <c r="H454" t="s">
        <v>29</v>
      </c>
      <c r="I454" t="s">
        <v>92</v>
      </c>
      <c r="J454" t="s">
        <v>62</v>
      </c>
      <c r="K454" t="s">
        <v>32</v>
      </c>
      <c r="L454" t="s">
        <v>144</v>
      </c>
      <c r="M454" s="9">
        <v>45109</v>
      </c>
      <c r="N454" t="s">
        <v>1191</v>
      </c>
      <c r="O454" s="9">
        <v>45107</v>
      </c>
      <c r="P454" s="9">
        <v>45111</v>
      </c>
      <c r="Q454" t="s">
        <v>35</v>
      </c>
      <c r="R454" t="s">
        <v>1192</v>
      </c>
      <c r="S454">
        <v>194930</v>
      </c>
      <c r="T454" t="s">
        <v>187</v>
      </c>
      <c r="U454" t="s">
        <v>188</v>
      </c>
      <c r="V454" t="s">
        <v>1193</v>
      </c>
      <c r="W454">
        <v>2</v>
      </c>
      <c r="X454">
        <v>0.1</v>
      </c>
      <c r="Y454">
        <v>176.8</v>
      </c>
    </row>
    <row r="455" spans="1:25" x14ac:dyDescent="0.3">
      <c r="A455" t="s">
        <v>1190</v>
      </c>
      <c r="B455" t="s">
        <v>526</v>
      </c>
      <c r="C455" t="s">
        <v>226</v>
      </c>
      <c r="D455" s="9">
        <v>26350</v>
      </c>
      <c r="E455">
        <v>325.89</v>
      </c>
      <c r="F455">
        <v>2023</v>
      </c>
      <c r="G455" t="s">
        <v>28</v>
      </c>
      <c r="H455" t="s">
        <v>29</v>
      </c>
      <c r="I455" t="s">
        <v>61</v>
      </c>
      <c r="J455" t="s">
        <v>62</v>
      </c>
      <c r="K455" t="s">
        <v>32</v>
      </c>
      <c r="L455" t="s">
        <v>144</v>
      </c>
      <c r="M455" s="9">
        <v>45244</v>
      </c>
      <c r="N455" t="s">
        <v>1194</v>
      </c>
      <c r="O455" s="9">
        <v>45242</v>
      </c>
      <c r="P455" s="9">
        <v>45247</v>
      </c>
      <c r="Q455" t="s">
        <v>41</v>
      </c>
      <c r="R455" t="s">
        <v>1192</v>
      </c>
      <c r="S455">
        <v>305171</v>
      </c>
      <c r="T455" t="s">
        <v>66</v>
      </c>
      <c r="U455" t="s">
        <v>67</v>
      </c>
      <c r="V455" t="s">
        <v>1195</v>
      </c>
      <c r="W455">
        <v>1</v>
      </c>
      <c r="X455">
        <v>0.15</v>
      </c>
      <c r="Y455">
        <v>30.88</v>
      </c>
    </row>
    <row r="456" spans="1:25" x14ac:dyDescent="0.3">
      <c r="A456" t="s">
        <v>1190</v>
      </c>
      <c r="B456" t="s">
        <v>526</v>
      </c>
      <c r="C456" t="s">
        <v>226</v>
      </c>
      <c r="D456" s="9">
        <v>26350</v>
      </c>
      <c r="E456">
        <v>3410.97</v>
      </c>
      <c r="F456">
        <v>2024</v>
      </c>
      <c r="G456" t="s">
        <v>48</v>
      </c>
      <c r="H456" t="s">
        <v>29</v>
      </c>
      <c r="I456" t="s">
        <v>61</v>
      </c>
      <c r="J456" t="s">
        <v>62</v>
      </c>
      <c r="K456" t="s">
        <v>32</v>
      </c>
      <c r="L456" t="s">
        <v>144</v>
      </c>
      <c r="M456" s="9">
        <v>45384</v>
      </c>
      <c r="N456" t="s">
        <v>1196</v>
      </c>
      <c r="O456" s="9">
        <v>45382</v>
      </c>
      <c r="P456" s="9">
        <v>45386</v>
      </c>
      <c r="Q456" t="s">
        <v>35</v>
      </c>
      <c r="R456" t="s">
        <v>1192</v>
      </c>
      <c r="S456">
        <v>741194</v>
      </c>
      <c r="T456" t="s">
        <v>204</v>
      </c>
      <c r="U456" t="s">
        <v>205</v>
      </c>
      <c r="V456" t="s">
        <v>1197</v>
      </c>
      <c r="W456">
        <v>10</v>
      </c>
      <c r="X456">
        <v>0.15</v>
      </c>
      <c r="Y456">
        <v>482.19</v>
      </c>
    </row>
    <row r="457" spans="1:25" x14ac:dyDescent="0.3">
      <c r="A457" t="s">
        <v>1190</v>
      </c>
      <c r="B457" t="s">
        <v>526</v>
      </c>
      <c r="C457" t="s">
        <v>226</v>
      </c>
      <c r="D457" s="9">
        <v>26350</v>
      </c>
      <c r="E457">
        <v>1287.5999999999999</v>
      </c>
      <c r="F457">
        <v>2025</v>
      </c>
      <c r="G457" t="s">
        <v>48</v>
      </c>
      <c r="H457" t="s">
        <v>29</v>
      </c>
      <c r="I457" t="s">
        <v>30</v>
      </c>
      <c r="J457" t="s">
        <v>62</v>
      </c>
      <c r="K457" t="s">
        <v>32</v>
      </c>
      <c r="L457" t="s">
        <v>144</v>
      </c>
      <c r="M457" s="9">
        <v>45768</v>
      </c>
      <c r="N457" t="s">
        <v>1198</v>
      </c>
      <c r="O457" s="9">
        <v>45768</v>
      </c>
      <c r="P457" s="9">
        <v>45773</v>
      </c>
      <c r="Q457" t="s">
        <v>74</v>
      </c>
      <c r="R457" t="s">
        <v>1192</v>
      </c>
      <c r="S457">
        <v>215027</v>
      </c>
      <c r="T457" t="s">
        <v>37</v>
      </c>
      <c r="U457" t="s">
        <v>38</v>
      </c>
      <c r="V457" t="s">
        <v>1199</v>
      </c>
      <c r="W457">
        <v>3</v>
      </c>
      <c r="X457">
        <v>0</v>
      </c>
      <c r="Y457">
        <v>207</v>
      </c>
    </row>
    <row r="458" spans="1:25" x14ac:dyDescent="0.3">
      <c r="A458" t="s">
        <v>1200</v>
      </c>
      <c r="B458" t="s">
        <v>661</v>
      </c>
      <c r="C458" t="s">
        <v>284</v>
      </c>
      <c r="D458" s="9">
        <v>37503</v>
      </c>
      <c r="E458">
        <v>1429.08</v>
      </c>
      <c r="F458">
        <v>2023</v>
      </c>
      <c r="G458" t="s">
        <v>48</v>
      </c>
      <c r="H458" t="s">
        <v>29</v>
      </c>
      <c r="I458" t="s">
        <v>92</v>
      </c>
      <c r="J458" t="s">
        <v>31</v>
      </c>
      <c r="K458" t="s">
        <v>32</v>
      </c>
      <c r="L458" t="s">
        <v>63</v>
      </c>
      <c r="M458" s="9">
        <v>44959</v>
      </c>
      <c r="N458" t="s">
        <v>1201</v>
      </c>
      <c r="O458" s="9">
        <v>44958</v>
      </c>
      <c r="P458" s="9">
        <v>44960</v>
      </c>
      <c r="Q458" t="s">
        <v>121</v>
      </c>
      <c r="R458" t="s">
        <v>36</v>
      </c>
      <c r="S458">
        <v>682401</v>
      </c>
      <c r="T458" t="s">
        <v>94</v>
      </c>
      <c r="U458" t="s">
        <v>95</v>
      </c>
      <c r="V458" t="s">
        <v>1202</v>
      </c>
      <c r="W458">
        <v>7</v>
      </c>
      <c r="X458">
        <v>0.05</v>
      </c>
      <c r="Y458">
        <v>305.16000000000003</v>
      </c>
    </row>
    <row r="459" spans="1:25" x14ac:dyDescent="0.3">
      <c r="A459" t="s">
        <v>1200</v>
      </c>
      <c r="B459" t="s">
        <v>661</v>
      </c>
      <c r="C459" t="s">
        <v>284</v>
      </c>
      <c r="D459" s="9">
        <v>37503</v>
      </c>
      <c r="E459">
        <v>526.67999999999995</v>
      </c>
      <c r="F459">
        <v>2023</v>
      </c>
      <c r="G459" t="s">
        <v>48</v>
      </c>
      <c r="H459" t="s">
        <v>29</v>
      </c>
      <c r="I459" t="s">
        <v>92</v>
      </c>
      <c r="J459" t="s">
        <v>31</v>
      </c>
      <c r="K459" t="s">
        <v>32</v>
      </c>
      <c r="L459" t="s">
        <v>63</v>
      </c>
      <c r="M459" s="9">
        <v>45167</v>
      </c>
      <c r="N459" t="s">
        <v>1203</v>
      </c>
      <c r="O459" s="9">
        <v>45167</v>
      </c>
      <c r="P459" s="9">
        <v>45169</v>
      </c>
      <c r="Q459" t="s">
        <v>35</v>
      </c>
      <c r="R459" t="s">
        <v>36</v>
      </c>
      <c r="S459">
        <v>250990</v>
      </c>
      <c r="T459" t="s">
        <v>94</v>
      </c>
      <c r="U459" t="s">
        <v>95</v>
      </c>
      <c r="V459" t="s">
        <v>1204</v>
      </c>
      <c r="W459">
        <v>7</v>
      </c>
      <c r="X459">
        <v>0.2</v>
      </c>
      <c r="Y459">
        <v>132.21</v>
      </c>
    </row>
    <row r="460" spans="1:25" x14ac:dyDescent="0.3">
      <c r="A460" t="s">
        <v>1200</v>
      </c>
      <c r="B460" t="s">
        <v>661</v>
      </c>
      <c r="C460" t="s">
        <v>284</v>
      </c>
      <c r="D460" s="9">
        <v>37503</v>
      </c>
      <c r="E460">
        <v>3415.93</v>
      </c>
      <c r="F460">
        <v>2024</v>
      </c>
      <c r="G460" t="s">
        <v>87</v>
      </c>
      <c r="H460" t="s">
        <v>29</v>
      </c>
      <c r="I460" t="s">
        <v>49</v>
      </c>
      <c r="J460" t="s">
        <v>31</v>
      </c>
      <c r="K460" t="s">
        <v>32</v>
      </c>
      <c r="L460" t="s">
        <v>63</v>
      </c>
      <c r="M460" s="9">
        <v>45372</v>
      </c>
      <c r="N460" t="s">
        <v>1205</v>
      </c>
      <c r="O460" s="9">
        <v>45369</v>
      </c>
      <c r="P460" s="9">
        <v>45373</v>
      </c>
      <c r="Q460" t="s">
        <v>41</v>
      </c>
      <c r="R460" t="s">
        <v>36</v>
      </c>
      <c r="S460">
        <v>753523</v>
      </c>
      <c r="T460" t="s">
        <v>84</v>
      </c>
      <c r="U460" t="s">
        <v>85</v>
      </c>
      <c r="V460" t="s">
        <v>1206</v>
      </c>
      <c r="W460">
        <v>7</v>
      </c>
      <c r="X460">
        <v>0</v>
      </c>
      <c r="Y460">
        <v>257.56</v>
      </c>
    </row>
    <row r="461" spans="1:25" x14ac:dyDescent="0.3">
      <c r="A461" t="s">
        <v>1200</v>
      </c>
      <c r="B461" t="s">
        <v>661</v>
      </c>
      <c r="C461" t="s">
        <v>284</v>
      </c>
      <c r="D461" s="9">
        <v>37503</v>
      </c>
      <c r="E461">
        <v>1895.12</v>
      </c>
      <c r="F461">
        <v>2024</v>
      </c>
      <c r="G461" t="s">
        <v>28</v>
      </c>
      <c r="H461" t="s">
        <v>29</v>
      </c>
      <c r="I461" t="s">
        <v>61</v>
      </c>
      <c r="J461" t="s">
        <v>31</v>
      </c>
      <c r="K461" t="s">
        <v>32</v>
      </c>
      <c r="L461" t="s">
        <v>63</v>
      </c>
      <c r="M461" s="9">
        <v>45531</v>
      </c>
      <c r="N461" t="s">
        <v>1207</v>
      </c>
      <c r="O461" s="9">
        <v>45531</v>
      </c>
      <c r="P461" s="9">
        <v>45533</v>
      </c>
      <c r="Q461" t="s">
        <v>35</v>
      </c>
      <c r="R461" t="s">
        <v>36</v>
      </c>
      <c r="S461">
        <v>706012</v>
      </c>
      <c r="T461" t="s">
        <v>113</v>
      </c>
      <c r="U461" t="s">
        <v>114</v>
      </c>
      <c r="V461" t="s">
        <v>1208</v>
      </c>
      <c r="W461">
        <v>7</v>
      </c>
      <c r="X461">
        <v>0.05</v>
      </c>
      <c r="Y461">
        <v>313.48</v>
      </c>
    </row>
    <row r="462" spans="1:25" x14ac:dyDescent="0.3">
      <c r="A462" t="s">
        <v>1200</v>
      </c>
      <c r="B462" t="s">
        <v>661</v>
      </c>
      <c r="C462" t="s">
        <v>284</v>
      </c>
      <c r="D462" s="9">
        <v>37503</v>
      </c>
      <c r="E462">
        <v>1208.8399999999999</v>
      </c>
      <c r="F462">
        <v>2024</v>
      </c>
      <c r="G462" t="s">
        <v>87</v>
      </c>
      <c r="H462" t="s">
        <v>29</v>
      </c>
      <c r="I462" t="s">
        <v>92</v>
      </c>
      <c r="J462" t="s">
        <v>31</v>
      </c>
      <c r="K462" t="s">
        <v>32</v>
      </c>
      <c r="L462" t="s">
        <v>63</v>
      </c>
      <c r="M462" s="9">
        <v>45646</v>
      </c>
      <c r="N462" t="s">
        <v>1209</v>
      </c>
      <c r="O462" s="9">
        <v>45646</v>
      </c>
      <c r="P462" s="9">
        <v>45647</v>
      </c>
      <c r="Q462" t="s">
        <v>41</v>
      </c>
      <c r="R462" t="s">
        <v>36</v>
      </c>
      <c r="S462">
        <v>839122</v>
      </c>
      <c r="T462" t="s">
        <v>147</v>
      </c>
      <c r="U462" t="s">
        <v>148</v>
      </c>
      <c r="V462" t="s">
        <v>1210</v>
      </c>
      <c r="W462">
        <v>9</v>
      </c>
      <c r="X462">
        <v>0.1</v>
      </c>
      <c r="Y462">
        <v>269.45999999999998</v>
      </c>
    </row>
    <row r="463" spans="1:25" x14ac:dyDescent="0.3">
      <c r="A463" t="s">
        <v>1200</v>
      </c>
      <c r="B463" t="s">
        <v>661</v>
      </c>
      <c r="C463" t="s">
        <v>284</v>
      </c>
      <c r="D463" s="9">
        <v>37503</v>
      </c>
      <c r="E463">
        <v>3853.04</v>
      </c>
      <c r="F463">
        <v>2025</v>
      </c>
      <c r="G463" t="s">
        <v>28</v>
      </c>
      <c r="H463" t="s">
        <v>29</v>
      </c>
      <c r="I463" t="s">
        <v>43</v>
      </c>
      <c r="J463" t="s">
        <v>31</v>
      </c>
      <c r="K463" t="s">
        <v>32</v>
      </c>
      <c r="L463" t="s">
        <v>63</v>
      </c>
      <c r="M463" s="9">
        <v>45815</v>
      </c>
      <c r="N463" t="s">
        <v>1211</v>
      </c>
      <c r="O463" s="9">
        <v>45813</v>
      </c>
      <c r="P463" s="9">
        <v>45818</v>
      </c>
      <c r="Q463" t="s">
        <v>35</v>
      </c>
      <c r="R463" t="s">
        <v>36</v>
      </c>
      <c r="S463">
        <v>648779</v>
      </c>
      <c r="T463" t="s">
        <v>45</v>
      </c>
      <c r="U463" t="s">
        <v>46</v>
      </c>
      <c r="V463" t="s">
        <v>1212</v>
      </c>
      <c r="W463">
        <v>8</v>
      </c>
      <c r="X463">
        <v>0</v>
      </c>
      <c r="Y463">
        <v>356.89</v>
      </c>
    </row>
    <row r="464" spans="1:25" x14ac:dyDescent="0.3">
      <c r="A464" t="s">
        <v>1213</v>
      </c>
      <c r="B464" t="s">
        <v>467</v>
      </c>
      <c r="C464" t="s">
        <v>162</v>
      </c>
      <c r="D464" s="9">
        <v>30949</v>
      </c>
      <c r="E464">
        <v>3627.81</v>
      </c>
      <c r="F464">
        <v>2023</v>
      </c>
      <c r="G464" t="s">
        <v>28</v>
      </c>
      <c r="H464" t="s">
        <v>29</v>
      </c>
      <c r="I464" t="s">
        <v>49</v>
      </c>
      <c r="J464" t="s">
        <v>102</v>
      </c>
      <c r="K464" t="s">
        <v>32</v>
      </c>
      <c r="L464" t="s">
        <v>33</v>
      </c>
      <c r="M464" s="9">
        <v>45017</v>
      </c>
      <c r="N464" t="s">
        <v>1214</v>
      </c>
      <c r="O464" s="9">
        <v>45017</v>
      </c>
      <c r="P464" s="9">
        <v>45020</v>
      </c>
      <c r="Q464" t="s">
        <v>41</v>
      </c>
      <c r="R464" t="s">
        <v>104</v>
      </c>
      <c r="S464">
        <v>637566</v>
      </c>
      <c r="T464" t="s">
        <v>109</v>
      </c>
      <c r="U464" t="s">
        <v>110</v>
      </c>
      <c r="V464" t="s">
        <v>1215</v>
      </c>
      <c r="W464">
        <v>9</v>
      </c>
      <c r="X464">
        <v>0</v>
      </c>
      <c r="Y464">
        <v>848.59</v>
      </c>
    </row>
    <row r="465" spans="1:25" x14ac:dyDescent="0.3">
      <c r="A465" t="s">
        <v>1213</v>
      </c>
      <c r="B465" t="s">
        <v>467</v>
      </c>
      <c r="C465" t="s">
        <v>162</v>
      </c>
      <c r="D465" s="9">
        <v>30949</v>
      </c>
      <c r="E465">
        <v>2309.1799999999998</v>
      </c>
      <c r="F465">
        <v>2023</v>
      </c>
      <c r="G465" t="s">
        <v>87</v>
      </c>
      <c r="H465" t="s">
        <v>29</v>
      </c>
      <c r="I465" t="s">
        <v>92</v>
      </c>
      <c r="J465" t="s">
        <v>102</v>
      </c>
      <c r="K465" t="s">
        <v>32</v>
      </c>
      <c r="L465" t="s">
        <v>33</v>
      </c>
      <c r="M465" s="9">
        <v>45178</v>
      </c>
      <c r="N465" t="s">
        <v>1216</v>
      </c>
      <c r="O465" s="9">
        <v>45178</v>
      </c>
      <c r="P465" s="9">
        <v>45180</v>
      </c>
      <c r="Q465" t="s">
        <v>74</v>
      </c>
      <c r="R465" t="s">
        <v>104</v>
      </c>
      <c r="S465">
        <v>862285</v>
      </c>
      <c r="T465" t="s">
        <v>94</v>
      </c>
      <c r="U465" t="s">
        <v>95</v>
      </c>
      <c r="V465" t="s">
        <v>1217</v>
      </c>
      <c r="W465">
        <v>6</v>
      </c>
      <c r="X465">
        <v>0.2</v>
      </c>
      <c r="Y465">
        <v>319.56</v>
      </c>
    </row>
    <row r="466" spans="1:25" x14ac:dyDescent="0.3">
      <c r="A466" t="s">
        <v>1213</v>
      </c>
      <c r="B466" t="s">
        <v>467</v>
      </c>
      <c r="C466" t="s">
        <v>162</v>
      </c>
      <c r="D466" s="9">
        <v>30949</v>
      </c>
      <c r="E466">
        <v>2142.0700000000002</v>
      </c>
      <c r="F466">
        <v>2024</v>
      </c>
      <c r="G466" t="s">
        <v>28</v>
      </c>
      <c r="H466" t="s">
        <v>29</v>
      </c>
      <c r="I466" t="s">
        <v>30</v>
      </c>
      <c r="J466" t="s">
        <v>102</v>
      </c>
      <c r="K466" t="s">
        <v>32</v>
      </c>
      <c r="L466" t="s">
        <v>33</v>
      </c>
      <c r="M466" s="9">
        <v>45410</v>
      </c>
      <c r="N466" t="s">
        <v>1218</v>
      </c>
      <c r="O466" s="9">
        <v>45410</v>
      </c>
      <c r="P466" s="9">
        <v>45413</v>
      </c>
      <c r="Q466" t="s">
        <v>41</v>
      </c>
      <c r="R466" t="s">
        <v>104</v>
      </c>
      <c r="S466">
        <v>186518</v>
      </c>
      <c r="T466" t="s">
        <v>37</v>
      </c>
      <c r="U466" t="s">
        <v>38</v>
      </c>
      <c r="V466" t="s">
        <v>1219</v>
      </c>
      <c r="W466">
        <v>8</v>
      </c>
      <c r="X466">
        <v>0.1</v>
      </c>
      <c r="Y466">
        <v>140.28</v>
      </c>
    </row>
    <row r="467" spans="1:25" x14ac:dyDescent="0.3">
      <c r="A467" t="s">
        <v>1213</v>
      </c>
      <c r="B467" t="s">
        <v>467</v>
      </c>
      <c r="C467" t="s">
        <v>162</v>
      </c>
      <c r="D467" s="9">
        <v>30949</v>
      </c>
      <c r="E467">
        <v>634.41</v>
      </c>
      <c r="F467">
        <v>2024</v>
      </c>
      <c r="G467" t="s">
        <v>87</v>
      </c>
      <c r="H467" t="s">
        <v>29</v>
      </c>
      <c r="I467" t="s">
        <v>61</v>
      </c>
      <c r="J467" t="s">
        <v>102</v>
      </c>
      <c r="K467" t="s">
        <v>32</v>
      </c>
      <c r="L467" t="s">
        <v>33</v>
      </c>
      <c r="M467" s="9">
        <v>45572</v>
      </c>
      <c r="N467" t="s">
        <v>1220</v>
      </c>
      <c r="O467" s="9">
        <v>45572</v>
      </c>
      <c r="P467" s="9">
        <v>45575</v>
      </c>
      <c r="Q467" t="s">
        <v>35</v>
      </c>
      <c r="R467" t="s">
        <v>104</v>
      </c>
      <c r="S467">
        <v>733152</v>
      </c>
      <c r="T467" t="s">
        <v>312</v>
      </c>
      <c r="U467" t="s">
        <v>313</v>
      </c>
      <c r="V467" t="s">
        <v>1221</v>
      </c>
      <c r="W467">
        <v>5</v>
      </c>
      <c r="X467">
        <v>0.1</v>
      </c>
      <c r="Y467">
        <v>85.2</v>
      </c>
    </row>
    <row r="468" spans="1:25" x14ac:dyDescent="0.3">
      <c r="A468" t="s">
        <v>1213</v>
      </c>
      <c r="B468" t="s">
        <v>467</v>
      </c>
      <c r="C468" t="s">
        <v>162</v>
      </c>
      <c r="D468" s="9">
        <v>30949</v>
      </c>
      <c r="E468">
        <v>1579.92</v>
      </c>
      <c r="F468">
        <v>2024</v>
      </c>
      <c r="G468" t="s">
        <v>48</v>
      </c>
      <c r="H468" t="s">
        <v>29</v>
      </c>
      <c r="I468" t="s">
        <v>61</v>
      </c>
      <c r="J468" t="s">
        <v>102</v>
      </c>
      <c r="K468" t="s">
        <v>32</v>
      </c>
      <c r="L468" t="s">
        <v>33</v>
      </c>
      <c r="M468" s="9">
        <v>45607</v>
      </c>
      <c r="N468" t="s">
        <v>1222</v>
      </c>
      <c r="O468" s="9">
        <v>45606</v>
      </c>
      <c r="P468" s="9">
        <v>45608</v>
      </c>
      <c r="Q468" t="s">
        <v>35</v>
      </c>
      <c r="R468" t="s">
        <v>104</v>
      </c>
      <c r="S468">
        <v>459502</v>
      </c>
      <c r="T468" t="s">
        <v>66</v>
      </c>
      <c r="U468" t="s">
        <v>67</v>
      </c>
      <c r="V468" t="s">
        <v>1223</v>
      </c>
      <c r="W468">
        <v>8</v>
      </c>
      <c r="X468">
        <v>0</v>
      </c>
      <c r="Y468">
        <v>202.82</v>
      </c>
    </row>
    <row r="469" spans="1:25" x14ac:dyDescent="0.3">
      <c r="A469" t="s">
        <v>1213</v>
      </c>
      <c r="B469" t="s">
        <v>467</v>
      </c>
      <c r="C469" t="s">
        <v>162</v>
      </c>
      <c r="D469" s="9">
        <v>30949</v>
      </c>
      <c r="E469">
        <v>1012.92</v>
      </c>
      <c r="F469">
        <v>2025</v>
      </c>
      <c r="G469" t="s">
        <v>87</v>
      </c>
      <c r="H469" t="s">
        <v>29</v>
      </c>
      <c r="I469" t="s">
        <v>78</v>
      </c>
      <c r="J469" t="s">
        <v>102</v>
      </c>
      <c r="K469" t="s">
        <v>32</v>
      </c>
      <c r="L469" t="s">
        <v>33</v>
      </c>
      <c r="M469" s="9">
        <v>45687</v>
      </c>
      <c r="N469" t="s">
        <v>1224</v>
      </c>
      <c r="O469" s="9">
        <v>45686</v>
      </c>
      <c r="P469" s="9">
        <v>45690</v>
      </c>
      <c r="Q469" t="s">
        <v>41</v>
      </c>
      <c r="R469" t="s">
        <v>104</v>
      </c>
      <c r="S469">
        <v>861265</v>
      </c>
      <c r="T469" t="s">
        <v>89</v>
      </c>
      <c r="U469" t="s">
        <v>90</v>
      </c>
      <c r="V469" t="s">
        <v>1225</v>
      </c>
      <c r="W469">
        <v>3</v>
      </c>
      <c r="X469">
        <v>0.2</v>
      </c>
      <c r="Y469">
        <v>352.57</v>
      </c>
    </row>
    <row r="470" spans="1:25" x14ac:dyDescent="0.3">
      <c r="A470" t="s">
        <v>1226</v>
      </c>
      <c r="B470" t="s">
        <v>650</v>
      </c>
      <c r="C470" t="s">
        <v>176</v>
      </c>
      <c r="D470" s="9">
        <v>28981</v>
      </c>
      <c r="E470">
        <v>1913.15</v>
      </c>
      <c r="F470">
        <v>2023</v>
      </c>
      <c r="G470" t="s">
        <v>28</v>
      </c>
      <c r="H470" t="s">
        <v>29</v>
      </c>
      <c r="I470" t="s">
        <v>43</v>
      </c>
      <c r="J470" t="s">
        <v>62</v>
      </c>
      <c r="K470" t="s">
        <v>32</v>
      </c>
      <c r="L470" t="s">
        <v>33</v>
      </c>
      <c r="M470" s="9">
        <v>45145</v>
      </c>
      <c r="N470" t="s">
        <v>1227</v>
      </c>
      <c r="O470" s="9">
        <v>45142</v>
      </c>
      <c r="P470" s="9">
        <v>45146</v>
      </c>
      <c r="Q470" t="s">
        <v>74</v>
      </c>
      <c r="R470" t="s">
        <v>65</v>
      </c>
      <c r="S470">
        <v>599401</v>
      </c>
      <c r="T470" t="s">
        <v>45</v>
      </c>
      <c r="U470" t="s">
        <v>46</v>
      </c>
      <c r="V470" t="s">
        <v>702</v>
      </c>
      <c r="W470">
        <v>5</v>
      </c>
      <c r="X470">
        <v>0</v>
      </c>
      <c r="Y470">
        <v>125.8</v>
      </c>
    </row>
    <row r="471" spans="1:25" x14ac:dyDescent="0.3">
      <c r="A471" t="s">
        <v>1226</v>
      </c>
      <c r="B471" t="s">
        <v>650</v>
      </c>
      <c r="C471" t="s">
        <v>176</v>
      </c>
      <c r="D471" s="9">
        <v>28981</v>
      </c>
      <c r="E471">
        <v>2314.73</v>
      </c>
      <c r="F471">
        <v>2024</v>
      </c>
      <c r="G471" t="s">
        <v>28</v>
      </c>
      <c r="H471" t="s">
        <v>29</v>
      </c>
      <c r="I471" t="s">
        <v>49</v>
      </c>
      <c r="J471" t="s">
        <v>62</v>
      </c>
      <c r="K471" t="s">
        <v>32</v>
      </c>
      <c r="L471" t="s">
        <v>33</v>
      </c>
      <c r="M471" s="9">
        <v>45520</v>
      </c>
      <c r="N471" t="s">
        <v>1228</v>
      </c>
      <c r="O471" s="9">
        <v>45518</v>
      </c>
      <c r="P471" s="9">
        <v>45520</v>
      </c>
      <c r="Q471" t="s">
        <v>35</v>
      </c>
      <c r="R471" t="s">
        <v>65</v>
      </c>
      <c r="S471">
        <v>402820</v>
      </c>
      <c r="T471" t="s">
        <v>51</v>
      </c>
      <c r="U471" t="s">
        <v>52</v>
      </c>
      <c r="V471" t="s">
        <v>1229</v>
      </c>
      <c r="W471">
        <v>7</v>
      </c>
      <c r="X471">
        <v>0.05</v>
      </c>
      <c r="Y471">
        <v>445.3</v>
      </c>
    </row>
    <row r="472" spans="1:25" x14ac:dyDescent="0.3">
      <c r="A472" t="s">
        <v>1226</v>
      </c>
      <c r="B472" t="s">
        <v>650</v>
      </c>
      <c r="C472" t="s">
        <v>176</v>
      </c>
      <c r="D472" s="9">
        <v>28981</v>
      </c>
      <c r="E472">
        <v>2456.41</v>
      </c>
      <c r="F472">
        <v>2025</v>
      </c>
      <c r="G472" t="s">
        <v>28</v>
      </c>
      <c r="H472" t="s">
        <v>29</v>
      </c>
      <c r="I472" t="s">
        <v>92</v>
      </c>
      <c r="J472" t="s">
        <v>62</v>
      </c>
      <c r="K472" t="s">
        <v>32</v>
      </c>
      <c r="L472" t="s">
        <v>33</v>
      </c>
      <c r="M472" s="9">
        <v>45679</v>
      </c>
      <c r="N472" t="s">
        <v>1230</v>
      </c>
      <c r="O472" s="9">
        <v>45678</v>
      </c>
      <c r="P472" s="9">
        <v>45679</v>
      </c>
      <c r="Q472" t="s">
        <v>74</v>
      </c>
      <c r="R472" t="s">
        <v>65</v>
      </c>
      <c r="S472">
        <v>451238</v>
      </c>
      <c r="T472" t="s">
        <v>127</v>
      </c>
      <c r="U472" t="s">
        <v>128</v>
      </c>
      <c r="V472" t="s">
        <v>1231</v>
      </c>
      <c r="W472">
        <v>6</v>
      </c>
      <c r="X472">
        <v>0.15</v>
      </c>
      <c r="Y472">
        <v>827.22</v>
      </c>
    </row>
    <row r="473" spans="1:25" x14ac:dyDescent="0.3">
      <c r="A473" t="s">
        <v>1226</v>
      </c>
      <c r="B473" t="s">
        <v>650</v>
      </c>
      <c r="C473" t="s">
        <v>176</v>
      </c>
      <c r="D473" s="9">
        <v>28981</v>
      </c>
      <c r="E473">
        <v>256.63</v>
      </c>
      <c r="F473">
        <v>2025</v>
      </c>
      <c r="G473" t="s">
        <v>87</v>
      </c>
      <c r="H473" t="s">
        <v>29</v>
      </c>
      <c r="I473" t="s">
        <v>43</v>
      </c>
      <c r="J473" t="s">
        <v>62</v>
      </c>
      <c r="K473" t="s">
        <v>32</v>
      </c>
      <c r="L473" t="s">
        <v>33</v>
      </c>
      <c r="M473" s="9">
        <v>45791</v>
      </c>
      <c r="N473" t="s">
        <v>1232</v>
      </c>
      <c r="O473" s="9">
        <v>45789</v>
      </c>
      <c r="P473" s="9">
        <v>45791</v>
      </c>
      <c r="Q473" t="s">
        <v>121</v>
      </c>
      <c r="R473" t="s">
        <v>65</v>
      </c>
      <c r="S473">
        <v>645209</v>
      </c>
      <c r="T473" t="s">
        <v>153</v>
      </c>
      <c r="U473" t="s">
        <v>154</v>
      </c>
      <c r="V473" t="s">
        <v>1233</v>
      </c>
      <c r="W473">
        <v>2</v>
      </c>
      <c r="X473">
        <v>0.1</v>
      </c>
      <c r="Y473">
        <v>42.95</v>
      </c>
    </row>
    <row r="474" spans="1:25" x14ac:dyDescent="0.3">
      <c r="A474" t="s">
        <v>1234</v>
      </c>
      <c r="B474" t="s">
        <v>375</v>
      </c>
      <c r="C474" t="s">
        <v>284</v>
      </c>
      <c r="D474" s="9">
        <v>30018</v>
      </c>
      <c r="E474">
        <v>419.21</v>
      </c>
      <c r="F474">
        <v>2023</v>
      </c>
      <c r="G474" t="s">
        <v>87</v>
      </c>
      <c r="H474" t="s">
        <v>163</v>
      </c>
      <c r="I474" t="s">
        <v>30</v>
      </c>
      <c r="J474" t="s">
        <v>102</v>
      </c>
      <c r="K474" t="s">
        <v>32</v>
      </c>
      <c r="L474" t="s">
        <v>33</v>
      </c>
      <c r="M474" s="9">
        <v>45111</v>
      </c>
      <c r="N474" t="s">
        <v>1235</v>
      </c>
      <c r="O474" s="9">
        <v>45111</v>
      </c>
      <c r="P474" s="9">
        <v>45116</v>
      </c>
      <c r="Q474" t="s">
        <v>41</v>
      </c>
      <c r="R474" t="s">
        <v>178</v>
      </c>
      <c r="S474">
        <v>468591</v>
      </c>
      <c r="T474" t="s">
        <v>75</v>
      </c>
      <c r="U474" t="s">
        <v>76</v>
      </c>
      <c r="V474" t="s">
        <v>1236</v>
      </c>
      <c r="W474">
        <v>1</v>
      </c>
      <c r="X474">
        <v>0</v>
      </c>
      <c r="Y474">
        <v>72.680000000000007</v>
      </c>
    </row>
    <row r="475" spans="1:25" x14ac:dyDescent="0.3">
      <c r="A475" t="s">
        <v>1234</v>
      </c>
      <c r="B475" t="s">
        <v>375</v>
      </c>
      <c r="C475" t="s">
        <v>284</v>
      </c>
      <c r="D475" s="9">
        <v>30018</v>
      </c>
      <c r="E475">
        <v>130.82</v>
      </c>
      <c r="F475">
        <v>2023</v>
      </c>
      <c r="G475" t="s">
        <v>48</v>
      </c>
      <c r="H475" t="s">
        <v>163</v>
      </c>
      <c r="I475" t="s">
        <v>61</v>
      </c>
      <c r="J475" t="s">
        <v>102</v>
      </c>
      <c r="K475" t="s">
        <v>32</v>
      </c>
      <c r="L475" t="s">
        <v>33</v>
      </c>
      <c r="M475" s="9">
        <v>45252</v>
      </c>
      <c r="N475" t="s">
        <v>1237</v>
      </c>
      <c r="O475" s="9">
        <v>45247</v>
      </c>
      <c r="P475" s="9">
        <v>45252</v>
      </c>
      <c r="Q475" t="s">
        <v>35</v>
      </c>
      <c r="R475" t="s">
        <v>178</v>
      </c>
      <c r="S475">
        <v>842470</v>
      </c>
      <c r="T475" t="s">
        <v>204</v>
      </c>
      <c r="U475" t="s">
        <v>205</v>
      </c>
      <c r="V475" t="s">
        <v>1238</v>
      </c>
      <c r="W475">
        <v>4</v>
      </c>
      <c r="X475">
        <v>0.1</v>
      </c>
      <c r="Y475">
        <v>10.15</v>
      </c>
    </row>
    <row r="476" spans="1:25" x14ac:dyDescent="0.3">
      <c r="A476" t="s">
        <v>1234</v>
      </c>
      <c r="B476" t="s">
        <v>375</v>
      </c>
      <c r="C476" t="s">
        <v>284</v>
      </c>
      <c r="D476" s="9">
        <v>30018</v>
      </c>
      <c r="E476">
        <v>700.06</v>
      </c>
      <c r="F476">
        <v>2024</v>
      </c>
      <c r="G476" t="s">
        <v>48</v>
      </c>
      <c r="H476" t="s">
        <v>163</v>
      </c>
      <c r="I476" t="s">
        <v>78</v>
      </c>
      <c r="J476" t="s">
        <v>102</v>
      </c>
      <c r="K476" t="s">
        <v>32</v>
      </c>
      <c r="L476" t="s">
        <v>33</v>
      </c>
      <c r="M476" s="9">
        <v>45634</v>
      </c>
      <c r="N476" t="s">
        <v>1239</v>
      </c>
      <c r="O476" s="9">
        <v>45633</v>
      </c>
      <c r="P476" s="9">
        <v>45638</v>
      </c>
      <c r="Q476" t="s">
        <v>121</v>
      </c>
      <c r="R476" t="s">
        <v>178</v>
      </c>
      <c r="S476">
        <v>365641</v>
      </c>
      <c r="T476" t="s">
        <v>135</v>
      </c>
      <c r="U476" t="s">
        <v>136</v>
      </c>
      <c r="V476" t="s">
        <v>1240</v>
      </c>
      <c r="W476">
        <v>10</v>
      </c>
      <c r="X476">
        <v>0.15</v>
      </c>
      <c r="Y476">
        <v>195.43</v>
      </c>
    </row>
    <row r="477" spans="1:25" x14ac:dyDescent="0.3">
      <c r="A477" t="s">
        <v>1241</v>
      </c>
      <c r="B477" t="s">
        <v>617</v>
      </c>
      <c r="C477" t="s">
        <v>348</v>
      </c>
      <c r="D477" s="9">
        <v>29164</v>
      </c>
      <c r="E477">
        <v>2096.0100000000002</v>
      </c>
      <c r="F477">
        <v>2023</v>
      </c>
      <c r="G477" t="s">
        <v>48</v>
      </c>
      <c r="H477" t="s">
        <v>29</v>
      </c>
      <c r="I477" t="s">
        <v>92</v>
      </c>
      <c r="J477" t="s">
        <v>62</v>
      </c>
      <c r="K477" t="s">
        <v>32</v>
      </c>
      <c r="L477" t="s">
        <v>144</v>
      </c>
      <c r="M477" s="9">
        <v>45006</v>
      </c>
      <c r="N477" t="s">
        <v>1242</v>
      </c>
      <c r="O477" s="9">
        <v>45004</v>
      </c>
      <c r="P477" s="9">
        <v>45007</v>
      </c>
      <c r="Q477" t="s">
        <v>35</v>
      </c>
      <c r="R477" t="s">
        <v>65</v>
      </c>
      <c r="S477">
        <v>390756</v>
      </c>
      <c r="T477" t="s">
        <v>94</v>
      </c>
      <c r="U477" t="s">
        <v>95</v>
      </c>
      <c r="V477" t="s">
        <v>1243</v>
      </c>
      <c r="W477">
        <v>7</v>
      </c>
      <c r="X477">
        <v>0.15</v>
      </c>
      <c r="Y477">
        <v>588.9</v>
      </c>
    </row>
    <row r="478" spans="1:25" x14ac:dyDescent="0.3">
      <c r="A478" t="s">
        <v>1241</v>
      </c>
      <c r="B478" t="s">
        <v>617</v>
      </c>
      <c r="C478" t="s">
        <v>348</v>
      </c>
      <c r="D478" s="9">
        <v>29164</v>
      </c>
      <c r="E478">
        <v>2988.36</v>
      </c>
      <c r="F478">
        <v>2024</v>
      </c>
      <c r="G478" t="s">
        <v>28</v>
      </c>
      <c r="H478" t="s">
        <v>29</v>
      </c>
      <c r="I478" t="s">
        <v>78</v>
      </c>
      <c r="J478" t="s">
        <v>62</v>
      </c>
      <c r="K478" t="s">
        <v>32</v>
      </c>
      <c r="L478" t="s">
        <v>144</v>
      </c>
      <c r="M478" s="9">
        <v>45582</v>
      </c>
      <c r="N478" t="s">
        <v>1244</v>
      </c>
      <c r="O478" s="9">
        <v>45581</v>
      </c>
      <c r="P478" s="9">
        <v>45584</v>
      </c>
      <c r="Q478" t="s">
        <v>35</v>
      </c>
      <c r="R478" t="s">
        <v>65</v>
      </c>
      <c r="S478">
        <v>615607</v>
      </c>
      <c r="T478" t="s">
        <v>80</v>
      </c>
      <c r="U478" t="s">
        <v>81</v>
      </c>
      <c r="V478" t="s">
        <v>1245</v>
      </c>
      <c r="W478">
        <v>6</v>
      </c>
      <c r="X478">
        <v>0</v>
      </c>
      <c r="Y478">
        <v>1006.13</v>
      </c>
    </row>
    <row r="479" spans="1:25" x14ac:dyDescent="0.3">
      <c r="A479" t="s">
        <v>1241</v>
      </c>
      <c r="B479" t="s">
        <v>617</v>
      </c>
      <c r="C479" t="s">
        <v>348</v>
      </c>
      <c r="D479" s="9">
        <v>29164</v>
      </c>
      <c r="E479">
        <v>518.76</v>
      </c>
      <c r="F479">
        <v>2024</v>
      </c>
      <c r="G479" t="s">
        <v>87</v>
      </c>
      <c r="H479" t="s">
        <v>29</v>
      </c>
      <c r="I479" t="s">
        <v>61</v>
      </c>
      <c r="J479" t="s">
        <v>62</v>
      </c>
      <c r="K479" t="s">
        <v>32</v>
      </c>
      <c r="L479" t="s">
        <v>144</v>
      </c>
      <c r="M479" s="9">
        <v>45605</v>
      </c>
      <c r="N479" t="s">
        <v>1246</v>
      </c>
      <c r="O479" s="9">
        <v>45603</v>
      </c>
      <c r="P479" s="9">
        <v>45605</v>
      </c>
      <c r="Q479" t="s">
        <v>35</v>
      </c>
      <c r="R479" t="s">
        <v>65</v>
      </c>
      <c r="S479">
        <v>563031</v>
      </c>
      <c r="T479" t="s">
        <v>113</v>
      </c>
      <c r="U479" t="s">
        <v>114</v>
      </c>
      <c r="V479" t="s">
        <v>1247</v>
      </c>
      <c r="W479">
        <v>8</v>
      </c>
      <c r="X479">
        <v>0.1</v>
      </c>
      <c r="Y479">
        <v>145.57</v>
      </c>
    </row>
    <row r="480" spans="1:25" x14ac:dyDescent="0.3">
      <c r="A480" t="s">
        <v>1248</v>
      </c>
      <c r="B480" t="s">
        <v>1249</v>
      </c>
      <c r="C480" t="s">
        <v>322</v>
      </c>
      <c r="D480" s="9">
        <v>37389</v>
      </c>
      <c r="E480">
        <v>220.48</v>
      </c>
      <c r="F480">
        <v>2023</v>
      </c>
      <c r="G480" t="s">
        <v>87</v>
      </c>
      <c r="H480" t="s">
        <v>29</v>
      </c>
      <c r="I480" t="s">
        <v>49</v>
      </c>
      <c r="J480" t="s">
        <v>143</v>
      </c>
      <c r="K480" t="s">
        <v>32</v>
      </c>
      <c r="L480" t="s">
        <v>63</v>
      </c>
      <c r="M480" s="9">
        <v>44962</v>
      </c>
      <c r="N480" t="s">
        <v>1250</v>
      </c>
      <c r="O480" s="9">
        <v>44962</v>
      </c>
      <c r="P480" s="9">
        <v>44963</v>
      </c>
      <c r="Q480" t="s">
        <v>41</v>
      </c>
      <c r="R480" t="s">
        <v>146</v>
      </c>
      <c r="S480">
        <v>379378</v>
      </c>
      <c r="T480" t="s">
        <v>84</v>
      </c>
      <c r="U480" t="s">
        <v>85</v>
      </c>
      <c r="V480" t="s">
        <v>1251</v>
      </c>
      <c r="W480">
        <v>8</v>
      </c>
      <c r="X480">
        <v>0.05</v>
      </c>
      <c r="Y480">
        <v>20.87</v>
      </c>
    </row>
    <row r="481" spans="1:25" x14ac:dyDescent="0.3">
      <c r="A481" t="s">
        <v>1248</v>
      </c>
      <c r="B481" t="s">
        <v>1249</v>
      </c>
      <c r="C481" t="s">
        <v>322</v>
      </c>
      <c r="D481" s="9">
        <v>37389</v>
      </c>
      <c r="E481">
        <v>185.13</v>
      </c>
      <c r="F481">
        <v>2023</v>
      </c>
      <c r="G481" t="s">
        <v>28</v>
      </c>
      <c r="H481" t="s">
        <v>29</v>
      </c>
      <c r="I481" t="s">
        <v>61</v>
      </c>
      <c r="J481" t="s">
        <v>143</v>
      </c>
      <c r="K481" t="s">
        <v>32</v>
      </c>
      <c r="L481" t="s">
        <v>63</v>
      </c>
      <c r="M481" s="9">
        <v>45002</v>
      </c>
      <c r="N481" t="s">
        <v>1252</v>
      </c>
      <c r="O481" s="9">
        <v>44999</v>
      </c>
      <c r="P481" s="9">
        <v>45003</v>
      </c>
      <c r="Q481" t="s">
        <v>41</v>
      </c>
      <c r="R481" t="s">
        <v>146</v>
      </c>
      <c r="S481">
        <v>985049</v>
      </c>
      <c r="T481" t="s">
        <v>204</v>
      </c>
      <c r="U481" t="s">
        <v>205</v>
      </c>
      <c r="V481" t="s">
        <v>1253</v>
      </c>
      <c r="W481">
        <v>10</v>
      </c>
      <c r="X481">
        <v>0.15</v>
      </c>
      <c r="Y481">
        <v>61.46</v>
      </c>
    </row>
    <row r="482" spans="1:25" x14ac:dyDescent="0.3">
      <c r="A482" t="s">
        <v>1248</v>
      </c>
      <c r="B482" t="s">
        <v>1249</v>
      </c>
      <c r="C482" t="s">
        <v>322</v>
      </c>
      <c r="D482" s="9">
        <v>37389</v>
      </c>
      <c r="E482">
        <v>73.41</v>
      </c>
      <c r="F482">
        <v>2023</v>
      </c>
      <c r="G482" t="s">
        <v>87</v>
      </c>
      <c r="H482" t="s">
        <v>29</v>
      </c>
      <c r="I482" t="s">
        <v>49</v>
      </c>
      <c r="J482" t="s">
        <v>143</v>
      </c>
      <c r="K482" t="s">
        <v>32</v>
      </c>
      <c r="L482" t="s">
        <v>63</v>
      </c>
      <c r="M482" s="9">
        <v>45001</v>
      </c>
      <c r="N482" t="s">
        <v>1254</v>
      </c>
      <c r="O482" s="9">
        <v>45001</v>
      </c>
      <c r="P482" s="9">
        <v>45005</v>
      </c>
      <c r="Q482" t="s">
        <v>74</v>
      </c>
      <c r="R482" t="s">
        <v>146</v>
      </c>
      <c r="S482">
        <v>449636</v>
      </c>
      <c r="T482" t="s">
        <v>109</v>
      </c>
      <c r="U482" t="s">
        <v>110</v>
      </c>
      <c r="V482" t="s">
        <v>1255</v>
      </c>
      <c r="W482">
        <v>4</v>
      </c>
      <c r="X482">
        <v>0.15</v>
      </c>
      <c r="Y482">
        <v>21.68</v>
      </c>
    </row>
    <row r="483" spans="1:25" x14ac:dyDescent="0.3">
      <c r="A483" t="s">
        <v>1248</v>
      </c>
      <c r="B483" t="s">
        <v>1249</v>
      </c>
      <c r="C483" t="s">
        <v>322</v>
      </c>
      <c r="D483" s="9">
        <v>37389</v>
      </c>
      <c r="E483">
        <v>274.97000000000003</v>
      </c>
      <c r="F483">
        <v>2023</v>
      </c>
      <c r="G483" t="s">
        <v>48</v>
      </c>
      <c r="H483" t="s">
        <v>29</v>
      </c>
      <c r="I483" t="s">
        <v>49</v>
      </c>
      <c r="J483" t="s">
        <v>143</v>
      </c>
      <c r="K483" t="s">
        <v>32</v>
      </c>
      <c r="L483" t="s">
        <v>63</v>
      </c>
      <c r="M483" s="9">
        <v>45034</v>
      </c>
      <c r="N483" t="s">
        <v>1256</v>
      </c>
      <c r="O483" s="9">
        <v>45032</v>
      </c>
      <c r="P483" s="9">
        <v>45037</v>
      </c>
      <c r="Q483" t="s">
        <v>41</v>
      </c>
      <c r="R483" t="s">
        <v>146</v>
      </c>
      <c r="S483">
        <v>897392</v>
      </c>
      <c r="T483" t="s">
        <v>84</v>
      </c>
      <c r="U483" t="s">
        <v>85</v>
      </c>
      <c r="V483" t="s">
        <v>1257</v>
      </c>
      <c r="W483">
        <v>1</v>
      </c>
      <c r="X483">
        <v>0.15</v>
      </c>
      <c r="Y483">
        <v>21.23</v>
      </c>
    </row>
    <row r="484" spans="1:25" x14ac:dyDescent="0.3">
      <c r="A484" t="s">
        <v>1248</v>
      </c>
      <c r="B484" t="s">
        <v>1249</v>
      </c>
      <c r="C484" t="s">
        <v>322</v>
      </c>
      <c r="D484" s="9">
        <v>37389</v>
      </c>
      <c r="E484">
        <v>815.53</v>
      </c>
      <c r="F484">
        <v>2024</v>
      </c>
      <c r="G484" t="s">
        <v>48</v>
      </c>
      <c r="H484" t="s">
        <v>29</v>
      </c>
      <c r="I484" t="s">
        <v>43</v>
      </c>
      <c r="J484" t="s">
        <v>143</v>
      </c>
      <c r="K484" t="s">
        <v>32</v>
      </c>
      <c r="L484" t="s">
        <v>63</v>
      </c>
      <c r="M484" s="9">
        <v>45515</v>
      </c>
      <c r="N484" t="s">
        <v>1258</v>
      </c>
      <c r="O484" s="9">
        <v>45512</v>
      </c>
      <c r="P484" s="9">
        <v>45515</v>
      </c>
      <c r="Q484" t="s">
        <v>74</v>
      </c>
      <c r="R484" t="s">
        <v>146</v>
      </c>
      <c r="S484">
        <v>610135</v>
      </c>
      <c r="T484" t="s">
        <v>70</v>
      </c>
      <c r="U484" t="s">
        <v>71</v>
      </c>
      <c r="V484" t="s">
        <v>1259</v>
      </c>
      <c r="W484">
        <v>3</v>
      </c>
      <c r="X484">
        <v>0.05</v>
      </c>
      <c r="Y484">
        <v>202.43</v>
      </c>
    </row>
    <row r="485" spans="1:25" x14ac:dyDescent="0.3">
      <c r="A485" t="s">
        <v>1260</v>
      </c>
      <c r="B485" t="s">
        <v>684</v>
      </c>
      <c r="C485" t="s">
        <v>964</v>
      </c>
      <c r="D485" s="9">
        <v>36286</v>
      </c>
      <c r="E485">
        <v>95.78</v>
      </c>
      <c r="F485">
        <v>2024</v>
      </c>
      <c r="G485" t="s">
        <v>28</v>
      </c>
      <c r="H485" t="s">
        <v>29</v>
      </c>
      <c r="I485" t="s">
        <v>92</v>
      </c>
      <c r="J485" t="s">
        <v>227</v>
      </c>
      <c r="K485" t="s">
        <v>32</v>
      </c>
      <c r="L485" t="s">
        <v>144</v>
      </c>
      <c r="M485" s="9">
        <v>45575</v>
      </c>
      <c r="N485" t="s">
        <v>1261</v>
      </c>
      <c r="O485" s="9">
        <v>45574</v>
      </c>
      <c r="P485" s="9">
        <v>45576</v>
      </c>
      <c r="Q485" t="s">
        <v>35</v>
      </c>
      <c r="R485" t="s">
        <v>229</v>
      </c>
      <c r="S485">
        <v>931247</v>
      </c>
      <c r="T485" t="s">
        <v>147</v>
      </c>
      <c r="U485" t="s">
        <v>148</v>
      </c>
      <c r="V485" t="s">
        <v>1262</v>
      </c>
      <c r="W485">
        <v>1</v>
      </c>
      <c r="X485">
        <v>0.15</v>
      </c>
      <c r="Y485">
        <v>33.42</v>
      </c>
    </row>
    <row r="486" spans="1:25" x14ac:dyDescent="0.3">
      <c r="A486" t="s">
        <v>1263</v>
      </c>
      <c r="B486" t="s">
        <v>399</v>
      </c>
      <c r="C486" t="s">
        <v>897</v>
      </c>
      <c r="D486" s="9">
        <v>28635</v>
      </c>
      <c r="E486">
        <v>225.17</v>
      </c>
      <c r="F486">
        <v>2023</v>
      </c>
      <c r="G486" t="s">
        <v>48</v>
      </c>
      <c r="H486" t="s">
        <v>29</v>
      </c>
      <c r="I486" t="s">
        <v>92</v>
      </c>
      <c r="J486" t="s">
        <v>143</v>
      </c>
      <c r="K486" t="s">
        <v>32</v>
      </c>
      <c r="L486" t="s">
        <v>63</v>
      </c>
      <c r="M486" s="9">
        <v>45242</v>
      </c>
      <c r="N486" t="s">
        <v>1264</v>
      </c>
      <c r="O486" s="9">
        <v>45242</v>
      </c>
      <c r="P486" s="9">
        <v>45246</v>
      </c>
      <c r="Q486" t="s">
        <v>41</v>
      </c>
      <c r="R486" t="s">
        <v>250</v>
      </c>
      <c r="S486">
        <v>811016</v>
      </c>
      <c r="T486" t="s">
        <v>187</v>
      </c>
      <c r="U486" t="s">
        <v>188</v>
      </c>
      <c r="V486" t="s">
        <v>1265</v>
      </c>
      <c r="W486">
        <v>6</v>
      </c>
      <c r="X486">
        <v>0.2</v>
      </c>
      <c r="Y486">
        <v>59.96</v>
      </c>
    </row>
    <row r="487" spans="1:25" x14ac:dyDescent="0.3">
      <c r="A487" t="s">
        <v>1263</v>
      </c>
      <c r="B487" t="s">
        <v>399</v>
      </c>
      <c r="C487" t="s">
        <v>897</v>
      </c>
      <c r="D487" s="9">
        <v>28635</v>
      </c>
      <c r="E487">
        <v>1318.3</v>
      </c>
      <c r="F487">
        <v>2024</v>
      </c>
      <c r="G487" t="s">
        <v>87</v>
      </c>
      <c r="H487" t="s">
        <v>29</v>
      </c>
      <c r="I487" t="s">
        <v>30</v>
      </c>
      <c r="J487" t="s">
        <v>143</v>
      </c>
      <c r="K487" t="s">
        <v>32</v>
      </c>
      <c r="L487" t="s">
        <v>63</v>
      </c>
      <c r="M487" s="9">
        <v>45439</v>
      </c>
      <c r="N487" t="s">
        <v>1266</v>
      </c>
      <c r="O487" s="9">
        <v>45438</v>
      </c>
      <c r="P487" s="9">
        <v>45440</v>
      </c>
      <c r="Q487" t="s">
        <v>35</v>
      </c>
      <c r="R487" t="s">
        <v>250</v>
      </c>
      <c r="S487">
        <v>594109</v>
      </c>
      <c r="T487" t="s">
        <v>75</v>
      </c>
      <c r="U487" t="s">
        <v>76</v>
      </c>
      <c r="V487" t="s">
        <v>1267</v>
      </c>
      <c r="W487">
        <v>10</v>
      </c>
      <c r="X487">
        <v>0</v>
      </c>
      <c r="Y487">
        <v>80.5</v>
      </c>
    </row>
    <row r="488" spans="1:25" x14ac:dyDescent="0.3">
      <c r="A488" t="s">
        <v>1263</v>
      </c>
      <c r="B488" t="s">
        <v>399</v>
      </c>
      <c r="C488" t="s">
        <v>897</v>
      </c>
      <c r="D488" s="9">
        <v>28635</v>
      </c>
      <c r="E488">
        <v>68.59</v>
      </c>
      <c r="F488">
        <v>2024</v>
      </c>
      <c r="G488" t="s">
        <v>28</v>
      </c>
      <c r="H488" t="s">
        <v>29</v>
      </c>
      <c r="I488" t="s">
        <v>30</v>
      </c>
      <c r="J488" t="s">
        <v>143</v>
      </c>
      <c r="K488" t="s">
        <v>32</v>
      </c>
      <c r="L488" t="s">
        <v>63</v>
      </c>
      <c r="M488" s="9">
        <v>45473</v>
      </c>
      <c r="N488" t="s">
        <v>1268</v>
      </c>
      <c r="O488" s="9">
        <v>45473</v>
      </c>
      <c r="P488" s="9">
        <v>45476</v>
      </c>
      <c r="Q488" t="s">
        <v>121</v>
      </c>
      <c r="R488" t="s">
        <v>250</v>
      </c>
      <c r="S488">
        <v>975930</v>
      </c>
      <c r="T488" t="s">
        <v>75</v>
      </c>
      <c r="U488" t="s">
        <v>76</v>
      </c>
      <c r="V488" t="s">
        <v>1269</v>
      </c>
      <c r="W488">
        <v>3</v>
      </c>
      <c r="X488">
        <v>0.15</v>
      </c>
      <c r="Y488">
        <v>4.46</v>
      </c>
    </row>
    <row r="489" spans="1:25" x14ac:dyDescent="0.3">
      <c r="A489" t="s">
        <v>1263</v>
      </c>
      <c r="B489" t="s">
        <v>399</v>
      </c>
      <c r="C489" t="s">
        <v>897</v>
      </c>
      <c r="D489" s="9">
        <v>28635</v>
      </c>
      <c r="E489">
        <v>134.66</v>
      </c>
      <c r="F489">
        <v>2025</v>
      </c>
      <c r="G489" t="s">
        <v>48</v>
      </c>
      <c r="H489" t="s">
        <v>29</v>
      </c>
      <c r="I489" t="s">
        <v>30</v>
      </c>
      <c r="J489" t="s">
        <v>143</v>
      </c>
      <c r="K489" t="s">
        <v>32</v>
      </c>
      <c r="L489" t="s">
        <v>63</v>
      </c>
      <c r="M489" s="9">
        <v>45781</v>
      </c>
      <c r="N489" t="s">
        <v>1270</v>
      </c>
      <c r="O489" s="9">
        <v>45781</v>
      </c>
      <c r="P489" s="9">
        <v>45783</v>
      </c>
      <c r="Q489" t="s">
        <v>41</v>
      </c>
      <c r="R489" t="s">
        <v>250</v>
      </c>
      <c r="S489">
        <v>453729</v>
      </c>
      <c r="T489" t="s">
        <v>75</v>
      </c>
      <c r="U489" t="s">
        <v>76</v>
      </c>
      <c r="V489" t="s">
        <v>1271</v>
      </c>
      <c r="W489">
        <v>2</v>
      </c>
      <c r="X489">
        <v>0.1</v>
      </c>
      <c r="Y489">
        <v>39.020000000000003</v>
      </c>
    </row>
    <row r="490" spans="1:25" x14ac:dyDescent="0.3">
      <c r="A490" t="s">
        <v>1272</v>
      </c>
      <c r="B490" t="s">
        <v>830</v>
      </c>
      <c r="C490" t="s">
        <v>60</v>
      </c>
      <c r="D490" s="9">
        <v>32690</v>
      </c>
      <c r="E490">
        <v>2023.15</v>
      </c>
      <c r="F490">
        <v>2023</v>
      </c>
      <c r="G490" t="s">
        <v>28</v>
      </c>
      <c r="H490" t="s">
        <v>29</v>
      </c>
      <c r="I490" t="s">
        <v>30</v>
      </c>
      <c r="J490" t="s">
        <v>227</v>
      </c>
      <c r="K490" t="s">
        <v>32</v>
      </c>
      <c r="L490" t="s">
        <v>144</v>
      </c>
      <c r="M490" s="9">
        <v>45050</v>
      </c>
      <c r="N490" t="s">
        <v>1273</v>
      </c>
      <c r="O490" s="9">
        <v>45050</v>
      </c>
      <c r="P490" s="9">
        <v>45051</v>
      </c>
      <c r="Q490" t="s">
        <v>35</v>
      </c>
      <c r="R490" t="s">
        <v>738</v>
      </c>
      <c r="S490">
        <v>226610</v>
      </c>
      <c r="T490" t="s">
        <v>55</v>
      </c>
      <c r="U490" t="s">
        <v>56</v>
      </c>
      <c r="V490" t="s">
        <v>1274</v>
      </c>
      <c r="W490">
        <v>6</v>
      </c>
      <c r="X490">
        <v>0.2</v>
      </c>
      <c r="Y490">
        <v>230.58</v>
      </c>
    </row>
    <row r="491" spans="1:25" x14ac:dyDescent="0.3">
      <c r="A491" t="s">
        <v>1272</v>
      </c>
      <c r="B491" t="s">
        <v>830</v>
      </c>
      <c r="C491" t="s">
        <v>60</v>
      </c>
      <c r="D491" s="9">
        <v>32690</v>
      </c>
      <c r="E491">
        <v>704.62</v>
      </c>
      <c r="F491">
        <v>2023</v>
      </c>
      <c r="G491" t="s">
        <v>87</v>
      </c>
      <c r="H491" t="s">
        <v>29</v>
      </c>
      <c r="I491" t="s">
        <v>43</v>
      </c>
      <c r="J491" t="s">
        <v>227</v>
      </c>
      <c r="K491" t="s">
        <v>32</v>
      </c>
      <c r="L491" t="s">
        <v>144</v>
      </c>
      <c r="M491" s="9">
        <v>45260</v>
      </c>
      <c r="N491" t="s">
        <v>1275</v>
      </c>
      <c r="O491" s="9">
        <v>45259</v>
      </c>
      <c r="P491" s="9">
        <v>45263</v>
      </c>
      <c r="Q491" t="s">
        <v>35</v>
      </c>
      <c r="R491" t="s">
        <v>738</v>
      </c>
      <c r="S491">
        <v>239849</v>
      </c>
      <c r="T491" t="s">
        <v>45</v>
      </c>
      <c r="U491" t="s">
        <v>46</v>
      </c>
      <c r="V491" t="s">
        <v>1276</v>
      </c>
      <c r="W491">
        <v>7</v>
      </c>
      <c r="X491">
        <v>0</v>
      </c>
      <c r="Y491">
        <v>152.21</v>
      </c>
    </row>
    <row r="492" spans="1:25" x14ac:dyDescent="0.3">
      <c r="A492" t="s">
        <v>1272</v>
      </c>
      <c r="B492" t="s">
        <v>830</v>
      </c>
      <c r="C492" t="s">
        <v>60</v>
      </c>
      <c r="D492" s="9">
        <v>32690</v>
      </c>
      <c r="E492">
        <v>78.38</v>
      </c>
      <c r="F492">
        <v>2024</v>
      </c>
      <c r="G492" t="s">
        <v>48</v>
      </c>
      <c r="H492" t="s">
        <v>29</v>
      </c>
      <c r="I492" t="s">
        <v>78</v>
      </c>
      <c r="J492" t="s">
        <v>227</v>
      </c>
      <c r="K492" t="s">
        <v>32</v>
      </c>
      <c r="L492" t="s">
        <v>144</v>
      </c>
      <c r="M492" s="9">
        <v>45338</v>
      </c>
      <c r="N492" t="s">
        <v>1277</v>
      </c>
      <c r="O492" s="9">
        <v>45338</v>
      </c>
      <c r="P492" s="9">
        <v>45339</v>
      </c>
      <c r="Q492" t="s">
        <v>74</v>
      </c>
      <c r="R492" t="s">
        <v>738</v>
      </c>
      <c r="S492">
        <v>536440</v>
      </c>
      <c r="T492" t="s">
        <v>80</v>
      </c>
      <c r="U492" t="s">
        <v>81</v>
      </c>
      <c r="V492" t="s">
        <v>1278</v>
      </c>
      <c r="W492">
        <v>3</v>
      </c>
      <c r="X492">
        <v>0.05</v>
      </c>
      <c r="Y492">
        <v>5.82</v>
      </c>
    </row>
    <row r="493" spans="1:25" x14ac:dyDescent="0.3">
      <c r="A493" t="s">
        <v>1272</v>
      </c>
      <c r="B493" t="s">
        <v>830</v>
      </c>
      <c r="C493" t="s">
        <v>60</v>
      </c>
      <c r="D493" s="9">
        <v>32690</v>
      </c>
      <c r="E493">
        <v>303.35000000000002</v>
      </c>
      <c r="F493">
        <v>2024</v>
      </c>
      <c r="G493" t="s">
        <v>48</v>
      </c>
      <c r="H493" t="s">
        <v>29</v>
      </c>
      <c r="I493" t="s">
        <v>49</v>
      </c>
      <c r="J493" t="s">
        <v>227</v>
      </c>
      <c r="K493" t="s">
        <v>32</v>
      </c>
      <c r="L493" t="s">
        <v>144</v>
      </c>
      <c r="M493" s="9">
        <v>45624</v>
      </c>
      <c r="N493" t="s">
        <v>1279</v>
      </c>
      <c r="O493" s="9">
        <v>45621</v>
      </c>
      <c r="P493" s="9">
        <v>45625</v>
      </c>
      <c r="Q493" t="s">
        <v>121</v>
      </c>
      <c r="R493" t="s">
        <v>738</v>
      </c>
      <c r="S493">
        <v>740195</v>
      </c>
      <c r="T493" t="s">
        <v>84</v>
      </c>
      <c r="U493" t="s">
        <v>85</v>
      </c>
      <c r="V493" t="s">
        <v>1280</v>
      </c>
      <c r="W493">
        <v>3</v>
      </c>
      <c r="X493">
        <v>0.15</v>
      </c>
      <c r="Y493">
        <v>39.83</v>
      </c>
    </row>
    <row r="494" spans="1:25" x14ac:dyDescent="0.3">
      <c r="A494" t="s">
        <v>1272</v>
      </c>
      <c r="B494" t="s">
        <v>830</v>
      </c>
      <c r="C494" t="s">
        <v>60</v>
      </c>
      <c r="D494" s="9">
        <v>32690</v>
      </c>
      <c r="E494">
        <v>983.5</v>
      </c>
      <c r="F494">
        <v>2024</v>
      </c>
      <c r="G494" t="s">
        <v>28</v>
      </c>
      <c r="H494" t="s">
        <v>29</v>
      </c>
      <c r="I494" t="s">
        <v>49</v>
      </c>
      <c r="J494" t="s">
        <v>227</v>
      </c>
      <c r="K494" t="s">
        <v>32</v>
      </c>
      <c r="L494" t="s">
        <v>144</v>
      </c>
      <c r="M494" s="9">
        <v>45629</v>
      </c>
      <c r="N494" t="s">
        <v>1281</v>
      </c>
      <c r="O494" s="9">
        <v>45627</v>
      </c>
      <c r="P494" s="9">
        <v>45630</v>
      </c>
      <c r="Q494" t="s">
        <v>35</v>
      </c>
      <c r="R494" t="s">
        <v>738</v>
      </c>
      <c r="S494">
        <v>684801</v>
      </c>
      <c r="T494" t="s">
        <v>109</v>
      </c>
      <c r="U494" t="s">
        <v>110</v>
      </c>
      <c r="V494" t="s">
        <v>1282</v>
      </c>
      <c r="W494">
        <v>3</v>
      </c>
      <c r="X494">
        <v>0.1</v>
      </c>
      <c r="Y494">
        <v>329.56</v>
      </c>
    </row>
    <row r="495" spans="1:25" x14ac:dyDescent="0.3">
      <c r="A495" t="s">
        <v>1272</v>
      </c>
      <c r="B495" t="s">
        <v>830</v>
      </c>
      <c r="C495" t="s">
        <v>60</v>
      </c>
      <c r="D495" s="9">
        <v>32690</v>
      </c>
      <c r="E495">
        <v>3959.77</v>
      </c>
      <c r="F495">
        <v>2025</v>
      </c>
      <c r="G495" t="s">
        <v>48</v>
      </c>
      <c r="H495" t="s">
        <v>29</v>
      </c>
      <c r="I495" t="s">
        <v>61</v>
      </c>
      <c r="J495" t="s">
        <v>227</v>
      </c>
      <c r="K495" t="s">
        <v>32</v>
      </c>
      <c r="L495" t="s">
        <v>144</v>
      </c>
      <c r="M495" s="9">
        <v>45686</v>
      </c>
      <c r="N495" t="s">
        <v>1283</v>
      </c>
      <c r="O495" s="9">
        <v>45682</v>
      </c>
      <c r="P495" s="9">
        <v>45687</v>
      </c>
      <c r="Q495" t="s">
        <v>41</v>
      </c>
      <c r="R495" t="s">
        <v>738</v>
      </c>
      <c r="S495">
        <v>907750</v>
      </c>
      <c r="T495" t="s">
        <v>66</v>
      </c>
      <c r="U495" t="s">
        <v>67</v>
      </c>
      <c r="V495" t="s">
        <v>1284</v>
      </c>
      <c r="W495">
        <v>9</v>
      </c>
      <c r="X495">
        <v>0.1</v>
      </c>
      <c r="Y495">
        <v>627.9</v>
      </c>
    </row>
    <row r="496" spans="1:25" x14ac:dyDescent="0.3">
      <c r="A496" t="s">
        <v>1285</v>
      </c>
      <c r="B496" t="s">
        <v>247</v>
      </c>
      <c r="C496" t="s">
        <v>162</v>
      </c>
      <c r="D496" s="9">
        <v>30883</v>
      </c>
      <c r="E496">
        <v>2070.48</v>
      </c>
      <c r="F496">
        <v>2023</v>
      </c>
      <c r="G496" t="s">
        <v>87</v>
      </c>
      <c r="H496" t="s">
        <v>29</v>
      </c>
      <c r="I496" t="s">
        <v>78</v>
      </c>
      <c r="J496" t="s">
        <v>62</v>
      </c>
      <c r="K496" t="s">
        <v>32</v>
      </c>
      <c r="L496" t="s">
        <v>144</v>
      </c>
      <c r="M496" s="9">
        <v>44981</v>
      </c>
      <c r="N496" t="s">
        <v>1286</v>
      </c>
      <c r="O496" s="9">
        <v>44981</v>
      </c>
      <c r="P496" s="9">
        <v>44982</v>
      </c>
      <c r="Q496" t="s">
        <v>74</v>
      </c>
      <c r="R496" t="s">
        <v>1192</v>
      </c>
      <c r="S496">
        <v>398911</v>
      </c>
      <c r="T496" t="s">
        <v>89</v>
      </c>
      <c r="U496" t="s">
        <v>90</v>
      </c>
      <c r="V496" t="s">
        <v>1287</v>
      </c>
      <c r="W496">
        <v>8</v>
      </c>
      <c r="X496">
        <v>0</v>
      </c>
      <c r="Y496">
        <v>519.78</v>
      </c>
    </row>
    <row r="497" spans="1:25" x14ac:dyDescent="0.3">
      <c r="A497" t="s">
        <v>1285</v>
      </c>
      <c r="B497" t="s">
        <v>247</v>
      </c>
      <c r="C497" t="s">
        <v>162</v>
      </c>
      <c r="D497" s="9">
        <v>30883</v>
      </c>
      <c r="E497">
        <v>1517.14</v>
      </c>
      <c r="F497">
        <v>2023</v>
      </c>
      <c r="G497" t="s">
        <v>87</v>
      </c>
      <c r="H497" t="s">
        <v>29</v>
      </c>
      <c r="I497" t="s">
        <v>61</v>
      </c>
      <c r="J497" t="s">
        <v>62</v>
      </c>
      <c r="K497" t="s">
        <v>32</v>
      </c>
      <c r="L497" t="s">
        <v>144</v>
      </c>
      <c r="M497" s="9">
        <v>45125</v>
      </c>
      <c r="N497" t="s">
        <v>1288</v>
      </c>
      <c r="O497" s="9">
        <v>45125</v>
      </c>
      <c r="P497" s="9">
        <v>45126</v>
      </c>
      <c r="Q497" t="s">
        <v>121</v>
      </c>
      <c r="R497" t="s">
        <v>1192</v>
      </c>
      <c r="S497">
        <v>265722</v>
      </c>
      <c r="T497" t="s">
        <v>113</v>
      </c>
      <c r="U497" t="s">
        <v>114</v>
      </c>
      <c r="V497" t="s">
        <v>1289</v>
      </c>
      <c r="W497">
        <v>6</v>
      </c>
      <c r="X497">
        <v>0.2</v>
      </c>
      <c r="Y497">
        <v>282.10000000000002</v>
      </c>
    </row>
    <row r="498" spans="1:25" x14ac:dyDescent="0.3">
      <c r="A498" t="s">
        <v>1285</v>
      </c>
      <c r="B498" t="s">
        <v>247</v>
      </c>
      <c r="C498" t="s">
        <v>162</v>
      </c>
      <c r="D498" s="9">
        <v>30883</v>
      </c>
      <c r="E498">
        <v>108.02</v>
      </c>
      <c r="F498">
        <v>2023</v>
      </c>
      <c r="G498" t="s">
        <v>28</v>
      </c>
      <c r="H498" t="s">
        <v>29</v>
      </c>
      <c r="I498" t="s">
        <v>78</v>
      </c>
      <c r="J498" t="s">
        <v>62</v>
      </c>
      <c r="K498" t="s">
        <v>32</v>
      </c>
      <c r="L498" t="s">
        <v>144</v>
      </c>
      <c r="M498" s="9">
        <v>45144</v>
      </c>
      <c r="N498" t="s">
        <v>1290</v>
      </c>
      <c r="O498" s="9">
        <v>45140</v>
      </c>
      <c r="P498" s="9">
        <v>45145</v>
      </c>
      <c r="Q498" t="s">
        <v>41</v>
      </c>
      <c r="R498" t="s">
        <v>1192</v>
      </c>
      <c r="S498">
        <v>308405</v>
      </c>
      <c r="T498" t="s">
        <v>80</v>
      </c>
      <c r="U498" t="s">
        <v>81</v>
      </c>
      <c r="V498" t="s">
        <v>1291</v>
      </c>
      <c r="W498">
        <v>2</v>
      </c>
      <c r="X498">
        <v>0</v>
      </c>
      <c r="Y498">
        <v>28.78</v>
      </c>
    </row>
    <row r="499" spans="1:25" x14ac:dyDescent="0.3">
      <c r="A499" t="s">
        <v>1285</v>
      </c>
      <c r="B499" t="s">
        <v>247</v>
      </c>
      <c r="C499" t="s">
        <v>162</v>
      </c>
      <c r="D499" s="9">
        <v>30883</v>
      </c>
      <c r="E499">
        <v>1575.64</v>
      </c>
      <c r="F499">
        <v>2023</v>
      </c>
      <c r="G499" t="s">
        <v>28</v>
      </c>
      <c r="H499" t="s">
        <v>29</v>
      </c>
      <c r="I499" t="s">
        <v>49</v>
      </c>
      <c r="J499" t="s">
        <v>62</v>
      </c>
      <c r="K499" t="s">
        <v>32</v>
      </c>
      <c r="L499" t="s">
        <v>144</v>
      </c>
      <c r="M499" s="9">
        <v>45212</v>
      </c>
      <c r="N499" t="s">
        <v>1292</v>
      </c>
      <c r="O499" s="9">
        <v>45210</v>
      </c>
      <c r="P499" s="9">
        <v>45212</v>
      </c>
      <c r="Q499" t="s">
        <v>121</v>
      </c>
      <c r="R499" t="s">
        <v>1192</v>
      </c>
      <c r="S499">
        <v>493774</v>
      </c>
      <c r="T499" t="s">
        <v>51</v>
      </c>
      <c r="U499" t="s">
        <v>52</v>
      </c>
      <c r="V499" t="s">
        <v>1293</v>
      </c>
      <c r="W499">
        <v>4</v>
      </c>
      <c r="X499">
        <v>0</v>
      </c>
      <c r="Y499">
        <v>186.45</v>
      </c>
    </row>
    <row r="500" spans="1:25" x14ac:dyDescent="0.3">
      <c r="A500" t="s">
        <v>1294</v>
      </c>
      <c r="B500" t="s">
        <v>405</v>
      </c>
      <c r="C500" t="s">
        <v>271</v>
      </c>
      <c r="D500" s="9">
        <v>34870</v>
      </c>
      <c r="E500">
        <v>2264.8000000000002</v>
      </c>
      <c r="F500">
        <v>2023</v>
      </c>
      <c r="G500" t="s">
        <v>87</v>
      </c>
      <c r="H500" t="s">
        <v>29</v>
      </c>
      <c r="I500" t="s">
        <v>92</v>
      </c>
      <c r="J500" t="s">
        <v>143</v>
      </c>
      <c r="K500" t="s">
        <v>32</v>
      </c>
      <c r="L500" t="s">
        <v>33</v>
      </c>
      <c r="M500" s="9">
        <v>44983</v>
      </c>
      <c r="N500" t="s">
        <v>1295</v>
      </c>
      <c r="O500" s="9">
        <v>44982</v>
      </c>
      <c r="P500" s="9">
        <v>44986</v>
      </c>
      <c r="Q500" t="s">
        <v>74</v>
      </c>
      <c r="R500" t="s">
        <v>250</v>
      </c>
      <c r="S500">
        <v>382795</v>
      </c>
      <c r="T500" t="s">
        <v>147</v>
      </c>
      <c r="U500" t="s">
        <v>148</v>
      </c>
      <c r="V500" t="s">
        <v>1296</v>
      </c>
      <c r="W500">
        <v>10</v>
      </c>
      <c r="X500">
        <v>0.05</v>
      </c>
      <c r="Y500">
        <v>367</v>
      </c>
    </row>
    <row r="501" spans="1:25" x14ac:dyDescent="0.3">
      <c r="A501" t="s">
        <v>1294</v>
      </c>
      <c r="B501" t="s">
        <v>405</v>
      </c>
      <c r="C501" t="s">
        <v>271</v>
      </c>
      <c r="D501" s="9">
        <v>34870</v>
      </c>
      <c r="E501">
        <v>352.26</v>
      </c>
      <c r="F501">
        <v>2023</v>
      </c>
      <c r="G501" t="s">
        <v>28</v>
      </c>
      <c r="H501" t="s">
        <v>29</v>
      </c>
      <c r="I501" t="s">
        <v>61</v>
      </c>
      <c r="J501" t="s">
        <v>143</v>
      </c>
      <c r="K501" t="s">
        <v>32</v>
      </c>
      <c r="L501" t="s">
        <v>33</v>
      </c>
      <c r="M501" s="9">
        <v>45003</v>
      </c>
      <c r="N501" t="s">
        <v>1297</v>
      </c>
      <c r="O501" s="9">
        <v>45002</v>
      </c>
      <c r="P501" s="9">
        <v>45003</v>
      </c>
      <c r="Q501" t="s">
        <v>41</v>
      </c>
      <c r="R501" t="s">
        <v>250</v>
      </c>
      <c r="S501">
        <v>279517</v>
      </c>
      <c r="T501" t="s">
        <v>204</v>
      </c>
      <c r="U501" t="s">
        <v>205</v>
      </c>
      <c r="V501" t="s">
        <v>1298</v>
      </c>
      <c r="W501">
        <v>1</v>
      </c>
      <c r="X501">
        <v>0</v>
      </c>
      <c r="Y501">
        <v>47.27</v>
      </c>
    </row>
    <row r="502" spans="1:25" x14ac:dyDescent="0.3">
      <c r="A502" t="s">
        <v>1294</v>
      </c>
      <c r="B502" t="s">
        <v>405</v>
      </c>
      <c r="C502" t="s">
        <v>271</v>
      </c>
      <c r="D502" s="9">
        <v>34870</v>
      </c>
      <c r="E502">
        <v>762.08</v>
      </c>
      <c r="F502">
        <v>2024</v>
      </c>
      <c r="G502" t="s">
        <v>87</v>
      </c>
      <c r="H502" t="s">
        <v>29</v>
      </c>
      <c r="I502" t="s">
        <v>43</v>
      </c>
      <c r="J502" t="s">
        <v>143</v>
      </c>
      <c r="K502" t="s">
        <v>32</v>
      </c>
      <c r="L502" t="s">
        <v>33</v>
      </c>
      <c r="M502" s="9">
        <v>45410</v>
      </c>
      <c r="N502" t="s">
        <v>1299</v>
      </c>
      <c r="O502" s="9">
        <v>45409</v>
      </c>
      <c r="P502" s="9">
        <v>45414</v>
      </c>
      <c r="Q502" t="s">
        <v>121</v>
      </c>
      <c r="R502" t="s">
        <v>250</v>
      </c>
      <c r="S502">
        <v>190674</v>
      </c>
      <c r="T502" t="s">
        <v>45</v>
      </c>
      <c r="U502" t="s">
        <v>46</v>
      </c>
      <c r="V502" t="s">
        <v>1300</v>
      </c>
      <c r="W502">
        <v>10</v>
      </c>
      <c r="X502">
        <v>0.2</v>
      </c>
      <c r="Y502">
        <v>183.97</v>
      </c>
    </row>
    <row r="503" spans="1:25" x14ac:dyDescent="0.3">
      <c r="A503" t="s">
        <v>1294</v>
      </c>
      <c r="B503" t="s">
        <v>405</v>
      </c>
      <c r="C503" t="s">
        <v>271</v>
      </c>
      <c r="D503" s="9">
        <v>34870</v>
      </c>
      <c r="E503">
        <v>972.67</v>
      </c>
      <c r="F503">
        <v>2024</v>
      </c>
      <c r="G503" t="s">
        <v>87</v>
      </c>
      <c r="H503" t="s">
        <v>29</v>
      </c>
      <c r="I503" t="s">
        <v>92</v>
      </c>
      <c r="J503" t="s">
        <v>143</v>
      </c>
      <c r="K503" t="s">
        <v>32</v>
      </c>
      <c r="L503" t="s">
        <v>33</v>
      </c>
      <c r="M503" s="9">
        <v>45424</v>
      </c>
      <c r="N503" t="s">
        <v>1301</v>
      </c>
      <c r="O503" s="9">
        <v>45423</v>
      </c>
      <c r="P503" s="9">
        <v>45424</v>
      </c>
      <c r="Q503" t="s">
        <v>121</v>
      </c>
      <c r="R503" t="s">
        <v>250</v>
      </c>
      <c r="S503">
        <v>359870</v>
      </c>
      <c r="T503" t="s">
        <v>127</v>
      </c>
      <c r="U503" t="s">
        <v>128</v>
      </c>
      <c r="V503" t="s">
        <v>1302</v>
      </c>
      <c r="W503">
        <v>4</v>
      </c>
      <c r="X503">
        <v>0.2</v>
      </c>
      <c r="Y503">
        <v>183.67</v>
      </c>
    </row>
    <row r="504" spans="1:25" x14ac:dyDescent="0.3">
      <c r="A504" t="s">
        <v>1294</v>
      </c>
      <c r="B504" t="s">
        <v>405</v>
      </c>
      <c r="C504" t="s">
        <v>271</v>
      </c>
      <c r="D504" s="9">
        <v>34870</v>
      </c>
      <c r="E504">
        <v>1613.05</v>
      </c>
      <c r="F504">
        <v>2024</v>
      </c>
      <c r="G504" t="s">
        <v>28</v>
      </c>
      <c r="H504" t="s">
        <v>29</v>
      </c>
      <c r="I504" t="s">
        <v>43</v>
      </c>
      <c r="J504" t="s">
        <v>143</v>
      </c>
      <c r="K504" t="s">
        <v>32</v>
      </c>
      <c r="L504" t="s">
        <v>33</v>
      </c>
      <c r="M504" s="9">
        <v>45526</v>
      </c>
      <c r="N504" t="s">
        <v>1303</v>
      </c>
      <c r="O504" s="9">
        <v>45526</v>
      </c>
      <c r="P504" s="9">
        <v>45531</v>
      </c>
      <c r="Q504" t="s">
        <v>35</v>
      </c>
      <c r="R504" t="s">
        <v>250</v>
      </c>
      <c r="S504">
        <v>142004</v>
      </c>
      <c r="T504" t="s">
        <v>153</v>
      </c>
      <c r="U504" t="s">
        <v>154</v>
      </c>
      <c r="V504" t="s">
        <v>1304</v>
      </c>
      <c r="W504">
        <v>4</v>
      </c>
      <c r="X504">
        <v>0.1</v>
      </c>
      <c r="Y504">
        <v>538.55999999999995</v>
      </c>
    </row>
    <row r="505" spans="1:25" x14ac:dyDescent="0.3">
      <c r="A505" t="s">
        <v>1294</v>
      </c>
      <c r="B505" t="s">
        <v>405</v>
      </c>
      <c r="C505" t="s">
        <v>271</v>
      </c>
      <c r="D505" s="9">
        <v>34870</v>
      </c>
      <c r="E505">
        <v>1506.74</v>
      </c>
      <c r="F505">
        <v>2025</v>
      </c>
      <c r="G505" t="s">
        <v>28</v>
      </c>
      <c r="H505" t="s">
        <v>29</v>
      </c>
      <c r="I505" t="s">
        <v>92</v>
      </c>
      <c r="J505" t="s">
        <v>143</v>
      </c>
      <c r="K505" t="s">
        <v>32</v>
      </c>
      <c r="L505" t="s">
        <v>33</v>
      </c>
      <c r="M505" s="9">
        <v>45839</v>
      </c>
      <c r="N505" t="s">
        <v>1305</v>
      </c>
      <c r="O505" s="9">
        <v>45838</v>
      </c>
      <c r="P505" s="9">
        <v>45839</v>
      </c>
      <c r="Q505" t="s">
        <v>121</v>
      </c>
      <c r="R505" t="s">
        <v>250</v>
      </c>
      <c r="S505">
        <v>187127</v>
      </c>
      <c r="T505" t="s">
        <v>187</v>
      </c>
      <c r="U505" t="s">
        <v>188</v>
      </c>
      <c r="V505" t="s">
        <v>1306</v>
      </c>
      <c r="W505">
        <v>9</v>
      </c>
      <c r="X505">
        <v>0.2</v>
      </c>
      <c r="Y505">
        <v>436.06</v>
      </c>
    </row>
    <row r="506" spans="1:25" x14ac:dyDescent="0.3">
      <c r="A506" t="s">
        <v>1307</v>
      </c>
      <c r="B506" t="s">
        <v>1308</v>
      </c>
      <c r="C506" t="s">
        <v>211</v>
      </c>
      <c r="D506" s="9">
        <v>25834</v>
      </c>
      <c r="E506">
        <v>673.75</v>
      </c>
      <c r="F506">
        <v>2023</v>
      </c>
      <c r="G506" t="s">
        <v>87</v>
      </c>
      <c r="H506" t="s">
        <v>29</v>
      </c>
      <c r="I506" t="s">
        <v>61</v>
      </c>
      <c r="J506" t="s">
        <v>227</v>
      </c>
      <c r="K506" t="s">
        <v>32</v>
      </c>
      <c r="L506" t="s">
        <v>144</v>
      </c>
      <c r="M506" s="9">
        <v>44940</v>
      </c>
      <c r="N506" t="s">
        <v>1309</v>
      </c>
      <c r="O506" s="9">
        <v>44939</v>
      </c>
      <c r="P506" s="9">
        <v>44942</v>
      </c>
      <c r="Q506" t="s">
        <v>41</v>
      </c>
      <c r="R506" t="s">
        <v>738</v>
      </c>
      <c r="S506">
        <v>999596</v>
      </c>
      <c r="T506" t="s">
        <v>66</v>
      </c>
      <c r="U506" t="s">
        <v>67</v>
      </c>
      <c r="V506" t="s">
        <v>1310</v>
      </c>
      <c r="W506">
        <v>5</v>
      </c>
      <c r="X506">
        <v>0</v>
      </c>
      <c r="Y506">
        <v>36.909999999999997</v>
      </c>
    </row>
    <row r="507" spans="1:25" x14ac:dyDescent="0.3">
      <c r="A507" t="s">
        <v>1307</v>
      </c>
      <c r="B507" t="s">
        <v>1308</v>
      </c>
      <c r="C507" t="s">
        <v>211</v>
      </c>
      <c r="D507" s="9">
        <v>25834</v>
      </c>
      <c r="E507">
        <v>464.25</v>
      </c>
      <c r="F507">
        <v>2024</v>
      </c>
      <c r="G507" t="s">
        <v>28</v>
      </c>
      <c r="H507" t="s">
        <v>29</v>
      </c>
      <c r="I507" t="s">
        <v>30</v>
      </c>
      <c r="J507" t="s">
        <v>227</v>
      </c>
      <c r="K507" t="s">
        <v>32</v>
      </c>
      <c r="L507" t="s">
        <v>144</v>
      </c>
      <c r="M507" s="9">
        <v>45344</v>
      </c>
      <c r="N507" t="s">
        <v>1311</v>
      </c>
      <c r="O507" s="9">
        <v>45343</v>
      </c>
      <c r="P507" s="9">
        <v>45347</v>
      </c>
      <c r="Q507" t="s">
        <v>41</v>
      </c>
      <c r="R507" t="s">
        <v>738</v>
      </c>
      <c r="S507">
        <v>838094</v>
      </c>
      <c r="T507" t="s">
        <v>55</v>
      </c>
      <c r="U507" t="s">
        <v>56</v>
      </c>
      <c r="V507" t="s">
        <v>1312</v>
      </c>
      <c r="W507">
        <v>1</v>
      </c>
      <c r="X507">
        <v>0.05</v>
      </c>
      <c r="Y507">
        <v>130.71</v>
      </c>
    </row>
    <row r="508" spans="1:25" x14ac:dyDescent="0.3">
      <c r="A508" t="s">
        <v>1307</v>
      </c>
      <c r="B508" t="s">
        <v>1308</v>
      </c>
      <c r="C508" t="s">
        <v>211</v>
      </c>
      <c r="D508" s="9">
        <v>25834</v>
      </c>
      <c r="E508">
        <v>348.06</v>
      </c>
      <c r="F508">
        <v>2024</v>
      </c>
      <c r="G508" t="s">
        <v>28</v>
      </c>
      <c r="H508" t="s">
        <v>29</v>
      </c>
      <c r="I508" t="s">
        <v>49</v>
      </c>
      <c r="J508" t="s">
        <v>227</v>
      </c>
      <c r="K508" t="s">
        <v>32</v>
      </c>
      <c r="L508" t="s">
        <v>144</v>
      </c>
      <c r="M508" s="9">
        <v>45637</v>
      </c>
      <c r="N508" t="s">
        <v>1313</v>
      </c>
      <c r="O508" s="9">
        <v>45636</v>
      </c>
      <c r="P508" s="9">
        <v>45637</v>
      </c>
      <c r="Q508" t="s">
        <v>74</v>
      </c>
      <c r="R508" t="s">
        <v>738</v>
      </c>
      <c r="S508">
        <v>831963</v>
      </c>
      <c r="T508" t="s">
        <v>109</v>
      </c>
      <c r="U508" t="s">
        <v>110</v>
      </c>
      <c r="V508" t="s">
        <v>1314</v>
      </c>
      <c r="W508">
        <v>2</v>
      </c>
      <c r="X508">
        <v>0.15</v>
      </c>
      <c r="Y508">
        <v>52.16</v>
      </c>
    </row>
    <row r="509" spans="1:25" x14ac:dyDescent="0.3">
      <c r="A509" t="s">
        <v>1307</v>
      </c>
      <c r="B509" t="s">
        <v>1308</v>
      </c>
      <c r="C509" t="s">
        <v>211</v>
      </c>
      <c r="D509" s="9">
        <v>25834</v>
      </c>
      <c r="E509">
        <v>1592.36</v>
      </c>
      <c r="F509">
        <v>2025</v>
      </c>
      <c r="G509" t="s">
        <v>87</v>
      </c>
      <c r="H509" t="s">
        <v>29</v>
      </c>
      <c r="I509" t="s">
        <v>30</v>
      </c>
      <c r="J509" t="s">
        <v>227</v>
      </c>
      <c r="K509" t="s">
        <v>32</v>
      </c>
      <c r="L509" t="s">
        <v>144</v>
      </c>
      <c r="M509" s="9">
        <v>45676</v>
      </c>
      <c r="N509" t="s">
        <v>1315</v>
      </c>
      <c r="O509" s="9">
        <v>45676</v>
      </c>
      <c r="P509" s="9">
        <v>45679</v>
      </c>
      <c r="Q509" t="s">
        <v>74</v>
      </c>
      <c r="R509" t="s">
        <v>738</v>
      </c>
      <c r="S509">
        <v>154067</v>
      </c>
      <c r="T509" t="s">
        <v>55</v>
      </c>
      <c r="U509" t="s">
        <v>56</v>
      </c>
      <c r="V509" t="s">
        <v>1316</v>
      </c>
      <c r="W509">
        <v>4</v>
      </c>
      <c r="X509">
        <v>0</v>
      </c>
      <c r="Y509">
        <v>376.01</v>
      </c>
    </row>
    <row r="510" spans="1:25" x14ac:dyDescent="0.3">
      <c r="A510" t="s">
        <v>1317</v>
      </c>
      <c r="B510" t="s">
        <v>161</v>
      </c>
      <c r="C510" t="s">
        <v>545</v>
      </c>
      <c r="D510" s="9">
        <v>34605</v>
      </c>
      <c r="E510">
        <v>562.29999999999995</v>
      </c>
      <c r="F510">
        <v>2024</v>
      </c>
      <c r="G510" t="s">
        <v>48</v>
      </c>
      <c r="H510" t="s">
        <v>163</v>
      </c>
      <c r="I510" t="s">
        <v>30</v>
      </c>
      <c r="J510" t="s">
        <v>102</v>
      </c>
      <c r="K510" t="s">
        <v>32</v>
      </c>
      <c r="L510" t="s">
        <v>63</v>
      </c>
      <c r="M510" s="9">
        <v>45306</v>
      </c>
      <c r="N510" t="s">
        <v>1318</v>
      </c>
      <c r="O510" s="9">
        <v>45301</v>
      </c>
      <c r="P510" s="9">
        <v>45306</v>
      </c>
      <c r="Q510" t="s">
        <v>121</v>
      </c>
      <c r="R510" t="s">
        <v>165</v>
      </c>
      <c r="S510">
        <v>451199</v>
      </c>
      <c r="T510" t="s">
        <v>75</v>
      </c>
      <c r="U510" t="s">
        <v>76</v>
      </c>
      <c r="V510" t="s">
        <v>1319</v>
      </c>
      <c r="W510">
        <v>6</v>
      </c>
      <c r="X510">
        <v>0.1</v>
      </c>
      <c r="Y510">
        <v>147.02000000000001</v>
      </c>
    </row>
    <row r="511" spans="1:25" x14ac:dyDescent="0.3">
      <c r="A511" t="s">
        <v>1317</v>
      </c>
      <c r="B511" t="s">
        <v>161</v>
      </c>
      <c r="C511" t="s">
        <v>545</v>
      </c>
      <c r="D511" s="9">
        <v>34605</v>
      </c>
      <c r="E511">
        <v>2393.2199999999998</v>
      </c>
      <c r="F511">
        <v>2024</v>
      </c>
      <c r="G511" t="s">
        <v>48</v>
      </c>
      <c r="H511" t="s">
        <v>163</v>
      </c>
      <c r="I511" t="s">
        <v>61</v>
      </c>
      <c r="J511" t="s">
        <v>102</v>
      </c>
      <c r="K511" t="s">
        <v>32</v>
      </c>
      <c r="L511" t="s">
        <v>63</v>
      </c>
      <c r="M511" s="9">
        <v>45405</v>
      </c>
      <c r="N511" t="s">
        <v>1320</v>
      </c>
      <c r="O511" s="9">
        <v>45403</v>
      </c>
      <c r="P511" s="9">
        <v>45405</v>
      </c>
      <c r="Q511" t="s">
        <v>74</v>
      </c>
      <c r="R511" t="s">
        <v>165</v>
      </c>
      <c r="S511">
        <v>469844</v>
      </c>
      <c r="T511" t="s">
        <v>312</v>
      </c>
      <c r="U511" t="s">
        <v>313</v>
      </c>
      <c r="V511" t="s">
        <v>1321</v>
      </c>
      <c r="W511">
        <v>8</v>
      </c>
      <c r="X511">
        <v>0.2</v>
      </c>
      <c r="Y511">
        <v>536.16999999999996</v>
      </c>
    </row>
    <row r="512" spans="1:25" x14ac:dyDescent="0.3">
      <c r="A512" t="s">
        <v>1322</v>
      </c>
      <c r="B512" t="s">
        <v>100</v>
      </c>
      <c r="C512" t="s">
        <v>758</v>
      </c>
      <c r="D512" s="9">
        <v>31307</v>
      </c>
      <c r="E512">
        <v>1668.48</v>
      </c>
      <c r="F512">
        <v>2023</v>
      </c>
      <c r="G512" t="s">
        <v>87</v>
      </c>
      <c r="H512" t="s">
        <v>163</v>
      </c>
      <c r="I512" t="s">
        <v>43</v>
      </c>
      <c r="J512" t="s">
        <v>31</v>
      </c>
      <c r="K512" t="s">
        <v>32</v>
      </c>
      <c r="L512" t="s">
        <v>144</v>
      </c>
      <c r="M512" s="9">
        <v>44987</v>
      </c>
      <c r="N512" t="s">
        <v>1323</v>
      </c>
      <c r="O512" s="9">
        <v>44982</v>
      </c>
      <c r="P512" s="9">
        <v>44987</v>
      </c>
      <c r="Q512" t="s">
        <v>74</v>
      </c>
      <c r="R512" t="s">
        <v>261</v>
      </c>
      <c r="S512">
        <v>573933</v>
      </c>
      <c r="T512" t="s">
        <v>153</v>
      </c>
      <c r="U512" t="s">
        <v>154</v>
      </c>
      <c r="V512" t="s">
        <v>1324</v>
      </c>
      <c r="W512">
        <v>8</v>
      </c>
      <c r="X512">
        <v>0.2</v>
      </c>
      <c r="Y512">
        <v>144.85</v>
      </c>
    </row>
    <row r="513" spans="1:25" x14ac:dyDescent="0.3">
      <c r="A513" t="s">
        <v>1322</v>
      </c>
      <c r="B513" t="s">
        <v>100</v>
      </c>
      <c r="C513" t="s">
        <v>758</v>
      </c>
      <c r="D513" s="9">
        <v>31307</v>
      </c>
      <c r="E513">
        <v>209.78</v>
      </c>
      <c r="F513">
        <v>2023</v>
      </c>
      <c r="G513" t="s">
        <v>28</v>
      </c>
      <c r="H513" t="s">
        <v>163</v>
      </c>
      <c r="I513" t="s">
        <v>30</v>
      </c>
      <c r="J513" t="s">
        <v>31</v>
      </c>
      <c r="K513" t="s">
        <v>32</v>
      </c>
      <c r="L513" t="s">
        <v>144</v>
      </c>
      <c r="M513" s="9">
        <v>44992</v>
      </c>
      <c r="N513" t="s">
        <v>1325</v>
      </c>
      <c r="O513" s="9">
        <v>44991</v>
      </c>
      <c r="P513" s="9">
        <v>44995</v>
      </c>
      <c r="Q513" t="s">
        <v>35</v>
      </c>
      <c r="R513" t="s">
        <v>261</v>
      </c>
      <c r="S513">
        <v>214677</v>
      </c>
      <c r="T513" t="s">
        <v>37</v>
      </c>
      <c r="U513" t="s">
        <v>38</v>
      </c>
      <c r="V513" t="s">
        <v>1326</v>
      </c>
      <c r="W513">
        <v>2</v>
      </c>
      <c r="X513">
        <v>0.05</v>
      </c>
      <c r="Y513">
        <v>15.98</v>
      </c>
    </row>
    <row r="514" spans="1:25" x14ac:dyDescent="0.3">
      <c r="A514" t="s">
        <v>1322</v>
      </c>
      <c r="B514" t="s">
        <v>100</v>
      </c>
      <c r="C514" t="s">
        <v>758</v>
      </c>
      <c r="D514" s="9">
        <v>31307</v>
      </c>
      <c r="E514">
        <v>619.78</v>
      </c>
      <c r="F514">
        <v>2023</v>
      </c>
      <c r="G514" t="s">
        <v>28</v>
      </c>
      <c r="H514" t="s">
        <v>163</v>
      </c>
      <c r="I514" t="s">
        <v>61</v>
      </c>
      <c r="J514" t="s">
        <v>31</v>
      </c>
      <c r="K514" t="s">
        <v>32</v>
      </c>
      <c r="L514" t="s">
        <v>144</v>
      </c>
      <c r="M514" s="9">
        <v>45211</v>
      </c>
      <c r="N514" t="s">
        <v>1327</v>
      </c>
      <c r="O514" s="9">
        <v>45210</v>
      </c>
      <c r="P514" s="9">
        <v>45211</v>
      </c>
      <c r="Q514" t="s">
        <v>121</v>
      </c>
      <c r="R514" t="s">
        <v>261</v>
      </c>
      <c r="S514">
        <v>596925</v>
      </c>
      <c r="T514" t="s">
        <v>204</v>
      </c>
      <c r="U514" t="s">
        <v>205</v>
      </c>
      <c r="V514" t="s">
        <v>1328</v>
      </c>
      <c r="W514">
        <v>3</v>
      </c>
      <c r="X514">
        <v>0.2</v>
      </c>
      <c r="Y514">
        <v>68.97</v>
      </c>
    </row>
    <row r="515" spans="1:25" x14ac:dyDescent="0.3">
      <c r="A515" t="s">
        <v>1322</v>
      </c>
      <c r="B515" t="s">
        <v>100</v>
      </c>
      <c r="C515" t="s">
        <v>758</v>
      </c>
      <c r="D515" s="9">
        <v>31307</v>
      </c>
      <c r="E515">
        <v>159.93</v>
      </c>
      <c r="F515">
        <v>2024</v>
      </c>
      <c r="G515" t="s">
        <v>87</v>
      </c>
      <c r="H515" t="s">
        <v>163</v>
      </c>
      <c r="I515" t="s">
        <v>43</v>
      </c>
      <c r="J515" t="s">
        <v>31</v>
      </c>
      <c r="K515" t="s">
        <v>32</v>
      </c>
      <c r="L515" t="s">
        <v>144</v>
      </c>
      <c r="M515" s="9">
        <v>45362</v>
      </c>
      <c r="N515" t="s">
        <v>1329</v>
      </c>
      <c r="O515" s="9">
        <v>45360</v>
      </c>
      <c r="P515" s="9">
        <v>45362</v>
      </c>
      <c r="Q515" t="s">
        <v>74</v>
      </c>
      <c r="R515" t="s">
        <v>261</v>
      </c>
      <c r="S515">
        <v>531690</v>
      </c>
      <c r="T515" t="s">
        <v>153</v>
      </c>
      <c r="U515" t="s">
        <v>154</v>
      </c>
      <c r="V515" t="s">
        <v>1330</v>
      </c>
      <c r="W515">
        <v>1</v>
      </c>
      <c r="X515">
        <v>0</v>
      </c>
      <c r="Y515">
        <v>9.0500000000000007</v>
      </c>
    </row>
    <row r="516" spans="1:25" x14ac:dyDescent="0.3">
      <c r="A516" t="s">
        <v>1322</v>
      </c>
      <c r="B516" t="s">
        <v>100</v>
      </c>
      <c r="C516" t="s">
        <v>758</v>
      </c>
      <c r="D516" s="9">
        <v>31307</v>
      </c>
      <c r="E516">
        <v>1292.08</v>
      </c>
      <c r="F516">
        <v>2024</v>
      </c>
      <c r="G516" t="s">
        <v>28</v>
      </c>
      <c r="H516" t="s">
        <v>163</v>
      </c>
      <c r="I516" t="s">
        <v>30</v>
      </c>
      <c r="J516" t="s">
        <v>31</v>
      </c>
      <c r="K516" t="s">
        <v>32</v>
      </c>
      <c r="L516" t="s">
        <v>144</v>
      </c>
      <c r="M516" s="9">
        <v>45445</v>
      </c>
      <c r="N516" t="s">
        <v>1331</v>
      </c>
      <c r="O516" s="9">
        <v>45442</v>
      </c>
      <c r="P516" s="9">
        <v>45447</v>
      </c>
      <c r="Q516" t="s">
        <v>74</v>
      </c>
      <c r="R516" t="s">
        <v>261</v>
      </c>
      <c r="S516">
        <v>694806</v>
      </c>
      <c r="T516" t="s">
        <v>37</v>
      </c>
      <c r="U516" t="s">
        <v>38</v>
      </c>
      <c r="V516" t="s">
        <v>1332</v>
      </c>
      <c r="W516">
        <v>6</v>
      </c>
      <c r="X516">
        <v>0.15</v>
      </c>
      <c r="Y516">
        <v>334.73</v>
      </c>
    </row>
    <row r="517" spans="1:25" x14ac:dyDescent="0.3">
      <c r="A517" t="s">
        <v>1322</v>
      </c>
      <c r="B517" t="s">
        <v>100</v>
      </c>
      <c r="C517" t="s">
        <v>758</v>
      </c>
      <c r="D517" s="9">
        <v>31307</v>
      </c>
      <c r="E517">
        <v>644.29999999999995</v>
      </c>
      <c r="F517">
        <v>2024</v>
      </c>
      <c r="G517" t="s">
        <v>28</v>
      </c>
      <c r="H517" t="s">
        <v>163</v>
      </c>
      <c r="I517" t="s">
        <v>61</v>
      </c>
      <c r="J517" t="s">
        <v>31</v>
      </c>
      <c r="K517" t="s">
        <v>32</v>
      </c>
      <c r="L517" t="s">
        <v>144</v>
      </c>
      <c r="M517" s="9">
        <v>45623</v>
      </c>
      <c r="N517" t="s">
        <v>1333</v>
      </c>
      <c r="O517" s="9">
        <v>45623</v>
      </c>
      <c r="P517" s="9">
        <v>45624</v>
      </c>
      <c r="Q517" t="s">
        <v>74</v>
      </c>
      <c r="R517" t="s">
        <v>261</v>
      </c>
      <c r="S517">
        <v>578073</v>
      </c>
      <c r="T517" t="s">
        <v>204</v>
      </c>
      <c r="U517" t="s">
        <v>205</v>
      </c>
      <c r="V517" t="s">
        <v>1334</v>
      </c>
      <c r="W517">
        <v>5</v>
      </c>
      <c r="X517">
        <v>0</v>
      </c>
      <c r="Y517">
        <v>219.85</v>
      </c>
    </row>
    <row r="518" spans="1:25" x14ac:dyDescent="0.3">
      <c r="A518" t="s">
        <v>1335</v>
      </c>
      <c r="B518" t="s">
        <v>384</v>
      </c>
      <c r="C518" t="s">
        <v>176</v>
      </c>
      <c r="D518" s="9">
        <v>27210</v>
      </c>
      <c r="E518">
        <v>292.2</v>
      </c>
      <c r="F518">
        <v>2023</v>
      </c>
      <c r="G518" t="s">
        <v>28</v>
      </c>
      <c r="H518" t="s">
        <v>29</v>
      </c>
      <c r="I518" t="s">
        <v>49</v>
      </c>
      <c r="J518" t="s">
        <v>62</v>
      </c>
      <c r="K518" t="s">
        <v>32</v>
      </c>
      <c r="L518" t="s">
        <v>144</v>
      </c>
      <c r="M518" s="9">
        <v>45092</v>
      </c>
      <c r="N518" t="s">
        <v>1336</v>
      </c>
      <c r="O518" s="9">
        <v>45091</v>
      </c>
      <c r="P518" s="9">
        <v>45094</v>
      </c>
      <c r="Q518" t="s">
        <v>74</v>
      </c>
      <c r="R518" t="s">
        <v>286</v>
      </c>
      <c r="S518">
        <v>487629</v>
      </c>
      <c r="T518" t="s">
        <v>51</v>
      </c>
      <c r="U518" t="s">
        <v>52</v>
      </c>
      <c r="V518" t="s">
        <v>1337</v>
      </c>
      <c r="W518">
        <v>3</v>
      </c>
      <c r="X518">
        <v>0</v>
      </c>
      <c r="Y518">
        <v>18.22</v>
      </c>
    </row>
    <row r="519" spans="1:25" x14ac:dyDescent="0.3">
      <c r="A519" t="s">
        <v>1335</v>
      </c>
      <c r="B519" t="s">
        <v>384</v>
      </c>
      <c r="C519" t="s">
        <v>176</v>
      </c>
      <c r="D519" s="9">
        <v>27210</v>
      </c>
      <c r="E519">
        <v>339.47</v>
      </c>
      <c r="F519">
        <v>2023</v>
      </c>
      <c r="G519" t="s">
        <v>48</v>
      </c>
      <c r="H519" t="s">
        <v>29</v>
      </c>
      <c r="I519" t="s">
        <v>61</v>
      </c>
      <c r="J519" t="s">
        <v>62</v>
      </c>
      <c r="K519" t="s">
        <v>32</v>
      </c>
      <c r="L519" t="s">
        <v>144</v>
      </c>
      <c r="M519" s="9">
        <v>45110</v>
      </c>
      <c r="N519" t="s">
        <v>1338</v>
      </c>
      <c r="O519" s="9">
        <v>45106</v>
      </c>
      <c r="P519" s="9">
        <v>45110</v>
      </c>
      <c r="Q519" t="s">
        <v>74</v>
      </c>
      <c r="R519" t="s">
        <v>286</v>
      </c>
      <c r="S519">
        <v>227391</v>
      </c>
      <c r="T519" t="s">
        <v>66</v>
      </c>
      <c r="U519" t="s">
        <v>67</v>
      </c>
      <c r="V519" t="s">
        <v>1339</v>
      </c>
      <c r="W519">
        <v>1</v>
      </c>
      <c r="X519">
        <v>0</v>
      </c>
      <c r="Y519">
        <v>32.04</v>
      </c>
    </row>
    <row r="520" spans="1:25" x14ac:dyDescent="0.3">
      <c r="A520" t="s">
        <v>1335</v>
      </c>
      <c r="B520" t="s">
        <v>384</v>
      </c>
      <c r="C520" t="s">
        <v>176</v>
      </c>
      <c r="D520" s="9">
        <v>27210</v>
      </c>
      <c r="E520">
        <v>1424.82</v>
      </c>
      <c r="F520">
        <v>2023</v>
      </c>
      <c r="G520" t="s">
        <v>28</v>
      </c>
      <c r="H520" t="s">
        <v>29</v>
      </c>
      <c r="I520" t="s">
        <v>78</v>
      </c>
      <c r="J520" t="s">
        <v>62</v>
      </c>
      <c r="K520" t="s">
        <v>32</v>
      </c>
      <c r="L520" t="s">
        <v>144</v>
      </c>
      <c r="M520" s="9">
        <v>45117</v>
      </c>
      <c r="N520" t="s">
        <v>1340</v>
      </c>
      <c r="O520" s="9">
        <v>45113</v>
      </c>
      <c r="P520" s="9">
        <v>45118</v>
      </c>
      <c r="Q520" t="s">
        <v>74</v>
      </c>
      <c r="R520" t="s">
        <v>286</v>
      </c>
      <c r="S520">
        <v>596931</v>
      </c>
      <c r="T520" t="s">
        <v>80</v>
      </c>
      <c r="U520" t="s">
        <v>81</v>
      </c>
      <c r="V520" t="s">
        <v>1341</v>
      </c>
      <c r="W520">
        <v>3</v>
      </c>
      <c r="X520">
        <v>0</v>
      </c>
      <c r="Y520">
        <v>137.94999999999999</v>
      </c>
    </row>
    <row r="521" spans="1:25" x14ac:dyDescent="0.3">
      <c r="A521" t="s">
        <v>1335</v>
      </c>
      <c r="B521" t="s">
        <v>384</v>
      </c>
      <c r="C521" t="s">
        <v>176</v>
      </c>
      <c r="D521" s="9">
        <v>27210</v>
      </c>
      <c r="E521">
        <v>1029.69</v>
      </c>
      <c r="F521">
        <v>2023</v>
      </c>
      <c r="G521" t="s">
        <v>87</v>
      </c>
      <c r="H521" t="s">
        <v>29</v>
      </c>
      <c r="I521" t="s">
        <v>43</v>
      </c>
      <c r="J521" t="s">
        <v>62</v>
      </c>
      <c r="K521" t="s">
        <v>32</v>
      </c>
      <c r="L521" t="s">
        <v>144</v>
      </c>
      <c r="M521" s="9">
        <v>45221</v>
      </c>
      <c r="N521" t="s">
        <v>1342</v>
      </c>
      <c r="O521" s="9">
        <v>45219</v>
      </c>
      <c r="P521" s="9">
        <v>45223</v>
      </c>
      <c r="Q521" t="s">
        <v>35</v>
      </c>
      <c r="R521" t="s">
        <v>286</v>
      </c>
      <c r="S521">
        <v>867180</v>
      </c>
      <c r="T521" t="s">
        <v>70</v>
      </c>
      <c r="U521" t="s">
        <v>71</v>
      </c>
      <c r="V521" t="s">
        <v>1343</v>
      </c>
      <c r="W521">
        <v>3</v>
      </c>
      <c r="X521">
        <v>0.15</v>
      </c>
      <c r="Y521">
        <v>331.63</v>
      </c>
    </row>
    <row r="522" spans="1:25" x14ac:dyDescent="0.3">
      <c r="A522" t="s">
        <v>1335</v>
      </c>
      <c r="B522" t="s">
        <v>384</v>
      </c>
      <c r="C522" t="s">
        <v>176</v>
      </c>
      <c r="D522" s="9">
        <v>27210</v>
      </c>
      <c r="E522">
        <v>684.9</v>
      </c>
      <c r="F522">
        <v>2024</v>
      </c>
      <c r="G522" t="s">
        <v>28</v>
      </c>
      <c r="H522" t="s">
        <v>29</v>
      </c>
      <c r="I522" t="s">
        <v>92</v>
      </c>
      <c r="J522" t="s">
        <v>62</v>
      </c>
      <c r="K522" t="s">
        <v>32</v>
      </c>
      <c r="L522" t="s">
        <v>144</v>
      </c>
      <c r="M522" s="9">
        <v>45476</v>
      </c>
      <c r="N522" t="s">
        <v>1344</v>
      </c>
      <c r="O522" s="9">
        <v>45475</v>
      </c>
      <c r="P522" s="9">
        <v>45477</v>
      </c>
      <c r="Q522" t="s">
        <v>35</v>
      </c>
      <c r="R522" t="s">
        <v>286</v>
      </c>
      <c r="S522">
        <v>442220</v>
      </c>
      <c r="T522" t="s">
        <v>187</v>
      </c>
      <c r="U522" t="s">
        <v>188</v>
      </c>
      <c r="V522" t="s">
        <v>1345</v>
      </c>
      <c r="W522">
        <v>9</v>
      </c>
      <c r="X522">
        <v>0</v>
      </c>
      <c r="Y522">
        <v>116.77</v>
      </c>
    </row>
    <row r="523" spans="1:25" x14ac:dyDescent="0.3">
      <c r="A523" t="s">
        <v>1335</v>
      </c>
      <c r="B523" t="s">
        <v>384</v>
      </c>
      <c r="C523" t="s">
        <v>176</v>
      </c>
      <c r="D523" s="9">
        <v>27210</v>
      </c>
      <c r="E523">
        <v>911.74</v>
      </c>
      <c r="F523">
        <v>2024</v>
      </c>
      <c r="G523" t="s">
        <v>87</v>
      </c>
      <c r="H523" t="s">
        <v>29</v>
      </c>
      <c r="I523" t="s">
        <v>78</v>
      </c>
      <c r="J523" t="s">
        <v>62</v>
      </c>
      <c r="K523" t="s">
        <v>32</v>
      </c>
      <c r="L523" t="s">
        <v>144</v>
      </c>
      <c r="M523" s="9">
        <v>45560</v>
      </c>
      <c r="N523" t="s">
        <v>1346</v>
      </c>
      <c r="O523" s="9">
        <v>45560</v>
      </c>
      <c r="P523" s="9">
        <v>45561</v>
      </c>
      <c r="Q523" t="s">
        <v>41</v>
      </c>
      <c r="R523" t="s">
        <v>286</v>
      </c>
      <c r="S523">
        <v>809952</v>
      </c>
      <c r="T523" t="s">
        <v>89</v>
      </c>
      <c r="U523" t="s">
        <v>90</v>
      </c>
      <c r="V523" t="s">
        <v>1347</v>
      </c>
      <c r="W523">
        <v>9</v>
      </c>
      <c r="X523">
        <v>0.2</v>
      </c>
      <c r="Y523">
        <v>121.61</v>
      </c>
    </row>
    <row r="524" spans="1:25" x14ac:dyDescent="0.3">
      <c r="A524" t="s">
        <v>1335</v>
      </c>
      <c r="B524" t="s">
        <v>384</v>
      </c>
      <c r="C524" t="s">
        <v>176</v>
      </c>
      <c r="D524" s="9">
        <v>27210</v>
      </c>
      <c r="E524">
        <v>793.38</v>
      </c>
      <c r="F524">
        <v>2024</v>
      </c>
      <c r="G524" t="s">
        <v>87</v>
      </c>
      <c r="H524" t="s">
        <v>29</v>
      </c>
      <c r="I524" t="s">
        <v>49</v>
      </c>
      <c r="J524" t="s">
        <v>62</v>
      </c>
      <c r="K524" t="s">
        <v>32</v>
      </c>
      <c r="L524" t="s">
        <v>144</v>
      </c>
      <c r="M524" s="9">
        <v>45655</v>
      </c>
      <c r="N524" t="s">
        <v>1348</v>
      </c>
      <c r="O524" s="9">
        <v>45655</v>
      </c>
      <c r="P524" s="9">
        <v>45660</v>
      </c>
      <c r="Q524" t="s">
        <v>74</v>
      </c>
      <c r="R524" t="s">
        <v>286</v>
      </c>
      <c r="S524">
        <v>516869</v>
      </c>
      <c r="T524" t="s">
        <v>109</v>
      </c>
      <c r="U524" t="s">
        <v>110</v>
      </c>
      <c r="V524" t="s">
        <v>1349</v>
      </c>
      <c r="W524">
        <v>7</v>
      </c>
      <c r="X524">
        <v>0</v>
      </c>
      <c r="Y524">
        <v>183.23</v>
      </c>
    </row>
    <row r="525" spans="1:25" x14ac:dyDescent="0.3">
      <c r="A525" t="s">
        <v>1350</v>
      </c>
      <c r="B525" t="s">
        <v>661</v>
      </c>
      <c r="C525" t="s">
        <v>226</v>
      </c>
      <c r="D525" s="9">
        <v>29954</v>
      </c>
      <c r="E525">
        <v>156.63</v>
      </c>
      <c r="F525">
        <v>2024</v>
      </c>
      <c r="G525" t="s">
        <v>48</v>
      </c>
      <c r="H525" t="s">
        <v>29</v>
      </c>
      <c r="I525" t="s">
        <v>43</v>
      </c>
      <c r="J525" t="s">
        <v>31</v>
      </c>
      <c r="K525" t="s">
        <v>32</v>
      </c>
      <c r="L525" t="s">
        <v>144</v>
      </c>
      <c r="M525" s="9">
        <v>45368</v>
      </c>
      <c r="N525" t="s">
        <v>1351</v>
      </c>
      <c r="O525" s="9">
        <v>45364</v>
      </c>
      <c r="P525" s="9">
        <v>45368</v>
      </c>
      <c r="Q525" t="s">
        <v>121</v>
      </c>
      <c r="R525" t="s">
        <v>36</v>
      </c>
      <c r="S525">
        <v>863209</v>
      </c>
      <c r="T525" t="s">
        <v>153</v>
      </c>
      <c r="U525" t="s">
        <v>154</v>
      </c>
      <c r="V525" t="s">
        <v>1352</v>
      </c>
      <c r="W525">
        <v>1</v>
      </c>
      <c r="X525">
        <v>0</v>
      </c>
      <c r="Y525">
        <v>22.31</v>
      </c>
    </row>
    <row r="526" spans="1:25" x14ac:dyDescent="0.3">
      <c r="A526" t="s">
        <v>1350</v>
      </c>
      <c r="B526" t="s">
        <v>661</v>
      </c>
      <c r="C526" t="s">
        <v>226</v>
      </c>
      <c r="D526" s="9">
        <v>29954</v>
      </c>
      <c r="E526">
        <v>1014.66</v>
      </c>
      <c r="F526">
        <v>2025</v>
      </c>
      <c r="G526" t="s">
        <v>48</v>
      </c>
      <c r="H526" t="s">
        <v>29</v>
      </c>
      <c r="I526" t="s">
        <v>92</v>
      </c>
      <c r="J526" t="s">
        <v>31</v>
      </c>
      <c r="K526" t="s">
        <v>32</v>
      </c>
      <c r="L526" t="s">
        <v>144</v>
      </c>
      <c r="M526" s="9">
        <v>45804</v>
      </c>
      <c r="N526" t="s">
        <v>1353</v>
      </c>
      <c r="O526" s="9">
        <v>45801</v>
      </c>
      <c r="P526" s="9">
        <v>45805</v>
      </c>
      <c r="Q526" t="s">
        <v>35</v>
      </c>
      <c r="R526" t="s">
        <v>36</v>
      </c>
      <c r="S526">
        <v>250616</v>
      </c>
      <c r="T526" t="s">
        <v>127</v>
      </c>
      <c r="U526" t="s">
        <v>128</v>
      </c>
      <c r="V526" t="s">
        <v>1354</v>
      </c>
      <c r="W526">
        <v>8</v>
      </c>
      <c r="X526">
        <v>0.2</v>
      </c>
      <c r="Y526">
        <v>272.33</v>
      </c>
    </row>
    <row r="527" spans="1:25" x14ac:dyDescent="0.3">
      <c r="A527" t="s">
        <v>1355</v>
      </c>
      <c r="B527" t="s">
        <v>743</v>
      </c>
      <c r="C527" t="s">
        <v>455</v>
      </c>
      <c r="D527" s="9">
        <v>24060</v>
      </c>
      <c r="E527">
        <v>3829.3</v>
      </c>
      <c r="F527">
        <v>2024</v>
      </c>
      <c r="G527" t="s">
        <v>48</v>
      </c>
      <c r="H527" t="s">
        <v>29</v>
      </c>
      <c r="I527" t="s">
        <v>30</v>
      </c>
      <c r="J527" t="s">
        <v>62</v>
      </c>
      <c r="K527" t="s">
        <v>32</v>
      </c>
      <c r="L527" t="s">
        <v>144</v>
      </c>
      <c r="M527" s="9">
        <v>45416</v>
      </c>
      <c r="N527" t="s">
        <v>1356</v>
      </c>
      <c r="O527" s="9">
        <v>45413</v>
      </c>
      <c r="P527" s="9">
        <v>45416</v>
      </c>
      <c r="Q527" t="s">
        <v>41</v>
      </c>
      <c r="R527" t="s">
        <v>65</v>
      </c>
      <c r="S527">
        <v>844747</v>
      </c>
      <c r="T527" t="s">
        <v>37</v>
      </c>
      <c r="U527" t="s">
        <v>38</v>
      </c>
      <c r="V527" t="s">
        <v>1357</v>
      </c>
      <c r="W527">
        <v>10</v>
      </c>
      <c r="X527">
        <v>0</v>
      </c>
      <c r="Y527">
        <v>199.07</v>
      </c>
    </row>
    <row r="528" spans="1:25" x14ac:dyDescent="0.3">
      <c r="A528" t="s">
        <v>1355</v>
      </c>
      <c r="B528" t="s">
        <v>743</v>
      </c>
      <c r="C528" t="s">
        <v>455</v>
      </c>
      <c r="D528" s="9">
        <v>24060</v>
      </c>
      <c r="E528">
        <v>1258.5</v>
      </c>
      <c r="F528">
        <v>2025</v>
      </c>
      <c r="G528" t="s">
        <v>87</v>
      </c>
      <c r="H528" t="s">
        <v>29</v>
      </c>
      <c r="I528" t="s">
        <v>30</v>
      </c>
      <c r="J528" t="s">
        <v>62</v>
      </c>
      <c r="K528" t="s">
        <v>32</v>
      </c>
      <c r="L528" t="s">
        <v>144</v>
      </c>
      <c r="M528" s="9">
        <v>45816</v>
      </c>
      <c r="N528" t="s">
        <v>1358</v>
      </c>
      <c r="O528" s="9">
        <v>45815</v>
      </c>
      <c r="P528" s="9">
        <v>45816</v>
      </c>
      <c r="Q528" t="s">
        <v>74</v>
      </c>
      <c r="R528" t="s">
        <v>65</v>
      </c>
      <c r="S528">
        <v>618101</v>
      </c>
      <c r="T528" t="s">
        <v>75</v>
      </c>
      <c r="U528" t="s">
        <v>76</v>
      </c>
      <c r="V528" t="s">
        <v>1359</v>
      </c>
      <c r="W528">
        <v>3</v>
      </c>
      <c r="X528">
        <v>0</v>
      </c>
      <c r="Y528">
        <v>272.04000000000002</v>
      </c>
    </row>
    <row r="529" spans="1:25" x14ac:dyDescent="0.3">
      <c r="A529" t="s">
        <v>1360</v>
      </c>
      <c r="B529" t="s">
        <v>247</v>
      </c>
      <c r="C529" t="s">
        <v>376</v>
      </c>
      <c r="D529" s="9">
        <v>24867</v>
      </c>
      <c r="E529">
        <v>1915.56</v>
      </c>
      <c r="F529">
        <v>2023</v>
      </c>
      <c r="G529" t="s">
        <v>28</v>
      </c>
      <c r="H529" t="s">
        <v>163</v>
      </c>
      <c r="I529" t="s">
        <v>78</v>
      </c>
      <c r="J529" t="s">
        <v>102</v>
      </c>
      <c r="K529" t="s">
        <v>32</v>
      </c>
      <c r="L529" t="s">
        <v>33</v>
      </c>
      <c r="M529" s="9">
        <v>44955</v>
      </c>
      <c r="N529" t="s">
        <v>1361</v>
      </c>
      <c r="O529" s="9">
        <v>44954</v>
      </c>
      <c r="P529" s="9">
        <v>44955</v>
      </c>
      <c r="Q529" t="s">
        <v>121</v>
      </c>
      <c r="R529" t="s">
        <v>197</v>
      </c>
      <c r="S529">
        <v>615780</v>
      </c>
      <c r="T529" t="s">
        <v>89</v>
      </c>
      <c r="U529" t="s">
        <v>90</v>
      </c>
      <c r="V529" t="s">
        <v>1362</v>
      </c>
      <c r="W529">
        <v>5</v>
      </c>
      <c r="X529">
        <v>0.2</v>
      </c>
      <c r="Y529">
        <v>461.59</v>
      </c>
    </row>
    <row r="530" spans="1:25" x14ac:dyDescent="0.3">
      <c r="A530" t="s">
        <v>1360</v>
      </c>
      <c r="B530" t="s">
        <v>247</v>
      </c>
      <c r="C530" t="s">
        <v>376</v>
      </c>
      <c r="D530" s="9">
        <v>24867</v>
      </c>
      <c r="E530">
        <v>77.290000000000006</v>
      </c>
      <c r="F530">
        <v>2023</v>
      </c>
      <c r="G530" t="s">
        <v>87</v>
      </c>
      <c r="H530" t="s">
        <v>163</v>
      </c>
      <c r="I530" t="s">
        <v>49</v>
      </c>
      <c r="J530" t="s">
        <v>102</v>
      </c>
      <c r="K530" t="s">
        <v>32</v>
      </c>
      <c r="L530" t="s">
        <v>33</v>
      </c>
      <c r="M530" s="9">
        <v>45157</v>
      </c>
      <c r="N530" t="s">
        <v>1363</v>
      </c>
      <c r="O530" s="9">
        <v>45156</v>
      </c>
      <c r="P530" s="9">
        <v>45157</v>
      </c>
      <c r="Q530" t="s">
        <v>41</v>
      </c>
      <c r="R530" t="s">
        <v>197</v>
      </c>
      <c r="S530">
        <v>693047</v>
      </c>
      <c r="T530" t="s">
        <v>51</v>
      </c>
      <c r="U530" t="s">
        <v>52</v>
      </c>
      <c r="V530" t="s">
        <v>1364</v>
      </c>
      <c r="W530">
        <v>1</v>
      </c>
      <c r="X530">
        <v>0</v>
      </c>
      <c r="Y530">
        <v>15.3</v>
      </c>
    </row>
    <row r="531" spans="1:25" x14ac:dyDescent="0.3">
      <c r="A531" t="s">
        <v>1360</v>
      </c>
      <c r="B531" t="s">
        <v>247</v>
      </c>
      <c r="C531" t="s">
        <v>376</v>
      </c>
      <c r="D531" s="9">
        <v>24867</v>
      </c>
      <c r="E531">
        <v>3120.9</v>
      </c>
      <c r="F531">
        <v>2024</v>
      </c>
      <c r="G531" t="s">
        <v>87</v>
      </c>
      <c r="H531" t="s">
        <v>163</v>
      </c>
      <c r="I531" t="s">
        <v>92</v>
      </c>
      <c r="J531" t="s">
        <v>102</v>
      </c>
      <c r="K531" t="s">
        <v>32</v>
      </c>
      <c r="L531" t="s">
        <v>33</v>
      </c>
      <c r="M531" s="9">
        <v>45406</v>
      </c>
      <c r="N531" t="s">
        <v>1365</v>
      </c>
      <c r="O531" s="9">
        <v>45401</v>
      </c>
      <c r="P531" s="9">
        <v>45406</v>
      </c>
      <c r="Q531" t="s">
        <v>35</v>
      </c>
      <c r="R531" t="s">
        <v>197</v>
      </c>
      <c r="S531">
        <v>986340</v>
      </c>
      <c r="T531" t="s">
        <v>94</v>
      </c>
      <c r="U531" t="s">
        <v>95</v>
      </c>
      <c r="V531" t="s">
        <v>1366</v>
      </c>
      <c r="W531">
        <v>8</v>
      </c>
      <c r="X531">
        <v>0.2</v>
      </c>
      <c r="Y531">
        <v>268.01</v>
      </c>
    </row>
    <row r="532" spans="1:25" x14ac:dyDescent="0.3">
      <c r="A532" t="s">
        <v>1360</v>
      </c>
      <c r="B532" t="s">
        <v>247</v>
      </c>
      <c r="C532" t="s">
        <v>376</v>
      </c>
      <c r="D532" s="9">
        <v>24867</v>
      </c>
      <c r="E532">
        <v>85.64</v>
      </c>
      <c r="F532">
        <v>2025</v>
      </c>
      <c r="G532" t="s">
        <v>48</v>
      </c>
      <c r="H532" t="s">
        <v>163</v>
      </c>
      <c r="I532" t="s">
        <v>43</v>
      </c>
      <c r="J532" t="s">
        <v>102</v>
      </c>
      <c r="K532" t="s">
        <v>32</v>
      </c>
      <c r="L532" t="s">
        <v>33</v>
      </c>
      <c r="M532" s="9">
        <v>45738</v>
      </c>
      <c r="N532" t="s">
        <v>1367</v>
      </c>
      <c r="O532" s="9">
        <v>45737</v>
      </c>
      <c r="P532" s="9">
        <v>45739</v>
      </c>
      <c r="Q532" t="s">
        <v>35</v>
      </c>
      <c r="R532" t="s">
        <v>197</v>
      </c>
      <c r="S532">
        <v>385915</v>
      </c>
      <c r="T532" t="s">
        <v>45</v>
      </c>
      <c r="U532" t="s">
        <v>46</v>
      </c>
      <c r="V532" t="s">
        <v>1368</v>
      </c>
      <c r="W532">
        <v>1</v>
      </c>
      <c r="X532">
        <v>0.05</v>
      </c>
      <c r="Y532">
        <v>26.85</v>
      </c>
    </row>
    <row r="533" spans="1:25" x14ac:dyDescent="0.3">
      <c r="A533" t="s">
        <v>1369</v>
      </c>
      <c r="B533" t="s">
        <v>607</v>
      </c>
      <c r="C533" t="s">
        <v>259</v>
      </c>
      <c r="D533" s="9">
        <v>24076</v>
      </c>
      <c r="E533">
        <v>426.66</v>
      </c>
      <c r="F533">
        <v>2023</v>
      </c>
      <c r="G533" t="s">
        <v>87</v>
      </c>
      <c r="H533" t="s">
        <v>29</v>
      </c>
      <c r="I533" t="s">
        <v>43</v>
      </c>
      <c r="J533" t="s">
        <v>227</v>
      </c>
      <c r="K533" t="s">
        <v>32</v>
      </c>
      <c r="L533" t="s">
        <v>33</v>
      </c>
      <c r="M533" s="9">
        <v>44976</v>
      </c>
      <c r="N533" t="s">
        <v>1370</v>
      </c>
      <c r="O533" s="9">
        <v>44976</v>
      </c>
      <c r="P533" s="9">
        <v>44977</v>
      </c>
      <c r="Q533" t="s">
        <v>74</v>
      </c>
      <c r="R533" t="s">
        <v>738</v>
      </c>
      <c r="S533">
        <v>431570</v>
      </c>
      <c r="T533" t="s">
        <v>153</v>
      </c>
      <c r="U533" t="s">
        <v>154</v>
      </c>
      <c r="V533" t="s">
        <v>1371</v>
      </c>
      <c r="W533">
        <v>2</v>
      </c>
      <c r="X533">
        <v>0.2</v>
      </c>
      <c r="Y533">
        <v>101.72</v>
      </c>
    </row>
    <row r="534" spans="1:25" x14ac:dyDescent="0.3">
      <c r="A534" t="s">
        <v>1369</v>
      </c>
      <c r="B534" t="s">
        <v>607</v>
      </c>
      <c r="C534" t="s">
        <v>259</v>
      </c>
      <c r="D534" s="9">
        <v>24076</v>
      </c>
      <c r="E534">
        <v>356.4</v>
      </c>
      <c r="F534">
        <v>2023</v>
      </c>
      <c r="G534" t="s">
        <v>48</v>
      </c>
      <c r="H534" t="s">
        <v>29</v>
      </c>
      <c r="I534" t="s">
        <v>49</v>
      </c>
      <c r="J534" t="s">
        <v>227</v>
      </c>
      <c r="K534" t="s">
        <v>32</v>
      </c>
      <c r="L534" t="s">
        <v>33</v>
      </c>
      <c r="M534" s="9">
        <v>45291</v>
      </c>
      <c r="N534" t="s">
        <v>1372</v>
      </c>
      <c r="O534" s="9">
        <v>45291</v>
      </c>
      <c r="P534" s="9">
        <v>45293</v>
      </c>
      <c r="Q534" t="s">
        <v>74</v>
      </c>
      <c r="R534" t="s">
        <v>738</v>
      </c>
      <c r="S534">
        <v>491133</v>
      </c>
      <c r="T534" t="s">
        <v>84</v>
      </c>
      <c r="U534" t="s">
        <v>85</v>
      </c>
      <c r="V534" t="s">
        <v>1373</v>
      </c>
      <c r="W534">
        <v>6</v>
      </c>
      <c r="X534">
        <v>0.1</v>
      </c>
      <c r="Y534">
        <v>55.42</v>
      </c>
    </row>
    <row r="535" spans="1:25" x14ac:dyDescent="0.3">
      <c r="A535" t="s">
        <v>1369</v>
      </c>
      <c r="B535" t="s">
        <v>607</v>
      </c>
      <c r="C535" t="s">
        <v>259</v>
      </c>
      <c r="D535" s="9">
        <v>24076</v>
      </c>
      <c r="E535">
        <v>207.48</v>
      </c>
      <c r="F535">
        <v>2024</v>
      </c>
      <c r="G535" t="s">
        <v>87</v>
      </c>
      <c r="H535" t="s">
        <v>29</v>
      </c>
      <c r="I535" t="s">
        <v>92</v>
      </c>
      <c r="J535" t="s">
        <v>227</v>
      </c>
      <c r="K535" t="s">
        <v>32</v>
      </c>
      <c r="L535" t="s">
        <v>33</v>
      </c>
      <c r="M535" s="9">
        <v>45580</v>
      </c>
      <c r="N535" t="s">
        <v>1374</v>
      </c>
      <c r="O535" s="9">
        <v>45578</v>
      </c>
      <c r="P535" s="9">
        <v>45580</v>
      </c>
      <c r="Q535" t="s">
        <v>35</v>
      </c>
      <c r="R535" t="s">
        <v>738</v>
      </c>
      <c r="S535">
        <v>537619</v>
      </c>
      <c r="T535" t="s">
        <v>127</v>
      </c>
      <c r="U535" t="s">
        <v>128</v>
      </c>
      <c r="V535" t="s">
        <v>1375</v>
      </c>
      <c r="W535">
        <v>3</v>
      </c>
      <c r="X535">
        <v>0</v>
      </c>
      <c r="Y535">
        <v>41.71</v>
      </c>
    </row>
    <row r="536" spans="1:25" x14ac:dyDescent="0.3">
      <c r="A536" t="s">
        <v>1376</v>
      </c>
      <c r="B536" t="s">
        <v>59</v>
      </c>
      <c r="C536" t="s">
        <v>455</v>
      </c>
      <c r="D536" s="9">
        <v>34711</v>
      </c>
      <c r="E536">
        <v>1758.5</v>
      </c>
      <c r="F536">
        <v>2023</v>
      </c>
      <c r="G536" t="s">
        <v>28</v>
      </c>
      <c r="H536" t="s">
        <v>29</v>
      </c>
      <c r="I536" t="s">
        <v>78</v>
      </c>
      <c r="J536" t="s">
        <v>102</v>
      </c>
      <c r="K536" t="s">
        <v>32</v>
      </c>
      <c r="L536" t="s">
        <v>144</v>
      </c>
      <c r="M536" s="9">
        <v>45009</v>
      </c>
      <c r="N536" t="s">
        <v>1377</v>
      </c>
      <c r="O536" s="9">
        <v>45005</v>
      </c>
      <c r="P536" s="9">
        <v>45010</v>
      </c>
      <c r="Q536" t="s">
        <v>121</v>
      </c>
      <c r="R536" t="s">
        <v>186</v>
      </c>
      <c r="S536">
        <v>844378</v>
      </c>
      <c r="T536" t="s">
        <v>80</v>
      </c>
      <c r="U536" t="s">
        <v>81</v>
      </c>
      <c r="V536" t="s">
        <v>1378</v>
      </c>
      <c r="W536">
        <v>5</v>
      </c>
      <c r="X536">
        <v>0</v>
      </c>
      <c r="Y536">
        <v>518.95000000000005</v>
      </c>
    </row>
    <row r="537" spans="1:25" x14ac:dyDescent="0.3">
      <c r="A537" t="s">
        <v>1376</v>
      </c>
      <c r="B537" t="s">
        <v>59</v>
      </c>
      <c r="C537" t="s">
        <v>455</v>
      </c>
      <c r="D537" s="9">
        <v>34711</v>
      </c>
      <c r="E537">
        <v>202.77</v>
      </c>
      <c r="F537">
        <v>2023</v>
      </c>
      <c r="G537" t="s">
        <v>48</v>
      </c>
      <c r="H537" t="s">
        <v>29</v>
      </c>
      <c r="I537" t="s">
        <v>43</v>
      </c>
      <c r="J537" t="s">
        <v>102</v>
      </c>
      <c r="K537" t="s">
        <v>32</v>
      </c>
      <c r="L537" t="s">
        <v>144</v>
      </c>
      <c r="M537" s="9">
        <v>45047</v>
      </c>
      <c r="N537" t="s">
        <v>1379</v>
      </c>
      <c r="O537" s="9">
        <v>45046</v>
      </c>
      <c r="P537" s="9">
        <v>45048</v>
      </c>
      <c r="Q537" t="s">
        <v>121</v>
      </c>
      <c r="R537" t="s">
        <v>186</v>
      </c>
      <c r="S537">
        <v>236543</v>
      </c>
      <c r="T537" t="s">
        <v>45</v>
      </c>
      <c r="U537" t="s">
        <v>46</v>
      </c>
      <c r="V537" t="s">
        <v>1380</v>
      </c>
      <c r="W537">
        <v>2</v>
      </c>
      <c r="X537">
        <v>0.2</v>
      </c>
      <c r="Y537">
        <v>52.37</v>
      </c>
    </row>
    <row r="538" spans="1:25" x14ac:dyDescent="0.3">
      <c r="A538" t="s">
        <v>1376</v>
      </c>
      <c r="B538" t="s">
        <v>59</v>
      </c>
      <c r="C538" t="s">
        <v>455</v>
      </c>
      <c r="D538" s="9">
        <v>34711</v>
      </c>
      <c r="E538">
        <v>91.7</v>
      </c>
      <c r="F538">
        <v>2023</v>
      </c>
      <c r="G538" t="s">
        <v>48</v>
      </c>
      <c r="H538" t="s">
        <v>29</v>
      </c>
      <c r="I538" t="s">
        <v>78</v>
      </c>
      <c r="J538" t="s">
        <v>102</v>
      </c>
      <c r="K538" t="s">
        <v>32</v>
      </c>
      <c r="L538" t="s">
        <v>144</v>
      </c>
      <c r="M538" s="9">
        <v>45061</v>
      </c>
      <c r="N538" t="s">
        <v>1381</v>
      </c>
      <c r="O538" s="9">
        <v>45061</v>
      </c>
      <c r="P538" s="9">
        <v>45065</v>
      </c>
      <c r="Q538" t="s">
        <v>35</v>
      </c>
      <c r="R538" t="s">
        <v>186</v>
      </c>
      <c r="S538">
        <v>134385</v>
      </c>
      <c r="T538" t="s">
        <v>80</v>
      </c>
      <c r="U538" t="s">
        <v>81</v>
      </c>
      <c r="V538" t="s">
        <v>1382</v>
      </c>
      <c r="W538">
        <v>2</v>
      </c>
      <c r="X538">
        <v>0.2</v>
      </c>
      <c r="Y538">
        <v>17.91</v>
      </c>
    </row>
    <row r="539" spans="1:25" x14ac:dyDescent="0.3">
      <c r="A539" t="s">
        <v>1376</v>
      </c>
      <c r="B539" t="s">
        <v>59</v>
      </c>
      <c r="C539" t="s">
        <v>455</v>
      </c>
      <c r="D539" s="9">
        <v>34711</v>
      </c>
      <c r="E539">
        <v>245.16</v>
      </c>
      <c r="F539">
        <v>2025</v>
      </c>
      <c r="G539" t="s">
        <v>48</v>
      </c>
      <c r="H539" t="s">
        <v>29</v>
      </c>
      <c r="I539" t="s">
        <v>49</v>
      </c>
      <c r="J539" t="s">
        <v>102</v>
      </c>
      <c r="K539" t="s">
        <v>32</v>
      </c>
      <c r="L539" t="s">
        <v>144</v>
      </c>
      <c r="M539" s="9">
        <v>45765</v>
      </c>
      <c r="N539" t="s">
        <v>1383</v>
      </c>
      <c r="O539" s="9">
        <v>45765</v>
      </c>
      <c r="P539" s="9">
        <v>45768</v>
      </c>
      <c r="Q539" t="s">
        <v>35</v>
      </c>
      <c r="R539" t="s">
        <v>186</v>
      </c>
      <c r="S539">
        <v>731024</v>
      </c>
      <c r="T539" t="s">
        <v>51</v>
      </c>
      <c r="U539" t="s">
        <v>52</v>
      </c>
      <c r="V539" t="s">
        <v>237</v>
      </c>
      <c r="W539">
        <v>1</v>
      </c>
      <c r="X539">
        <v>0</v>
      </c>
      <c r="Y539">
        <v>15.44</v>
      </c>
    </row>
    <row r="540" spans="1:25" x14ac:dyDescent="0.3">
      <c r="A540" t="s">
        <v>1384</v>
      </c>
      <c r="B540" t="s">
        <v>684</v>
      </c>
      <c r="C540" t="s">
        <v>162</v>
      </c>
      <c r="D540" s="9">
        <v>36307</v>
      </c>
      <c r="E540">
        <v>152.78</v>
      </c>
      <c r="F540">
        <v>2023</v>
      </c>
      <c r="G540" t="s">
        <v>28</v>
      </c>
      <c r="H540" t="s">
        <v>29</v>
      </c>
      <c r="I540" t="s">
        <v>49</v>
      </c>
      <c r="J540" t="s">
        <v>143</v>
      </c>
      <c r="K540" t="s">
        <v>32</v>
      </c>
      <c r="L540" t="s">
        <v>63</v>
      </c>
      <c r="M540" s="9">
        <v>45118</v>
      </c>
      <c r="N540" t="s">
        <v>1385</v>
      </c>
      <c r="O540" s="9">
        <v>45116</v>
      </c>
      <c r="P540" s="9">
        <v>45121</v>
      </c>
      <c r="Q540" t="s">
        <v>121</v>
      </c>
      <c r="R540" t="s">
        <v>523</v>
      </c>
      <c r="S540">
        <v>996677</v>
      </c>
      <c r="T540" t="s">
        <v>84</v>
      </c>
      <c r="U540" t="s">
        <v>85</v>
      </c>
      <c r="V540" t="s">
        <v>1386</v>
      </c>
      <c r="W540">
        <v>2</v>
      </c>
      <c r="X540">
        <v>0.15</v>
      </c>
      <c r="Y540">
        <v>50.81</v>
      </c>
    </row>
    <row r="541" spans="1:25" x14ac:dyDescent="0.3">
      <c r="A541" t="s">
        <v>1384</v>
      </c>
      <c r="B541" t="s">
        <v>684</v>
      </c>
      <c r="C541" t="s">
        <v>162</v>
      </c>
      <c r="D541" s="9">
        <v>36307</v>
      </c>
      <c r="E541">
        <v>1049.44</v>
      </c>
      <c r="F541">
        <v>2023</v>
      </c>
      <c r="G541" t="s">
        <v>87</v>
      </c>
      <c r="H541" t="s">
        <v>29</v>
      </c>
      <c r="I541" t="s">
        <v>30</v>
      </c>
      <c r="J541" t="s">
        <v>143</v>
      </c>
      <c r="K541" t="s">
        <v>32</v>
      </c>
      <c r="L541" t="s">
        <v>63</v>
      </c>
      <c r="M541" s="9">
        <v>45131</v>
      </c>
      <c r="N541" t="s">
        <v>1387</v>
      </c>
      <c r="O541" s="9">
        <v>45131</v>
      </c>
      <c r="P541" s="9">
        <v>45136</v>
      </c>
      <c r="Q541" t="s">
        <v>121</v>
      </c>
      <c r="R541" t="s">
        <v>523</v>
      </c>
      <c r="S541">
        <v>850582</v>
      </c>
      <c r="T541" t="s">
        <v>55</v>
      </c>
      <c r="U541" t="s">
        <v>56</v>
      </c>
      <c r="V541" t="s">
        <v>1388</v>
      </c>
      <c r="W541">
        <v>4</v>
      </c>
      <c r="X541">
        <v>0</v>
      </c>
      <c r="Y541">
        <v>83.67</v>
      </c>
    </row>
    <row r="542" spans="1:25" x14ac:dyDescent="0.3">
      <c r="A542" t="s">
        <v>1389</v>
      </c>
      <c r="B542" t="s">
        <v>195</v>
      </c>
      <c r="C542" t="s">
        <v>60</v>
      </c>
      <c r="D542" s="9">
        <v>35512</v>
      </c>
      <c r="E542">
        <v>834.53</v>
      </c>
      <c r="F542">
        <v>2023</v>
      </c>
      <c r="G542" t="s">
        <v>87</v>
      </c>
      <c r="H542" t="s">
        <v>29</v>
      </c>
      <c r="I542" t="s">
        <v>30</v>
      </c>
      <c r="J542" t="s">
        <v>102</v>
      </c>
      <c r="K542" t="s">
        <v>32</v>
      </c>
      <c r="L542" t="s">
        <v>144</v>
      </c>
      <c r="M542" s="9">
        <v>45104</v>
      </c>
      <c r="N542" t="s">
        <v>1390</v>
      </c>
      <c r="O542" s="9">
        <v>45102</v>
      </c>
      <c r="P542" s="9">
        <v>45106</v>
      </c>
      <c r="Q542" t="s">
        <v>121</v>
      </c>
      <c r="R542" t="s">
        <v>186</v>
      </c>
      <c r="S542">
        <v>561023</v>
      </c>
      <c r="T542" t="s">
        <v>75</v>
      </c>
      <c r="U542" t="s">
        <v>76</v>
      </c>
      <c r="V542" t="s">
        <v>1391</v>
      </c>
      <c r="W542">
        <v>2</v>
      </c>
      <c r="X542">
        <v>0.1</v>
      </c>
      <c r="Y542">
        <v>254.86</v>
      </c>
    </row>
    <row r="543" spans="1:25" x14ac:dyDescent="0.3">
      <c r="A543" t="s">
        <v>1389</v>
      </c>
      <c r="B543" t="s">
        <v>195</v>
      </c>
      <c r="C543" t="s">
        <v>60</v>
      </c>
      <c r="D543" s="9">
        <v>35512</v>
      </c>
      <c r="E543">
        <v>2798.81</v>
      </c>
      <c r="F543">
        <v>2023</v>
      </c>
      <c r="G543" t="s">
        <v>48</v>
      </c>
      <c r="H543" t="s">
        <v>29</v>
      </c>
      <c r="I543" t="s">
        <v>49</v>
      </c>
      <c r="J543" t="s">
        <v>102</v>
      </c>
      <c r="K543" t="s">
        <v>32</v>
      </c>
      <c r="L543" t="s">
        <v>144</v>
      </c>
      <c r="M543" s="9">
        <v>45216</v>
      </c>
      <c r="N543" t="s">
        <v>1392</v>
      </c>
      <c r="O543" s="9">
        <v>45215</v>
      </c>
      <c r="P543" s="9">
        <v>45217</v>
      </c>
      <c r="Q543" t="s">
        <v>74</v>
      </c>
      <c r="R543" t="s">
        <v>186</v>
      </c>
      <c r="S543">
        <v>229620</v>
      </c>
      <c r="T543" t="s">
        <v>109</v>
      </c>
      <c r="U543" t="s">
        <v>110</v>
      </c>
      <c r="V543" t="s">
        <v>1393</v>
      </c>
      <c r="W543">
        <v>6</v>
      </c>
      <c r="X543">
        <v>0.05</v>
      </c>
      <c r="Y543">
        <v>319.85000000000002</v>
      </c>
    </row>
    <row r="544" spans="1:25" x14ac:dyDescent="0.3">
      <c r="A544" t="s">
        <v>1394</v>
      </c>
      <c r="B544" t="s">
        <v>183</v>
      </c>
      <c r="C544" t="s">
        <v>545</v>
      </c>
      <c r="D544" s="9">
        <v>24163</v>
      </c>
      <c r="E544">
        <v>3299.67</v>
      </c>
      <c r="F544">
        <v>2023</v>
      </c>
      <c r="G544" t="s">
        <v>28</v>
      </c>
      <c r="H544" t="s">
        <v>163</v>
      </c>
      <c r="I544" t="s">
        <v>43</v>
      </c>
      <c r="J544" t="s">
        <v>143</v>
      </c>
      <c r="K544" t="s">
        <v>32</v>
      </c>
      <c r="L544" t="s">
        <v>144</v>
      </c>
      <c r="M544" s="9">
        <v>45067</v>
      </c>
      <c r="N544" t="s">
        <v>1395</v>
      </c>
      <c r="O544" s="9">
        <v>45066</v>
      </c>
      <c r="P544" s="9">
        <v>45067</v>
      </c>
      <c r="Q544" t="s">
        <v>41</v>
      </c>
      <c r="R544" t="s">
        <v>421</v>
      </c>
      <c r="S544">
        <v>729554</v>
      </c>
      <c r="T544" t="s">
        <v>70</v>
      </c>
      <c r="U544" t="s">
        <v>71</v>
      </c>
      <c r="V544" t="s">
        <v>1396</v>
      </c>
      <c r="W544">
        <v>9</v>
      </c>
      <c r="X544">
        <v>0</v>
      </c>
      <c r="Y544">
        <v>489.79</v>
      </c>
    </row>
    <row r="545" spans="1:25" x14ac:dyDescent="0.3">
      <c r="A545" t="s">
        <v>1394</v>
      </c>
      <c r="B545" t="s">
        <v>183</v>
      </c>
      <c r="C545" t="s">
        <v>545</v>
      </c>
      <c r="D545" s="9">
        <v>24163</v>
      </c>
      <c r="E545">
        <v>975.99</v>
      </c>
      <c r="F545">
        <v>2024</v>
      </c>
      <c r="G545" t="s">
        <v>48</v>
      </c>
      <c r="H545" t="s">
        <v>163</v>
      </c>
      <c r="I545" t="s">
        <v>49</v>
      </c>
      <c r="J545" t="s">
        <v>143</v>
      </c>
      <c r="K545" t="s">
        <v>32</v>
      </c>
      <c r="L545" t="s">
        <v>144</v>
      </c>
      <c r="M545" s="9">
        <v>45435</v>
      </c>
      <c r="N545" t="s">
        <v>1397</v>
      </c>
      <c r="O545" s="9">
        <v>45434</v>
      </c>
      <c r="P545" s="9">
        <v>45438</v>
      </c>
      <c r="Q545" t="s">
        <v>41</v>
      </c>
      <c r="R545" t="s">
        <v>421</v>
      </c>
      <c r="S545">
        <v>812120</v>
      </c>
      <c r="T545" t="s">
        <v>84</v>
      </c>
      <c r="U545" t="s">
        <v>85</v>
      </c>
      <c r="V545" t="s">
        <v>1398</v>
      </c>
      <c r="W545">
        <v>8</v>
      </c>
      <c r="X545">
        <v>0.05</v>
      </c>
      <c r="Y545">
        <v>133.88</v>
      </c>
    </row>
    <row r="546" spans="1:25" x14ac:dyDescent="0.3">
      <c r="A546" t="s">
        <v>1394</v>
      </c>
      <c r="B546" t="s">
        <v>183</v>
      </c>
      <c r="C546" t="s">
        <v>545</v>
      </c>
      <c r="D546" s="9">
        <v>24163</v>
      </c>
      <c r="E546">
        <v>2603.84</v>
      </c>
      <c r="F546">
        <v>2024</v>
      </c>
      <c r="G546" t="s">
        <v>48</v>
      </c>
      <c r="H546" t="s">
        <v>163</v>
      </c>
      <c r="I546" t="s">
        <v>43</v>
      </c>
      <c r="J546" t="s">
        <v>143</v>
      </c>
      <c r="K546" t="s">
        <v>32</v>
      </c>
      <c r="L546" t="s">
        <v>144</v>
      </c>
      <c r="M546" s="9">
        <v>45459</v>
      </c>
      <c r="N546" t="s">
        <v>1399</v>
      </c>
      <c r="O546" s="9">
        <v>45459</v>
      </c>
      <c r="P546" s="9">
        <v>45460</v>
      </c>
      <c r="Q546" t="s">
        <v>41</v>
      </c>
      <c r="R546" t="s">
        <v>421</v>
      </c>
      <c r="S546">
        <v>520085</v>
      </c>
      <c r="T546" t="s">
        <v>45</v>
      </c>
      <c r="U546" t="s">
        <v>46</v>
      </c>
      <c r="V546" t="s">
        <v>1400</v>
      </c>
      <c r="W546">
        <v>8</v>
      </c>
      <c r="X546">
        <v>0.05</v>
      </c>
      <c r="Y546">
        <v>472.38</v>
      </c>
    </row>
    <row r="547" spans="1:25" x14ac:dyDescent="0.3">
      <c r="A547" t="s">
        <v>1394</v>
      </c>
      <c r="B547" t="s">
        <v>183</v>
      </c>
      <c r="C547" t="s">
        <v>545</v>
      </c>
      <c r="D547" s="9">
        <v>24163</v>
      </c>
      <c r="E547">
        <v>153.18</v>
      </c>
      <c r="F547">
        <v>2025</v>
      </c>
      <c r="G547" t="s">
        <v>48</v>
      </c>
      <c r="H547" t="s">
        <v>163</v>
      </c>
      <c r="I547" t="s">
        <v>49</v>
      </c>
      <c r="J547" t="s">
        <v>143</v>
      </c>
      <c r="K547" t="s">
        <v>32</v>
      </c>
      <c r="L547" t="s">
        <v>144</v>
      </c>
      <c r="M547" s="9">
        <v>45710</v>
      </c>
      <c r="N547" t="s">
        <v>1401</v>
      </c>
      <c r="O547" s="9">
        <v>45707</v>
      </c>
      <c r="P547" s="9">
        <v>45712</v>
      </c>
      <c r="Q547" t="s">
        <v>121</v>
      </c>
      <c r="R547" t="s">
        <v>421</v>
      </c>
      <c r="S547">
        <v>978821</v>
      </c>
      <c r="T547" t="s">
        <v>51</v>
      </c>
      <c r="U547" t="s">
        <v>52</v>
      </c>
      <c r="V547" t="s">
        <v>1402</v>
      </c>
      <c r="W547">
        <v>3</v>
      </c>
      <c r="X547">
        <v>0</v>
      </c>
      <c r="Y547">
        <v>23.22</v>
      </c>
    </row>
    <row r="548" spans="1:25" x14ac:dyDescent="0.3">
      <c r="A548" t="s">
        <v>1403</v>
      </c>
      <c r="B548" t="s">
        <v>1404</v>
      </c>
      <c r="C548" t="s">
        <v>322</v>
      </c>
      <c r="D548" s="9">
        <v>24988</v>
      </c>
      <c r="E548">
        <v>1532.12</v>
      </c>
      <c r="F548">
        <v>2023</v>
      </c>
      <c r="G548" t="s">
        <v>28</v>
      </c>
      <c r="H548" t="s">
        <v>29</v>
      </c>
      <c r="I548" t="s">
        <v>49</v>
      </c>
      <c r="J548" t="s">
        <v>227</v>
      </c>
      <c r="K548" t="s">
        <v>32</v>
      </c>
      <c r="L548" t="s">
        <v>33</v>
      </c>
      <c r="M548" s="9">
        <v>45214</v>
      </c>
      <c r="N548" t="s">
        <v>1405</v>
      </c>
      <c r="O548" s="9">
        <v>45212</v>
      </c>
      <c r="P548" s="9">
        <v>45216</v>
      </c>
      <c r="Q548" t="s">
        <v>41</v>
      </c>
      <c r="R548" t="s">
        <v>229</v>
      </c>
      <c r="S548">
        <v>608069</v>
      </c>
      <c r="T548" t="s">
        <v>51</v>
      </c>
      <c r="U548" t="s">
        <v>52</v>
      </c>
      <c r="V548" t="s">
        <v>237</v>
      </c>
      <c r="W548">
        <v>5</v>
      </c>
      <c r="X548">
        <v>0.2</v>
      </c>
      <c r="Y548">
        <v>372.53</v>
      </c>
    </row>
    <row r="549" spans="1:25" x14ac:dyDescent="0.3">
      <c r="A549" t="s">
        <v>1403</v>
      </c>
      <c r="B549" t="s">
        <v>1404</v>
      </c>
      <c r="C549" t="s">
        <v>322</v>
      </c>
      <c r="D549" s="9">
        <v>24988</v>
      </c>
      <c r="E549">
        <v>574.88</v>
      </c>
      <c r="F549">
        <v>2024</v>
      </c>
      <c r="G549" t="s">
        <v>48</v>
      </c>
      <c r="H549" t="s">
        <v>29</v>
      </c>
      <c r="I549" t="s">
        <v>30</v>
      </c>
      <c r="J549" t="s">
        <v>227</v>
      </c>
      <c r="K549" t="s">
        <v>32</v>
      </c>
      <c r="L549" t="s">
        <v>33</v>
      </c>
      <c r="M549" s="9">
        <v>45440</v>
      </c>
      <c r="N549" t="s">
        <v>1406</v>
      </c>
      <c r="O549" s="9">
        <v>45438</v>
      </c>
      <c r="P549" s="9">
        <v>45440</v>
      </c>
      <c r="Q549" t="s">
        <v>35</v>
      </c>
      <c r="R549" t="s">
        <v>229</v>
      </c>
      <c r="S549">
        <v>204441</v>
      </c>
      <c r="T549" t="s">
        <v>37</v>
      </c>
      <c r="U549" t="s">
        <v>38</v>
      </c>
      <c r="V549" t="s">
        <v>1407</v>
      </c>
      <c r="W549">
        <v>8</v>
      </c>
      <c r="X549">
        <v>0</v>
      </c>
      <c r="Y549">
        <v>113.14</v>
      </c>
    </row>
    <row r="550" spans="1:25" x14ac:dyDescent="0.3">
      <c r="A550" t="s">
        <v>1403</v>
      </c>
      <c r="B550" t="s">
        <v>1404</v>
      </c>
      <c r="C550" t="s">
        <v>322</v>
      </c>
      <c r="D550" s="9">
        <v>24988</v>
      </c>
      <c r="E550">
        <v>518.20000000000005</v>
      </c>
      <c r="F550">
        <v>2025</v>
      </c>
      <c r="G550" t="s">
        <v>87</v>
      </c>
      <c r="H550" t="s">
        <v>29</v>
      </c>
      <c r="I550" t="s">
        <v>49</v>
      </c>
      <c r="J550" t="s">
        <v>227</v>
      </c>
      <c r="K550" t="s">
        <v>32</v>
      </c>
      <c r="L550" t="s">
        <v>33</v>
      </c>
      <c r="M550" s="9">
        <v>45714</v>
      </c>
      <c r="N550" t="s">
        <v>1408</v>
      </c>
      <c r="O550" s="9">
        <v>45710</v>
      </c>
      <c r="P550" s="9">
        <v>45714</v>
      </c>
      <c r="Q550" t="s">
        <v>74</v>
      </c>
      <c r="R550" t="s">
        <v>229</v>
      </c>
      <c r="S550">
        <v>260155</v>
      </c>
      <c r="T550" t="s">
        <v>109</v>
      </c>
      <c r="U550" t="s">
        <v>110</v>
      </c>
      <c r="V550" t="s">
        <v>1409</v>
      </c>
      <c r="W550">
        <v>2</v>
      </c>
      <c r="X550">
        <v>0</v>
      </c>
      <c r="Y550">
        <v>177.03</v>
      </c>
    </row>
    <row r="551" spans="1:25" x14ac:dyDescent="0.3">
      <c r="A551" t="s">
        <v>1410</v>
      </c>
      <c r="B551" t="s">
        <v>684</v>
      </c>
      <c r="C551" t="s">
        <v>437</v>
      </c>
      <c r="D551" s="9">
        <v>28684</v>
      </c>
      <c r="E551">
        <v>795.12</v>
      </c>
      <c r="F551">
        <v>2023</v>
      </c>
      <c r="G551" t="s">
        <v>87</v>
      </c>
      <c r="H551" t="s">
        <v>29</v>
      </c>
      <c r="I551" t="s">
        <v>78</v>
      </c>
      <c r="J551" t="s">
        <v>227</v>
      </c>
      <c r="K551" t="s">
        <v>32</v>
      </c>
      <c r="L551" t="s">
        <v>63</v>
      </c>
      <c r="M551" s="9">
        <v>45027</v>
      </c>
      <c r="N551" t="s">
        <v>1411</v>
      </c>
      <c r="O551" s="9">
        <v>45025</v>
      </c>
      <c r="P551" s="9">
        <v>45030</v>
      </c>
      <c r="Q551" t="s">
        <v>74</v>
      </c>
      <c r="R551" t="s">
        <v>738</v>
      </c>
      <c r="S551">
        <v>948802</v>
      </c>
      <c r="T551" t="s">
        <v>80</v>
      </c>
      <c r="U551" t="s">
        <v>81</v>
      </c>
      <c r="V551" t="s">
        <v>1412</v>
      </c>
      <c r="W551">
        <v>8</v>
      </c>
      <c r="X551">
        <v>0.15</v>
      </c>
      <c r="Y551">
        <v>158.52000000000001</v>
      </c>
    </row>
    <row r="552" spans="1:25" x14ac:dyDescent="0.3">
      <c r="A552" t="s">
        <v>1410</v>
      </c>
      <c r="B552" t="s">
        <v>684</v>
      </c>
      <c r="C552" t="s">
        <v>437</v>
      </c>
      <c r="D552" s="9">
        <v>28684</v>
      </c>
      <c r="E552">
        <v>495.54</v>
      </c>
      <c r="F552">
        <v>2024</v>
      </c>
      <c r="G552" t="s">
        <v>28</v>
      </c>
      <c r="H552" t="s">
        <v>29</v>
      </c>
      <c r="I552" t="s">
        <v>30</v>
      </c>
      <c r="J552" t="s">
        <v>227</v>
      </c>
      <c r="K552" t="s">
        <v>32</v>
      </c>
      <c r="L552" t="s">
        <v>63</v>
      </c>
      <c r="M552" s="9">
        <v>45568</v>
      </c>
      <c r="N552" t="s">
        <v>1413</v>
      </c>
      <c r="O552" s="9">
        <v>45565</v>
      </c>
      <c r="P552" s="9">
        <v>45568</v>
      </c>
      <c r="Q552" t="s">
        <v>41</v>
      </c>
      <c r="R552" t="s">
        <v>738</v>
      </c>
      <c r="S552">
        <v>137728</v>
      </c>
      <c r="T552" t="s">
        <v>55</v>
      </c>
      <c r="U552" t="s">
        <v>56</v>
      </c>
      <c r="V552" t="s">
        <v>1414</v>
      </c>
      <c r="W552">
        <v>1</v>
      </c>
      <c r="X552">
        <v>0</v>
      </c>
      <c r="Y552">
        <v>81.81</v>
      </c>
    </row>
    <row r="553" spans="1:25" x14ac:dyDescent="0.3">
      <c r="A553" t="s">
        <v>1410</v>
      </c>
      <c r="B553" t="s">
        <v>684</v>
      </c>
      <c r="C553" t="s">
        <v>437</v>
      </c>
      <c r="D553" s="9">
        <v>28684</v>
      </c>
      <c r="E553">
        <v>2223.3000000000002</v>
      </c>
      <c r="F553">
        <v>2025</v>
      </c>
      <c r="G553" t="s">
        <v>87</v>
      </c>
      <c r="H553" t="s">
        <v>29</v>
      </c>
      <c r="I553" t="s">
        <v>78</v>
      </c>
      <c r="J553" t="s">
        <v>227</v>
      </c>
      <c r="K553" t="s">
        <v>32</v>
      </c>
      <c r="L553" t="s">
        <v>63</v>
      </c>
      <c r="M553" s="9">
        <v>45706</v>
      </c>
      <c r="N553" t="s">
        <v>1415</v>
      </c>
      <c r="O553" s="9">
        <v>45705</v>
      </c>
      <c r="P553" s="9">
        <v>45707</v>
      </c>
      <c r="Q553" t="s">
        <v>41</v>
      </c>
      <c r="R553" t="s">
        <v>738</v>
      </c>
      <c r="S553">
        <v>611133</v>
      </c>
      <c r="T553" t="s">
        <v>89</v>
      </c>
      <c r="U553" t="s">
        <v>90</v>
      </c>
      <c r="V553" t="s">
        <v>1416</v>
      </c>
      <c r="W553">
        <v>5</v>
      </c>
      <c r="X553">
        <v>0</v>
      </c>
      <c r="Y553">
        <v>438.98</v>
      </c>
    </row>
    <row r="554" spans="1:25" x14ac:dyDescent="0.3">
      <c r="A554" t="s">
        <v>1417</v>
      </c>
      <c r="B554" t="s">
        <v>562</v>
      </c>
      <c r="C554" t="s">
        <v>897</v>
      </c>
      <c r="D554" s="9">
        <v>32471</v>
      </c>
      <c r="E554">
        <v>1590.02</v>
      </c>
      <c r="F554">
        <v>2024</v>
      </c>
      <c r="G554" t="s">
        <v>28</v>
      </c>
      <c r="H554" t="s">
        <v>29</v>
      </c>
      <c r="I554" t="s">
        <v>49</v>
      </c>
      <c r="J554" t="s">
        <v>143</v>
      </c>
      <c r="K554" t="s">
        <v>32</v>
      </c>
      <c r="L554" t="s">
        <v>33</v>
      </c>
      <c r="M554" s="9">
        <v>45430</v>
      </c>
      <c r="N554" t="s">
        <v>1418</v>
      </c>
      <c r="O554" s="9">
        <v>45429</v>
      </c>
      <c r="P554" s="9">
        <v>45430</v>
      </c>
      <c r="Q554" t="s">
        <v>41</v>
      </c>
      <c r="R554" t="s">
        <v>146</v>
      </c>
      <c r="S554">
        <v>719755</v>
      </c>
      <c r="T554" t="s">
        <v>51</v>
      </c>
      <c r="U554" t="s">
        <v>52</v>
      </c>
      <c r="V554" t="s">
        <v>1419</v>
      </c>
      <c r="W554">
        <v>8</v>
      </c>
      <c r="X554">
        <v>0.2</v>
      </c>
      <c r="Y554">
        <v>154.06</v>
      </c>
    </row>
    <row r="555" spans="1:25" x14ac:dyDescent="0.3">
      <c r="A555" t="s">
        <v>1417</v>
      </c>
      <c r="B555" t="s">
        <v>562</v>
      </c>
      <c r="C555" t="s">
        <v>897</v>
      </c>
      <c r="D555" s="9">
        <v>32471</v>
      </c>
      <c r="E555">
        <v>869.15</v>
      </c>
      <c r="F555">
        <v>2024</v>
      </c>
      <c r="G555" t="s">
        <v>28</v>
      </c>
      <c r="H555" t="s">
        <v>29</v>
      </c>
      <c r="I555" t="s">
        <v>92</v>
      </c>
      <c r="J555" t="s">
        <v>143</v>
      </c>
      <c r="K555" t="s">
        <v>32</v>
      </c>
      <c r="L555" t="s">
        <v>33</v>
      </c>
      <c r="M555" s="9">
        <v>45495</v>
      </c>
      <c r="N555" t="s">
        <v>1420</v>
      </c>
      <c r="O555" s="9">
        <v>45494</v>
      </c>
      <c r="P555" s="9">
        <v>45496</v>
      </c>
      <c r="Q555" t="s">
        <v>35</v>
      </c>
      <c r="R555" t="s">
        <v>146</v>
      </c>
      <c r="S555">
        <v>902364</v>
      </c>
      <c r="T555" t="s">
        <v>94</v>
      </c>
      <c r="U555" t="s">
        <v>95</v>
      </c>
      <c r="V555" t="s">
        <v>1421</v>
      </c>
      <c r="W555">
        <v>5</v>
      </c>
      <c r="X555">
        <v>0</v>
      </c>
      <c r="Y555">
        <v>197.42</v>
      </c>
    </row>
    <row r="556" spans="1:25" x14ac:dyDescent="0.3">
      <c r="A556" t="s">
        <v>1417</v>
      </c>
      <c r="B556" t="s">
        <v>562</v>
      </c>
      <c r="C556" t="s">
        <v>897</v>
      </c>
      <c r="D556" s="9">
        <v>32471</v>
      </c>
      <c r="E556">
        <v>451.02</v>
      </c>
      <c r="F556">
        <v>2024</v>
      </c>
      <c r="G556" t="s">
        <v>48</v>
      </c>
      <c r="H556" t="s">
        <v>29</v>
      </c>
      <c r="I556" t="s">
        <v>49</v>
      </c>
      <c r="J556" t="s">
        <v>143</v>
      </c>
      <c r="K556" t="s">
        <v>32</v>
      </c>
      <c r="L556" t="s">
        <v>33</v>
      </c>
      <c r="M556" s="9">
        <v>45509</v>
      </c>
      <c r="N556" t="s">
        <v>1422</v>
      </c>
      <c r="O556" s="9">
        <v>45509</v>
      </c>
      <c r="P556" s="9">
        <v>45510</v>
      </c>
      <c r="Q556" t="s">
        <v>121</v>
      </c>
      <c r="R556" t="s">
        <v>146</v>
      </c>
      <c r="S556">
        <v>779564</v>
      </c>
      <c r="T556" t="s">
        <v>84</v>
      </c>
      <c r="U556" t="s">
        <v>85</v>
      </c>
      <c r="V556" t="s">
        <v>1423</v>
      </c>
      <c r="W556">
        <v>2</v>
      </c>
      <c r="X556">
        <v>0</v>
      </c>
      <c r="Y556">
        <v>78.290000000000006</v>
      </c>
    </row>
    <row r="557" spans="1:25" x14ac:dyDescent="0.3">
      <c r="A557" t="s">
        <v>1417</v>
      </c>
      <c r="B557" t="s">
        <v>562</v>
      </c>
      <c r="C557" t="s">
        <v>897</v>
      </c>
      <c r="D557" s="9">
        <v>32471</v>
      </c>
      <c r="E557">
        <v>874.18</v>
      </c>
      <c r="F557">
        <v>2024</v>
      </c>
      <c r="G557" t="s">
        <v>48</v>
      </c>
      <c r="H557" t="s">
        <v>29</v>
      </c>
      <c r="I557" t="s">
        <v>43</v>
      </c>
      <c r="J557" t="s">
        <v>143</v>
      </c>
      <c r="K557" t="s">
        <v>32</v>
      </c>
      <c r="L557" t="s">
        <v>33</v>
      </c>
      <c r="M557" s="9">
        <v>45603</v>
      </c>
      <c r="N557" t="s">
        <v>1424</v>
      </c>
      <c r="O557" s="9">
        <v>45602</v>
      </c>
      <c r="P557" s="9">
        <v>45603</v>
      </c>
      <c r="Q557" t="s">
        <v>41</v>
      </c>
      <c r="R557" t="s">
        <v>146</v>
      </c>
      <c r="S557">
        <v>789719</v>
      </c>
      <c r="T557" t="s">
        <v>70</v>
      </c>
      <c r="U557" t="s">
        <v>71</v>
      </c>
      <c r="V557" t="s">
        <v>1425</v>
      </c>
      <c r="W557">
        <v>2</v>
      </c>
      <c r="X557">
        <v>0</v>
      </c>
      <c r="Y557">
        <v>132.24</v>
      </c>
    </row>
    <row r="558" spans="1:25" x14ac:dyDescent="0.3">
      <c r="A558" t="s">
        <v>1417</v>
      </c>
      <c r="B558" t="s">
        <v>562</v>
      </c>
      <c r="C558" t="s">
        <v>897</v>
      </c>
      <c r="D558" s="9">
        <v>32471</v>
      </c>
      <c r="E558">
        <v>318.64999999999998</v>
      </c>
      <c r="F558">
        <v>2024</v>
      </c>
      <c r="G558" t="s">
        <v>87</v>
      </c>
      <c r="H558" t="s">
        <v>29</v>
      </c>
      <c r="I558" t="s">
        <v>92</v>
      </c>
      <c r="J558" t="s">
        <v>143</v>
      </c>
      <c r="K558" t="s">
        <v>32</v>
      </c>
      <c r="L558" t="s">
        <v>33</v>
      </c>
      <c r="M558" s="9">
        <v>45621</v>
      </c>
      <c r="N558" t="s">
        <v>1426</v>
      </c>
      <c r="O558" s="9">
        <v>45618</v>
      </c>
      <c r="P558" s="9">
        <v>45621</v>
      </c>
      <c r="Q558" t="s">
        <v>41</v>
      </c>
      <c r="R558" t="s">
        <v>146</v>
      </c>
      <c r="S558">
        <v>438083</v>
      </c>
      <c r="T558" t="s">
        <v>127</v>
      </c>
      <c r="U558" t="s">
        <v>128</v>
      </c>
      <c r="V558" t="s">
        <v>1427</v>
      </c>
      <c r="W558">
        <v>1</v>
      </c>
      <c r="X558">
        <v>0.1</v>
      </c>
      <c r="Y558">
        <v>18.059999999999999</v>
      </c>
    </row>
    <row r="559" spans="1:25" x14ac:dyDescent="0.3">
      <c r="A559" t="s">
        <v>1428</v>
      </c>
      <c r="B559" t="s">
        <v>124</v>
      </c>
      <c r="C559" t="s">
        <v>376</v>
      </c>
      <c r="D559" s="9">
        <v>29333</v>
      </c>
      <c r="E559">
        <v>1672.51</v>
      </c>
      <c r="F559">
        <v>2023</v>
      </c>
      <c r="G559" t="s">
        <v>28</v>
      </c>
      <c r="H559" t="s">
        <v>29</v>
      </c>
      <c r="I559" t="s">
        <v>49</v>
      </c>
      <c r="J559" t="s">
        <v>102</v>
      </c>
      <c r="K559" t="s">
        <v>32</v>
      </c>
      <c r="L559" t="s">
        <v>144</v>
      </c>
      <c r="M559" s="9">
        <v>45031</v>
      </c>
      <c r="N559" t="s">
        <v>1429</v>
      </c>
      <c r="O559" s="9">
        <v>45029</v>
      </c>
      <c r="P559" s="9">
        <v>45031</v>
      </c>
      <c r="Q559" t="s">
        <v>74</v>
      </c>
      <c r="R559" t="s">
        <v>165</v>
      </c>
      <c r="S559">
        <v>557169</v>
      </c>
      <c r="T559" t="s">
        <v>109</v>
      </c>
      <c r="U559" t="s">
        <v>110</v>
      </c>
      <c r="V559" t="s">
        <v>1430</v>
      </c>
      <c r="W559">
        <v>8</v>
      </c>
      <c r="X559">
        <v>0.2</v>
      </c>
      <c r="Y559">
        <v>418.49</v>
      </c>
    </row>
    <row r="560" spans="1:25" x14ac:dyDescent="0.3">
      <c r="A560" t="s">
        <v>1428</v>
      </c>
      <c r="B560" t="s">
        <v>124</v>
      </c>
      <c r="C560" t="s">
        <v>376</v>
      </c>
      <c r="D560" s="9">
        <v>29333</v>
      </c>
      <c r="E560">
        <v>762.08</v>
      </c>
      <c r="F560">
        <v>2024</v>
      </c>
      <c r="G560" t="s">
        <v>28</v>
      </c>
      <c r="H560" t="s">
        <v>29</v>
      </c>
      <c r="I560" t="s">
        <v>61</v>
      </c>
      <c r="J560" t="s">
        <v>102</v>
      </c>
      <c r="K560" t="s">
        <v>32</v>
      </c>
      <c r="L560" t="s">
        <v>144</v>
      </c>
      <c r="M560" s="9">
        <v>45427</v>
      </c>
      <c r="N560" t="s">
        <v>1431</v>
      </c>
      <c r="O560" s="9">
        <v>45427</v>
      </c>
      <c r="P560" s="9">
        <v>45430</v>
      </c>
      <c r="Q560" t="s">
        <v>41</v>
      </c>
      <c r="R560" t="s">
        <v>165</v>
      </c>
      <c r="S560">
        <v>943687</v>
      </c>
      <c r="T560" t="s">
        <v>113</v>
      </c>
      <c r="U560" t="s">
        <v>114</v>
      </c>
      <c r="V560" t="s">
        <v>1432</v>
      </c>
      <c r="W560">
        <v>2</v>
      </c>
      <c r="X560">
        <v>0.1</v>
      </c>
      <c r="Y560">
        <v>87.05</v>
      </c>
    </row>
    <row r="561" spans="1:25" x14ac:dyDescent="0.3">
      <c r="A561" t="s">
        <v>1428</v>
      </c>
      <c r="B561" t="s">
        <v>124</v>
      </c>
      <c r="C561" t="s">
        <v>376</v>
      </c>
      <c r="D561" s="9">
        <v>29333</v>
      </c>
      <c r="E561">
        <v>654.70000000000005</v>
      </c>
      <c r="F561">
        <v>2024</v>
      </c>
      <c r="G561" t="s">
        <v>28</v>
      </c>
      <c r="H561" t="s">
        <v>29</v>
      </c>
      <c r="I561" t="s">
        <v>61</v>
      </c>
      <c r="J561" t="s">
        <v>102</v>
      </c>
      <c r="K561" t="s">
        <v>32</v>
      </c>
      <c r="L561" t="s">
        <v>144</v>
      </c>
      <c r="M561" s="9">
        <v>45638</v>
      </c>
      <c r="N561" t="s">
        <v>1433</v>
      </c>
      <c r="O561" s="9">
        <v>45634</v>
      </c>
      <c r="P561" s="9">
        <v>45639</v>
      </c>
      <c r="Q561" t="s">
        <v>41</v>
      </c>
      <c r="R561" t="s">
        <v>165</v>
      </c>
      <c r="S561">
        <v>319927</v>
      </c>
      <c r="T561" t="s">
        <v>312</v>
      </c>
      <c r="U561" t="s">
        <v>313</v>
      </c>
      <c r="V561" t="s">
        <v>1434</v>
      </c>
      <c r="W561">
        <v>10</v>
      </c>
      <c r="X561">
        <v>0</v>
      </c>
      <c r="Y561">
        <v>86.43</v>
      </c>
    </row>
    <row r="562" spans="1:25" x14ac:dyDescent="0.3">
      <c r="A562" t="s">
        <v>1428</v>
      </c>
      <c r="B562" t="s">
        <v>124</v>
      </c>
      <c r="C562" t="s">
        <v>376</v>
      </c>
      <c r="D562" s="9">
        <v>29333</v>
      </c>
      <c r="E562">
        <v>1311.15</v>
      </c>
      <c r="F562">
        <v>2025</v>
      </c>
      <c r="G562" t="s">
        <v>48</v>
      </c>
      <c r="H562" t="s">
        <v>29</v>
      </c>
      <c r="I562" t="s">
        <v>43</v>
      </c>
      <c r="J562" t="s">
        <v>102</v>
      </c>
      <c r="K562" t="s">
        <v>32</v>
      </c>
      <c r="L562" t="s">
        <v>144</v>
      </c>
      <c r="M562" s="9">
        <v>45756</v>
      </c>
      <c r="N562" t="s">
        <v>1435</v>
      </c>
      <c r="O562" s="9">
        <v>45754</v>
      </c>
      <c r="P562" s="9">
        <v>45759</v>
      </c>
      <c r="Q562" t="s">
        <v>41</v>
      </c>
      <c r="R562" t="s">
        <v>165</v>
      </c>
      <c r="S562">
        <v>521843</v>
      </c>
      <c r="T562" t="s">
        <v>45</v>
      </c>
      <c r="U562" t="s">
        <v>46</v>
      </c>
      <c r="V562" t="s">
        <v>1436</v>
      </c>
      <c r="W562">
        <v>5</v>
      </c>
      <c r="X562">
        <v>0</v>
      </c>
      <c r="Y562">
        <v>235.84</v>
      </c>
    </row>
    <row r="563" spans="1:25" x14ac:dyDescent="0.3">
      <c r="A563" t="s">
        <v>1437</v>
      </c>
      <c r="B563" t="s">
        <v>183</v>
      </c>
      <c r="C563" t="s">
        <v>348</v>
      </c>
      <c r="D563" s="9">
        <v>29677</v>
      </c>
      <c r="E563">
        <v>3516.21</v>
      </c>
      <c r="F563">
        <v>2024</v>
      </c>
      <c r="G563" t="s">
        <v>87</v>
      </c>
      <c r="H563" t="s">
        <v>163</v>
      </c>
      <c r="I563" t="s">
        <v>30</v>
      </c>
      <c r="J563" t="s">
        <v>62</v>
      </c>
      <c r="K563" t="s">
        <v>32</v>
      </c>
      <c r="L563" t="s">
        <v>144</v>
      </c>
      <c r="M563" s="9">
        <v>45393</v>
      </c>
      <c r="N563" t="s">
        <v>1438</v>
      </c>
      <c r="O563" s="9">
        <v>45391</v>
      </c>
      <c r="P563" s="9">
        <v>45395</v>
      </c>
      <c r="Q563" t="s">
        <v>41</v>
      </c>
      <c r="R563" t="s">
        <v>286</v>
      </c>
      <c r="S563">
        <v>693616</v>
      </c>
      <c r="T563" t="s">
        <v>75</v>
      </c>
      <c r="U563" t="s">
        <v>76</v>
      </c>
      <c r="V563" t="s">
        <v>1439</v>
      </c>
      <c r="W563">
        <v>9</v>
      </c>
      <c r="X563">
        <v>0.1</v>
      </c>
      <c r="Y563">
        <v>702.4</v>
      </c>
    </row>
    <row r="564" spans="1:25" x14ac:dyDescent="0.3">
      <c r="A564" t="s">
        <v>1437</v>
      </c>
      <c r="B564" t="s">
        <v>183</v>
      </c>
      <c r="C564" t="s">
        <v>348</v>
      </c>
      <c r="D564" s="9">
        <v>29677</v>
      </c>
      <c r="E564">
        <v>994.45</v>
      </c>
      <c r="F564">
        <v>2024</v>
      </c>
      <c r="G564" t="s">
        <v>87</v>
      </c>
      <c r="H564" t="s">
        <v>163</v>
      </c>
      <c r="I564" t="s">
        <v>49</v>
      </c>
      <c r="J564" t="s">
        <v>62</v>
      </c>
      <c r="K564" t="s">
        <v>32</v>
      </c>
      <c r="L564" t="s">
        <v>144</v>
      </c>
      <c r="M564" s="9">
        <v>45456</v>
      </c>
      <c r="N564" t="s">
        <v>1440</v>
      </c>
      <c r="O564" s="9">
        <v>45454</v>
      </c>
      <c r="P564" s="9">
        <v>45456</v>
      </c>
      <c r="Q564" t="s">
        <v>74</v>
      </c>
      <c r="R564" t="s">
        <v>286</v>
      </c>
      <c r="S564">
        <v>985126</v>
      </c>
      <c r="T564" t="s">
        <v>51</v>
      </c>
      <c r="U564" t="s">
        <v>52</v>
      </c>
      <c r="V564" t="s">
        <v>1441</v>
      </c>
      <c r="W564">
        <v>9</v>
      </c>
      <c r="X564">
        <v>0.05</v>
      </c>
      <c r="Y564">
        <v>93.8</v>
      </c>
    </row>
    <row r="565" spans="1:25" x14ac:dyDescent="0.3">
      <c r="A565" t="s">
        <v>1437</v>
      </c>
      <c r="B565" t="s">
        <v>183</v>
      </c>
      <c r="C565" t="s">
        <v>348</v>
      </c>
      <c r="D565" s="9">
        <v>29677</v>
      </c>
      <c r="E565">
        <v>518.86</v>
      </c>
      <c r="F565">
        <v>2024</v>
      </c>
      <c r="G565" t="s">
        <v>28</v>
      </c>
      <c r="H565" t="s">
        <v>163</v>
      </c>
      <c r="I565" t="s">
        <v>92</v>
      </c>
      <c r="J565" t="s">
        <v>62</v>
      </c>
      <c r="K565" t="s">
        <v>32</v>
      </c>
      <c r="L565" t="s">
        <v>144</v>
      </c>
      <c r="M565" s="9">
        <v>45615</v>
      </c>
      <c r="N565" t="s">
        <v>1442</v>
      </c>
      <c r="O565" s="9">
        <v>45614</v>
      </c>
      <c r="P565" s="9">
        <v>45617</v>
      </c>
      <c r="Q565" t="s">
        <v>121</v>
      </c>
      <c r="R565" t="s">
        <v>286</v>
      </c>
      <c r="S565">
        <v>525581</v>
      </c>
      <c r="T565" t="s">
        <v>127</v>
      </c>
      <c r="U565" t="s">
        <v>128</v>
      </c>
      <c r="V565" t="s">
        <v>1443</v>
      </c>
      <c r="W565">
        <v>2</v>
      </c>
      <c r="X565">
        <v>0.2</v>
      </c>
      <c r="Y565">
        <v>90.14</v>
      </c>
    </row>
    <row r="566" spans="1:25" x14ac:dyDescent="0.3">
      <c r="A566" t="s">
        <v>1444</v>
      </c>
      <c r="B566" t="s">
        <v>924</v>
      </c>
      <c r="C566" t="s">
        <v>60</v>
      </c>
      <c r="D566" s="9">
        <v>32291</v>
      </c>
      <c r="E566">
        <v>1092.5999999999999</v>
      </c>
      <c r="F566">
        <v>2023</v>
      </c>
      <c r="G566" t="s">
        <v>48</v>
      </c>
      <c r="H566" t="s">
        <v>29</v>
      </c>
      <c r="I566" t="s">
        <v>78</v>
      </c>
      <c r="J566" t="s">
        <v>31</v>
      </c>
      <c r="K566" t="s">
        <v>32</v>
      </c>
      <c r="L566" t="s">
        <v>144</v>
      </c>
      <c r="M566" s="9">
        <v>45080</v>
      </c>
      <c r="N566" t="s">
        <v>1445</v>
      </c>
      <c r="O566" s="9">
        <v>45080</v>
      </c>
      <c r="P566" s="9">
        <v>45084</v>
      </c>
      <c r="Q566" t="s">
        <v>121</v>
      </c>
      <c r="R566" t="s">
        <v>36</v>
      </c>
      <c r="S566">
        <v>385959</v>
      </c>
      <c r="T566" t="s">
        <v>89</v>
      </c>
      <c r="U566" t="s">
        <v>90</v>
      </c>
      <c r="V566" t="s">
        <v>1446</v>
      </c>
      <c r="W566">
        <v>5</v>
      </c>
      <c r="X566">
        <v>0.1</v>
      </c>
      <c r="Y566">
        <v>379.56</v>
      </c>
    </row>
    <row r="567" spans="1:25" x14ac:dyDescent="0.3">
      <c r="A567" t="s">
        <v>1444</v>
      </c>
      <c r="B567" t="s">
        <v>924</v>
      </c>
      <c r="C567" t="s">
        <v>60</v>
      </c>
      <c r="D567" s="9">
        <v>32291</v>
      </c>
      <c r="E567">
        <v>1680.8</v>
      </c>
      <c r="F567">
        <v>2023</v>
      </c>
      <c r="G567" t="s">
        <v>48</v>
      </c>
      <c r="H567" t="s">
        <v>29</v>
      </c>
      <c r="I567" t="s">
        <v>61</v>
      </c>
      <c r="J567" t="s">
        <v>31</v>
      </c>
      <c r="K567" t="s">
        <v>32</v>
      </c>
      <c r="L567" t="s">
        <v>144</v>
      </c>
      <c r="M567" s="9">
        <v>45124</v>
      </c>
      <c r="N567" t="s">
        <v>1447</v>
      </c>
      <c r="O567" s="9">
        <v>45123</v>
      </c>
      <c r="P567" s="9">
        <v>45124</v>
      </c>
      <c r="Q567" t="s">
        <v>35</v>
      </c>
      <c r="R567" t="s">
        <v>36</v>
      </c>
      <c r="S567">
        <v>188006</v>
      </c>
      <c r="T567" t="s">
        <v>312</v>
      </c>
      <c r="U567" t="s">
        <v>313</v>
      </c>
      <c r="V567" t="s">
        <v>1448</v>
      </c>
      <c r="W567">
        <v>5</v>
      </c>
      <c r="X567">
        <v>0</v>
      </c>
      <c r="Y567">
        <v>408.92</v>
      </c>
    </row>
    <row r="568" spans="1:25" x14ac:dyDescent="0.3">
      <c r="A568" t="s">
        <v>1449</v>
      </c>
      <c r="B568" t="s">
        <v>100</v>
      </c>
      <c r="C568" t="s">
        <v>259</v>
      </c>
      <c r="D568" s="9">
        <v>35720</v>
      </c>
      <c r="E568">
        <v>336.82</v>
      </c>
      <c r="F568">
        <v>2023</v>
      </c>
      <c r="G568" t="s">
        <v>48</v>
      </c>
      <c r="H568" t="s">
        <v>29</v>
      </c>
      <c r="I568" t="s">
        <v>92</v>
      </c>
      <c r="J568" t="s">
        <v>227</v>
      </c>
      <c r="K568" t="s">
        <v>32</v>
      </c>
      <c r="L568" t="s">
        <v>144</v>
      </c>
      <c r="M568" s="9">
        <v>44992</v>
      </c>
      <c r="N568" t="s">
        <v>1450</v>
      </c>
      <c r="O568" s="9">
        <v>44992</v>
      </c>
      <c r="P568" s="9">
        <v>44994</v>
      </c>
      <c r="Q568" t="s">
        <v>35</v>
      </c>
      <c r="R568" t="s">
        <v>229</v>
      </c>
      <c r="S568">
        <v>647312</v>
      </c>
      <c r="T568" t="s">
        <v>94</v>
      </c>
      <c r="U568" t="s">
        <v>95</v>
      </c>
      <c r="V568" t="s">
        <v>1451</v>
      </c>
      <c r="W568">
        <v>2</v>
      </c>
      <c r="X568">
        <v>0.2</v>
      </c>
      <c r="Y568">
        <v>90.02</v>
      </c>
    </row>
    <row r="569" spans="1:25" x14ac:dyDescent="0.3">
      <c r="A569" t="s">
        <v>1449</v>
      </c>
      <c r="B569" t="s">
        <v>100</v>
      </c>
      <c r="C569" t="s">
        <v>259</v>
      </c>
      <c r="D569" s="9">
        <v>35720</v>
      </c>
      <c r="E569">
        <v>1267.83</v>
      </c>
      <c r="F569">
        <v>2023</v>
      </c>
      <c r="G569" t="s">
        <v>28</v>
      </c>
      <c r="H569" t="s">
        <v>29</v>
      </c>
      <c r="I569" t="s">
        <v>49</v>
      </c>
      <c r="J569" t="s">
        <v>227</v>
      </c>
      <c r="K569" t="s">
        <v>32</v>
      </c>
      <c r="L569" t="s">
        <v>144</v>
      </c>
      <c r="M569" s="9">
        <v>45233</v>
      </c>
      <c r="N569" t="s">
        <v>1452</v>
      </c>
      <c r="O569" s="9">
        <v>45232</v>
      </c>
      <c r="P569" s="9">
        <v>45233</v>
      </c>
      <c r="Q569" t="s">
        <v>41</v>
      </c>
      <c r="R569" t="s">
        <v>229</v>
      </c>
      <c r="S569">
        <v>944986</v>
      </c>
      <c r="T569" t="s">
        <v>51</v>
      </c>
      <c r="U569" t="s">
        <v>52</v>
      </c>
      <c r="V569" t="s">
        <v>1453</v>
      </c>
      <c r="W569">
        <v>9</v>
      </c>
      <c r="X569">
        <v>0</v>
      </c>
      <c r="Y569">
        <v>153.94</v>
      </c>
    </row>
    <row r="570" spans="1:25" x14ac:dyDescent="0.3">
      <c r="A570" t="s">
        <v>1449</v>
      </c>
      <c r="B570" t="s">
        <v>100</v>
      </c>
      <c r="C570" t="s">
        <v>259</v>
      </c>
      <c r="D570" s="9">
        <v>35720</v>
      </c>
      <c r="E570">
        <v>872.48</v>
      </c>
      <c r="F570">
        <v>2025</v>
      </c>
      <c r="G570" t="s">
        <v>28</v>
      </c>
      <c r="H570" t="s">
        <v>29</v>
      </c>
      <c r="I570" t="s">
        <v>49</v>
      </c>
      <c r="J570" t="s">
        <v>227</v>
      </c>
      <c r="K570" t="s">
        <v>32</v>
      </c>
      <c r="L570" t="s">
        <v>144</v>
      </c>
      <c r="M570" s="9">
        <v>45817</v>
      </c>
      <c r="N570" t="s">
        <v>1454</v>
      </c>
      <c r="O570" s="9">
        <v>45814</v>
      </c>
      <c r="P570" s="9">
        <v>45817</v>
      </c>
      <c r="Q570" t="s">
        <v>74</v>
      </c>
      <c r="R570" t="s">
        <v>229</v>
      </c>
      <c r="S570">
        <v>718115</v>
      </c>
      <c r="T570" t="s">
        <v>51</v>
      </c>
      <c r="U570" t="s">
        <v>52</v>
      </c>
      <c r="V570" t="s">
        <v>1455</v>
      </c>
      <c r="W570">
        <v>7</v>
      </c>
      <c r="X570">
        <v>0</v>
      </c>
      <c r="Y570">
        <v>89.47</v>
      </c>
    </row>
    <row r="571" spans="1:25" x14ac:dyDescent="0.3">
      <c r="A571" t="s">
        <v>1456</v>
      </c>
      <c r="B571" t="s">
        <v>467</v>
      </c>
      <c r="C571" t="s">
        <v>259</v>
      </c>
      <c r="D571" s="9">
        <v>25162</v>
      </c>
      <c r="E571">
        <v>1607.17</v>
      </c>
      <c r="F571">
        <v>2024</v>
      </c>
      <c r="G571" t="s">
        <v>28</v>
      </c>
      <c r="H571" t="s">
        <v>29</v>
      </c>
      <c r="I571" t="s">
        <v>43</v>
      </c>
      <c r="J571" t="s">
        <v>31</v>
      </c>
      <c r="K571" t="s">
        <v>32</v>
      </c>
      <c r="L571" t="s">
        <v>33</v>
      </c>
      <c r="M571" s="9">
        <v>45474</v>
      </c>
      <c r="N571" t="s">
        <v>1457</v>
      </c>
      <c r="O571" s="9">
        <v>45473</v>
      </c>
      <c r="P571" s="9">
        <v>45476</v>
      </c>
      <c r="Q571" t="s">
        <v>41</v>
      </c>
      <c r="R571" t="s">
        <v>36</v>
      </c>
      <c r="S571">
        <v>850435</v>
      </c>
      <c r="T571" t="s">
        <v>70</v>
      </c>
      <c r="U571" t="s">
        <v>71</v>
      </c>
      <c r="V571" t="s">
        <v>1458</v>
      </c>
      <c r="W571">
        <v>6</v>
      </c>
      <c r="X571">
        <v>0.05</v>
      </c>
      <c r="Y571">
        <v>409.54</v>
      </c>
    </row>
    <row r="572" spans="1:25" x14ac:dyDescent="0.3">
      <c r="A572" t="s">
        <v>1459</v>
      </c>
      <c r="B572" t="s">
        <v>661</v>
      </c>
      <c r="C572" t="s">
        <v>618</v>
      </c>
      <c r="D572" s="9">
        <v>33079</v>
      </c>
      <c r="E572">
        <v>281.22000000000003</v>
      </c>
      <c r="F572">
        <v>2023</v>
      </c>
      <c r="G572" t="s">
        <v>28</v>
      </c>
      <c r="H572" t="s">
        <v>29</v>
      </c>
      <c r="I572" t="s">
        <v>30</v>
      </c>
      <c r="J572" t="s">
        <v>227</v>
      </c>
      <c r="K572" t="s">
        <v>32</v>
      </c>
      <c r="L572" t="s">
        <v>144</v>
      </c>
      <c r="M572" s="9">
        <v>44951</v>
      </c>
      <c r="N572" t="s">
        <v>1460</v>
      </c>
      <c r="O572" s="9">
        <v>44948</v>
      </c>
      <c r="P572" s="9">
        <v>44951</v>
      </c>
      <c r="Q572" t="s">
        <v>74</v>
      </c>
      <c r="R572" t="s">
        <v>738</v>
      </c>
      <c r="S572">
        <v>951706</v>
      </c>
      <c r="T572" t="s">
        <v>75</v>
      </c>
      <c r="U572" t="s">
        <v>76</v>
      </c>
      <c r="V572" t="s">
        <v>1461</v>
      </c>
      <c r="W572">
        <v>1</v>
      </c>
      <c r="X572">
        <v>0.2</v>
      </c>
      <c r="Y572">
        <v>70.72</v>
      </c>
    </row>
    <row r="573" spans="1:25" x14ac:dyDescent="0.3">
      <c r="A573" t="s">
        <v>1459</v>
      </c>
      <c r="B573" t="s">
        <v>661</v>
      </c>
      <c r="C573" t="s">
        <v>618</v>
      </c>
      <c r="D573" s="9">
        <v>33079</v>
      </c>
      <c r="E573">
        <v>1640.35</v>
      </c>
      <c r="F573">
        <v>2023</v>
      </c>
      <c r="G573" t="s">
        <v>28</v>
      </c>
      <c r="H573" t="s">
        <v>29</v>
      </c>
      <c r="I573" t="s">
        <v>49</v>
      </c>
      <c r="J573" t="s">
        <v>227</v>
      </c>
      <c r="K573" t="s">
        <v>32</v>
      </c>
      <c r="L573" t="s">
        <v>144</v>
      </c>
      <c r="M573" s="9">
        <v>45244</v>
      </c>
      <c r="N573" t="s">
        <v>1462</v>
      </c>
      <c r="O573" s="9">
        <v>45242</v>
      </c>
      <c r="P573" s="9">
        <v>45246</v>
      </c>
      <c r="Q573" t="s">
        <v>35</v>
      </c>
      <c r="R573" t="s">
        <v>738</v>
      </c>
      <c r="S573">
        <v>962671</v>
      </c>
      <c r="T573" t="s">
        <v>109</v>
      </c>
      <c r="U573" t="s">
        <v>110</v>
      </c>
      <c r="V573" t="s">
        <v>1463</v>
      </c>
      <c r="W573">
        <v>4</v>
      </c>
      <c r="X573">
        <v>0.05</v>
      </c>
      <c r="Y573">
        <v>85.89</v>
      </c>
    </row>
    <row r="574" spans="1:25" x14ac:dyDescent="0.3">
      <c r="A574" t="s">
        <v>1459</v>
      </c>
      <c r="B574" t="s">
        <v>661</v>
      </c>
      <c r="C574" t="s">
        <v>618</v>
      </c>
      <c r="D574" s="9">
        <v>33079</v>
      </c>
      <c r="E574">
        <v>1172.06</v>
      </c>
      <c r="F574">
        <v>2024</v>
      </c>
      <c r="G574" t="s">
        <v>28</v>
      </c>
      <c r="H574" t="s">
        <v>29</v>
      </c>
      <c r="I574" t="s">
        <v>61</v>
      </c>
      <c r="J574" t="s">
        <v>227</v>
      </c>
      <c r="K574" t="s">
        <v>32</v>
      </c>
      <c r="L574" t="s">
        <v>144</v>
      </c>
      <c r="M574" s="9">
        <v>45587</v>
      </c>
      <c r="N574" t="s">
        <v>1464</v>
      </c>
      <c r="O574" s="9">
        <v>45587</v>
      </c>
      <c r="P574" s="9">
        <v>45591</v>
      </c>
      <c r="Q574" t="s">
        <v>35</v>
      </c>
      <c r="R574" t="s">
        <v>738</v>
      </c>
      <c r="S574">
        <v>963185</v>
      </c>
      <c r="T574" t="s">
        <v>204</v>
      </c>
      <c r="U574" t="s">
        <v>205</v>
      </c>
      <c r="V574" t="s">
        <v>1465</v>
      </c>
      <c r="W574">
        <v>3</v>
      </c>
      <c r="X574">
        <v>0.15</v>
      </c>
      <c r="Y574">
        <v>170.13</v>
      </c>
    </row>
    <row r="575" spans="1:25" x14ac:dyDescent="0.3">
      <c r="A575" t="s">
        <v>1466</v>
      </c>
      <c r="B575" t="s">
        <v>544</v>
      </c>
      <c r="C575" t="s">
        <v>455</v>
      </c>
      <c r="D575" s="9">
        <v>29068</v>
      </c>
      <c r="E575">
        <v>706.71</v>
      </c>
      <c r="F575">
        <v>2024</v>
      </c>
      <c r="G575" t="s">
        <v>28</v>
      </c>
      <c r="H575" t="s">
        <v>163</v>
      </c>
      <c r="I575" t="s">
        <v>43</v>
      </c>
      <c r="J575" t="s">
        <v>31</v>
      </c>
      <c r="K575" t="s">
        <v>32</v>
      </c>
      <c r="L575" t="s">
        <v>33</v>
      </c>
      <c r="M575" s="9">
        <v>45350</v>
      </c>
      <c r="N575" t="s">
        <v>1467</v>
      </c>
      <c r="O575" s="9">
        <v>45349</v>
      </c>
      <c r="P575" s="9">
        <v>45350</v>
      </c>
      <c r="Q575" t="s">
        <v>74</v>
      </c>
      <c r="R575" t="s">
        <v>261</v>
      </c>
      <c r="S575">
        <v>575279</v>
      </c>
      <c r="T575" t="s">
        <v>70</v>
      </c>
      <c r="U575" t="s">
        <v>71</v>
      </c>
      <c r="V575" t="s">
        <v>1468</v>
      </c>
      <c r="W575">
        <v>2</v>
      </c>
      <c r="X575">
        <v>0.15</v>
      </c>
      <c r="Y575">
        <v>90.66</v>
      </c>
    </row>
    <row r="576" spans="1:25" x14ac:dyDescent="0.3">
      <c r="A576" t="s">
        <v>1466</v>
      </c>
      <c r="B576" t="s">
        <v>544</v>
      </c>
      <c r="C576" t="s">
        <v>455</v>
      </c>
      <c r="D576" s="9">
        <v>29068</v>
      </c>
      <c r="E576">
        <v>327.86</v>
      </c>
      <c r="F576">
        <v>2024</v>
      </c>
      <c r="G576" t="s">
        <v>28</v>
      </c>
      <c r="H576" t="s">
        <v>163</v>
      </c>
      <c r="I576" t="s">
        <v>49</v>
      </c>
      <c r="J576" t="s">
        <v>31</v>
      </c>
      <c r="K576" t="s">
        <v>32</v>
      </c>
      <c r="L576" t="s">
        <v>33</v>
      </c>
      <c r="M576" s="9">
        <v>45409</v>
      </c>
      <c r="N576" t="s">
        <v>1469</v>
      </c>
      <c r="O576" s="9">
        <v>45409</v>
      </c>
      <c r="P576" s="9">
        <v>45411</v>
      </c>
      <c r="Q576" t="s">
        <v>121</v>
      </c>
      <c r="R576" t="s">
        <v>261</v>
      </c>
      <c r="S576">
        <v>758816</v>
      </c>
      <c r="T576" t="s">
        <v>109</v>
      </c>
      <c r="U576" t="s">
        <v>110</v>
      </c>
      <c r="V576" t="s">
        <v>1470</v>
      </c>
      <c r="W576">
        <v>1</v>
      </c>
      <c r="X576">
        <v>0</v>
      </c>
      <c r="Y576">
        <v>78.37</v>
      </c>
    </row>
    <row r="577" spans="1:25" x14ac:dyDescent="0.3">
      <c r="A577" t="s">
        <v>1466</v>
      </c>
      <c r="B577" t="s">
        <v>544</v>
      </c>
      <c r="C577" t="s">
        <v>455</v>
      </c>
      <c r="D577" s="9">
        <v>29068</v>
      </c>
      <c r="E577">
        <v>146.4</v>
      </c>
      <c r="F577">
        <v>2024</v>
      </c>
      <c r="G577" t="s">
        <v>87</v>
      </c>
      <c r="H577" t="s">
        <v>163</v>
      </c>
      <c r="I577" t="s">
        <v>43</v>
      </c>
      <c r="J577" t="s">
        <v>31</v>
      </c>
      <c r="K577" t="s">
        <v>32</v>
      </c>
      <c r="L577" t="s">
        <v>33</v>
      </c>
      <c r="M577" s="9">
        <v>45432</v>
      </c>
      <c r="N577" t="s">
        <v>1471</v>
      </c>
      <c r="O577" s="9">
        <v>45430</v>
      </c>
      <c r="P577" s="9">
        <v>45432</v>
      </c>
      <c r="Q577" t="s">
        <v>41</v>
      </c>
      <c r="R577" t="s">
        <v>261</v>
      </c>
      <c r="S577">
        <v>931145</v>
      </c>
      <c r="T577" t="s">
        <v>153</v>
      </c>
      <c r="U577" t="s">
        <v>154</v>
      </c>
      <c r="V577" t="s">
        <v>1472</v>
      </c>
      <c r="W577">
        <v>2</v>
      </c>
      <c r="X577">
        <v>0</v>
      </c>
      <c r="Y577">
        <v>30</v>
      </c>
    </row>
    <row r="578" spans="1:25" x14ac:dyDescent="0.3">
      <c r="A578" t="s">
        <v>1466</v>
      </c>
      <c r="B578" t="s">
        <v>544</v>
      </c>
      <c r="C578" t="s">
        <v>455</v>
      </c>
      <c r="D578" s="9">
        <v>29068</v>
      </c>
      <c r="E578">
        <v>370.08</v>
      </c>
      <c r="F578">
        <v>2025</v>
      </c>
      <c r="G578" t="s">
        <v>48</v>
      </c>
      <c r="H578" t="s">
        <v>163</v>
      </c>
      <c r="I578" t="s">
        <v>43</v>
      </c>
      <c r="J578" t="s">
        <v>31</v>
      </c>
      <c r="K578" t="s">
        <v>32</v>
      </c>
      <c r="L578" t="s">
        <v>33</v>
      </c>
      <c r="M578" s="9">
        <v>45683</v>
      </c>
      <c r="N578" t="s">
        <v>1473</v>
      </c>
      <c r="O578" s="9">
        <v>45681</v>
      </c>
      <c r="P578" s="9">
        <v>45684</v>
      </c>
      <c r="Q578" t="s">
        <v>35</v>
      </c>
      <c r="R578" t="s">
        <v>261</v>
      </c>
      <c r="S578">
        <v>534631</v>
      </c>
      <c r="T578" t="s">
        <v>153</v>
      </c>
      <c r="U578" t="s">
        <v>154</v>
      </c>
      <c r="V578" t="s">
        <v>1474</v>
      </c>
      <c r="W578">
        <v>3</v>
      </c>
      <c r="X578">
        <v>0.15</v>
      </c>
      <c r="Y578">
        <v>84.34</v>
      </c>
    </row>
    <row r="579" spans="1:25" x14ac:dyDescent="0.3">
      <c r="A579" t="s">
        <v>1466</v>
      </c>
      <c r="B579" t="s">
        <v>544</v>
      </c>
      <c r="C579" t="s">
        <v>455</v>
      </c>
      <c r="D579" s="9">
        <v>29068</v>
      </c>
      <c r="E579">
        <v>2982.92</v>
      </c>
      <c r="F579">
        <v>2025</v>
      </c>
      <c r="G579" t="s">
        <v>48</v>
      </c>
      <c r="H579" t="s">
        <v>163</v>
      </c>
      <c r="I579" t="s">
        <v>43</v>
      </c>
      <c r="J579" t="s">
        <v>31</v>
      </c>
      <c r="K579" t="s">
        <v>32</v>
      </c>
      <c r="L579" t="s">
        <v>33</v>
      </c>
      <c r="M579" s="9">
        <v>45788</v>
      </c>
      <c r="N579" t="s">
        <v>1475</v>
      </c>
      <c r="O579" s="9">
        <v>45788</v>
      </c>
      <c r="P579" s="9">
        <v>45789</v>
      </c>
      <c r="Q579" t="s">
        <v>41</v>
      </c>
      <c r="R579" t="s">
        <v>261</v>
      </c>
      <c r="S579">
        <v>307897</v>
      </c>
      <c r="T579" t="s">
        <v>45</v>
      </c>
      <c r="U579" t="s">
        <v>46</v>
      </c>
      <c r="V579" t="s">
        <v>1476</v>
      </c>
      <c r="W579">
        <v>7</v>
      </c>
      <c r="X579">
        <v>0.1</v>
      </c>
      <c r="Y579">
        <v>350.03</v>
      </c>
    </row>
    <row r="580" spans="1:25" x14ac:dyDescent="0.3">
      <c r="A580" t="s">
        <v>1477</v>
      </c>
      <c r="B580" t="s">
        <v>872</v>
      </c>
      <c r="C580" t="s">
        <v>930</v>
      </c>
      <c r="D580" s="9">
        <v>27975</v>
      </c>
      <c r="E580">
        <v>458.2</v>
      </c>
      <c r="F580">
        <v>2023</v>
      </c>
      <c r="G580" t="s">
        <v>48</v>
      </c>
      <c r="H580" t="s">
        <v>29</v>
      </c>
      <c r="I580" t="s">
        <v>92</v>
      </c>
      <c r="J580" t="s">
        <v>143</v>
      </c>
      <c r="K580" t="s">
        <v>32</v>
      </c>
      <c r="L580" t="s">
        <v>63</v>
      </c>
      <c r="M580" s="9">
        <v>44977</v>
      </c>
      <c r="N580" t="s">
        <v>1478</v>
      </c>
      <c r="O580" s="9">
        <v>44977</v>
      </c>
      <c r="P580" s="9">
        <v>44982</v>
      </c>
      <c r="Q580" t="s">
        <v>41</v>
      </c>
      <c r="R580" t="s">
        <v>309</v>
      </c>
      <c r="S580">
        <v>910926</v>
      </c>
      <c r="T580" t="s">
        <v>127</v>
      </c>
      <c r="U580" t="s">
        <v>128</v>
      </c>
      <c r="V580" t="s">
        <v>1479</v>
      </c>
      <c r="W580">
        <v>5</v>
      </c>
      <c r="X580">
        <v>0</v>
      </c>
      <c r="Y580">
        <v>46.3</v>
      </c>
    </row>
    <row r="581" spans="1:25" x14ac:dyDescent="0.3">
      <c r="A581" t="s">
        <v>1477</v>
      </c>
      <c r="B581" t="s">
        <v>872</v>
      </c>
      <c r="C581" t="s">
        <v>930</v>
      </c>
      <c r="D581" s="9">
        <v>27975</v>
      </c>
      <c r="E581">
        <v>1450.04</v>
      </c>
      <c r="F581">
        <v>2023</v>
      </c>
      <c r="G581" t="s">
        <v>87</v>
      </c>
      <c r="H581" t="s">
        <v>29</v>
      </c>
      <c r="I581" t="s">
        <v>92</v>
      </c>
      <c r="J581" t="s">
        <v>143</v>
      </c>
      <c r="K581" t="s">
        <v>32</v>
      </c>
      <c r="L581" t="s">
        <v>63</v>
      </c>
      <c r="M581" s="9">
        <v>45101</v>
      </c>
      <c r="N581" t="s">
        <v>1480</v>
      </c>
      <c r="O581" s="9">
        <v>45099</v>
      </c>
      <c r="P581" s="9">
        <v>45102</v>
      </c>
      <c r="Q581" t="s">
        <v>41</v>
      </c>
      <c r="R581" t="s">
        <v>309</v>
      </c>
      <c r="S581">
        <v>500633</v>
      </c>
      <c r="T581" t="s">
        <v>127</v>
      </c>
      <c r="U581" t="s">
        <v>128</v>
      </c>
      <c r="V581" t="s">
        <v>1481</v>
      </c>
      <c r="W581">
        <v>4</v>
      </c>
      <c r="X581">
        <v>0</v>
      </c>
      <c r="Y581">
        <v>484.05</v>
      </c>
    </row>
    <row r="582" spans="1:25" x14ac:dyDescent="0.3">
      <c r="A582" t="s">
        <v>1477</v>
      </c>
      <c r="B582" t="s">
        <v>872</v>
      </c>
      <c r="C582" t="s">
        <v>930</v>
      </c>
      <c r="D582" s="9">
        <v>27975</v>
      </c>
      <c r="E582">
        <v>985.73</v>
      </c>
      <c r="F582">
        <v>2025</v>
      </c>
      <c r="G582" t="s">
        <v>48</v>
      </c>
      <c r="H582" t="s">
        <v>29</v>
      </c>
      <c r="I582" t="s">
        <v>61</v>
      </c>
      <c r="J582" t="s">
        <v>143</v>
      </c>
      <c r="K582" t="s">
        <v>32</v>
      </c>
      <c r="L582" t="s">
        <v>63</v>
      </c>
      <c r="M582" s="9">
        <v>45800</v>
      </c>
      <c r="N582" t="s">
        <v>1482</v>
      </c>
      <c r="O582" s="9">
        <v>45799</v>
      </c>
      <c r="P582" s="9">
        <v>45801</v>
      </c>
      <c r="Q582" t="s">
        <v>41</v>
      </c>
      <c r="R582" t="s">
        <v>309</v>
      </c>
      <c r="S582">
        <v>930958</v>
      </c>
      <c r="T582" t="s">
        <v>113</v>
      </c>
      <c r="U582" t="s">
        <v>114</v>
      </c>
      <c r="V582" t="s">
        <v>1483</v>
      </c>
      <c r="W582">
        <v>4</v>
      </c>
      <c r="X582">
        <v>0.2</v>
      </c>
      <c r="Y582">
        <v>132.97</v>
      </c>
    </row>
    <row r="583" spans="1:25" x14ac:dyDescent="0.3">
      <c r="A583" t="s">
        <v>1484</v>
      </c>
      <c r="B583" t="s">
        <v>684</v>
      </c>
      <c r="C583" t="s">
        <v>226</v>
      </c>
      <c r="D583" s="9">
        <v>28269</v>
      </c>
      <c r="E583">
        <v>1528.93</v>
      </c>
      <c r="F583">
        <v>2023</v>
      </c>
      <c r="G583" t="s">
        <v>48</v>
      </c>
      <c r="H583" t="s">
        <v>29</v>
      </c>
      <c r="I583" t="s">
        <v>61</v>
      </c>
      <c r="J583" t="s">
        <v>62</v>
      </c>
      <c r="K583" t="s">
        <v>32</v>
      </c>
      <c r="L583" t="s">
        <v>63</v>
      </c>
      <c r="M583" s="9">
        <v>45196</v>
      </c>
      <c r="N583" t="s">
        <v>1485</v>
      </c>
      <c r="O583" s="9">
        <v>45195</v>
      </c>
      <c r="P583" s="9">
        <v>45196</v>
      </c>
      <c r="Q583" t="s">
        <v>74</v>
      </c>
      <c r="R583" t="s">
        <v>65</v>
      </c>
      <c r="S583">
        <v>826687</v>
      </c>
      <c r="T583" t="s">
        <v>113</v>
      </c>
      <c r="U583" t="s">
        <v>114</v>
      </c>
      <c r="V583" t="s">
        <v>1486</v>
      </c>
      <c r="W583">
        <v>6</v>
      </c>
      <c r="X583">
        <v>0.15</v>
      </c>
      <c r="Y583">
        <v>286.60000000000002</v>
      </c>
    </row>
    <row r="584" spans="1:25" x14ac:dyDescent="0.3">
      <c r="A584" t="s">
        <v>1484</v>
      </c>
      <c r="B584" t="s">
        <v>684</v>
      </c>
      <c r="C584" t="s">
        <v>226</v>
      </c>
      <c r="D584" s="9">
        <v>28269</v>
      </c>
      <c r="E584">
        <v>2142.36</v>
      </c>
      <c r="F584">
        <v>2023</v>
      </c>
      <c r="G584" t="s">
        <v>87</v>
      </c>
      <c r="H584" t="s">
        <v>29</v>
      </c>
      <c r="I584" t="s">
        <v>92</v>
      </c>
      <c r="J584" t="s">
        <v>62</v>
      </c>
      <c r="K584" t="s">
        <v>32</v>
      </c>
      <c r="L584" t="s">
        <v>63</v>
      </c>
      <c r="M584" s="9">
        <v>45224</v>
      </c>
      <c r="N584" t="s">
        <v>1487</v>
      </c>
      <c r="O584" s="9">
        <v>45224</v>
      </c>
      <c r="P584" s="9">
        <v>45225</v>
      </c>
      <c r="Q584" t="s">
        <v>35</v>
      </c>
      <c r="R584" t="s">
        <v>65</v>
      </c>
      <c r="S584">
        <v>154644</v>
      </c>
      <c r="T584" t="s">
        <v>147</v>
      </c>
      <c r="U584" t="s">
        <v>148</v>
      </c>
      <c r="V584" t="s">
        <v>1488</v>
      </c>
      <c r="W584">
        <v>7</v>
      </c>
      <c r="X584">
        <v>0.15</v>
      </c>
      <c r="Y584">
        <v>490.94</v>
      </c>
    </row>
    <row r="585" spans="1:25" x14ac:dyDescent="0.3">
      <c r="A585" t="s">
        <v>1489</v>
      </c>
      <c r="B585" t="s">
        <v>607</v>
      </c>
      <c r="C585" t="s">
        <v>184</v>
      </c>
      <c r="D585" s="9">
        <v>27697</v>
      </c>
      <c r="E585">
        <v>2884.72</v>
      </c>
      <c r="F585">
        <v>2023</v>
      </c>
      <c r="G585" t="s">
        <v>28</v>
      </c>
      <c r="H585" t="s">
        <v>29</v>
      </c>
      <c r="I585" t="s">
        <v>30</v>
      </c>
      <c r="J585" t="s">
        <v>143</v>
      </c>
      <c r="K585" t="s">
        <v>32</v>
      </c>
      <c r="L585" t="s">
        <v>63</v>
      </c>
      <c r="M585" s="9">
        <v>45170</v>
      </c>
      <c r="N585" t="s">
        <v>1490</v>
      </c>
      <c r="O585" s="9">
        <v>45167</v>
      </c>
      <c r="P585" s="9">
        <v>45170</v>
      </c>
      <c r="Q585" t="s">
        <v>41</v>
      </c>
      <c r="R585" t="s">
        <v>146</v>
      </c>
      <c r="S585">
        <v>803869</v>
      </c>
      <c r="T585" t="s">
        <v>55</v>
      </c>
      <c r="U585" t="s">
        <v>56</v>
      </c>
      <c r="V585" t="s">
        <v>1491</v>
      </c>
      <c r="W585">
        <v>10</v>
      </c>
      <c r="X585">
        <v>0.2</v>
      </c>
      <c r="Y585">
        <v>183.62</v>
      </c>
    </row>
    <row r="586" spans="1:25" x14ac:dyDescent="0.3">
      <c r="A586" t="s">
        <v>1489</v>
      </c>
      <c r="B586" t="s">
        <v>607</v>
      </c>
      <c r="C586" t="s">
        <v>184</v>
      </c>
      <c r="D586" s="9">
        <v>27697</v>
      </c>
      <c r="E586">
        <v>298.63</v>
      </c>
      <c r="F586">
        <v>2023</v>
      </c>
      <c r="G586" t="s">
        <v>28</v>
      </c>
      <c r="H586" t="s">
        <v>29</v>
      </c>
      <c r="I586" t="s">
        <v>43</v>
      </c>
      <c r="J586" t="s">
        <v>143</v>
      </c>
      <c r="K586" t="s">
        <v>32</v>
      </c>
      <c r="L586" t="s">
        <v>63</v>
      </c>
      <c r="M586" s="9">
        <v>45291</v>
      </c>
      <c r="N586" t="s">
        <v>1492</v>
      </c>
      <c r="O586" s="9">
        <v>45289</v>
      </c>
      <c r="P586" s="9">
        <v>45293</v>
      </c>
      <c r="Q586" t="s">
        <v>121</v>
      </c>
      <c r="R586" t="s">
        <v>146</v>
      </c>
      <c r="S586">
        <v>194002</v>
      </c>
      <c r="T586" t="s">
        <v>45</v>
      </c>
      <c r="U586" t="s">
        <v>46</v>
      </c>
      <c r="V586" t="s">
        <v>1493</v>
      </c>
      <c r="W586">
        <v>1</v>
      </c>
      <c r="X586">
        <v>0</v>
      </c>
      <c r="Y586">
        <v>30.15</v>
      </c>
    </row>
    <row r="587" spans="1:25" x14ac:dyDescent="0.3">
      <c r="A587" t="s">
        <v>1489</v>
      </c>
      <c r="B587" t="s">
        <v>607</v>
      </c>
      <c r="C587" t="s">
        <v>184</v>
      </c>
      <c r="D587" s="9">
        <v>27697</v>
      </c>
      <c r="E587">
        <v>616.41999999999996</v>
      </c>
      <c r="F587">
        <v>2024</v>
      </c>
      <c r="G587" t="s">
        <v>28</v>
      </c>
      <c r="H587" t="s">
        <v>29</v>
      </c>
      <c r="I587" t="s">
        <v>43</v>
      </c>
      <c r="J587" t="s">
        <v>143</v>
      </c>
      <c r="K587" t="s">
        <v>32</v>
      </c>
      <c r="L587" t="s">
        <v>63</v>
      </c>
      <c r="M587" s="9">
        <v>45410</v>
      </c>
      <c r="N587" t="s">
        <v>1494</v>
      </c>
      <c r="O587" s="9">
        <v>45409</v>
      </c>
      <c r="P587" s="9">
        <v>45411</v>
      </c>
      <c r="Q587" t="s">
        <v>74</v>
      </c>
      <c r="R587" t="s">
        <v>146</v>
      </c>
      <c r="S587">
        <v>550977</v>
      </c>
      <c r="T587" t="s">
        <v>70</v>
      </c>
      <c r="U587" t="s">
        <v>71</v>
      </c>
      <c r="V587" t="s">
        <v>1495</v>
      </c>
      <c r="W587">
        <v>7</v>
      </c>
      <c r="X587">
        <v>0</v>
      </c>
      <c r="Y587">
        <v>88.75</v>
      </c>
    </row>
    <row r="588" spans="1:25" x14ac:dyDescent="0.3">
      <c r="A588" t="s">
        <v>1496</v>
      </c>
      <c r="B588" t="s">
        <v>661</v>
      </c>
      <c r="C588" t="s">
        <v>284</v>
      </c>
      <c r="D588" s="9">
        <v>35057</v>
      </c>
      <c r="E588">
        <v>3139.36</v>
      </c>
      <c r="F588">
        <v>2023</v>
      </c>
      <c r="G588" t="s">
        <v>87</v>
      </c>
      <c r="H588" t="s">
        <v>29</v>
      </c>
      <c r="I588" t="s">
        <v>43</v>
      </c>
      <c r="J588" t="s">
        <v>62</v>
      </c>
      <c r="K588" t="s">
        <v>32</v>
      </c>
      <c r="L588" t="s">
        <v>144</v>
      </c>
      <c r="M588" s="9">
        <v>45197</v>
      </c>
      <c r="N588" t="s">
        <v>1497</v>
      </c>
      <c r="O588" s="9">
        <v>45196</v>
      </c>
      <c r="P588" s="9">
        <v>45200</v>
      </c>
      <c r="Q588" t="s">
        <v>41</v>
      </c>
      <c r="R588" t="s">
        <v>1192</v>
      </c>
      <c r="S588">
        <v>155807</v>
      </c>
      <c r="T588" t="s">
        <v>70</v>
      </c>
      <c r="U588" t="s">
        <v>71</v>
      </c>
      <c r="V588" t="s">
        <v>1498</v>
      </c>
      <c r="W588">
        <v>7</v>
      </c>
      <c r="X588">
        <v>0</v>
      </c>
      <c r="Y588">
        <v>850.96</v>
      </c>
    </row>
    <row r="589" spans="1:25" x14ac:dyDescent="0.3">
      <c r="A589" t="s">
        <v>1496</v>
      </c>
      <c r="B589" t="s">
        <v>661</v>
      </c>
      <c r="C589" t="s">
        <v>284</v>
      </c>
      <c r="D589" s="9">
        <v>35057</v>
      </c>
      <c r="E589">
        <v>410.06</v>
      </c>
      <c r="F589">
        <v>2024</v>
      </c>
      <c r="G589" t="s">
        <v>48</v>
      </c>
      <c r="H589" t="s">
        <v>29</v>
      </c>
      <c r="I589" t="s">
        <v>61</v>
      </c>
      <c r="J589" t="s">
        <v>62</v>
      </c>
      <c r="K589" t="s">
        <v>32</v>
      </c>
      <c r="L589" t="s">
        <v>144</v>
      </c>
      <c r="M589" s="9">
        <v>45557</v>
      </c>
      <c r="N589" t="s">
        <v>1499</v>
      </c>
      <c r="O589" s="9">
        <v>45554</v>
      </c>
      <c r="P589" s="9">
        <v>45558</v>
      </c>
      <c r="Q589" t="s">
        <v>41</v>
      </c>
      <c r="R589" t="s">
        <v>1192</v>
      </c>
      <c r="S589">
        <v>142773</v>
      </c>
      <c r="T589" t="s">
        <v>66</v>
      </c>
      <c r="U589" t="s">
        <v>67</v>
      </c>
      <c r="V589" t="s">
        <v>1500</v>
      </c>
      <c r="W589">
        <v>4</v>
      </c>
      <c r="X589">
        <v>0.05</v>
      </c>
      <c r="Y589">
        <v>52.52</v>
      </c>
    </row>
    <row r="590" spans="1:25" x14ac:dyDescent="0.3">
      <c r="A590" t="s">
        <v>1496</v>
      </c>
      <c r="B590" t="s">
        <v>661</v>
      </c>
      <c r="C590" t="s">
        <v>284</v>
      </c>
      <c r="D590" s="9">
        <v>35057</v>
      </c>
      <c r="E590">
        <v>2162.29</v>
      </c>
      <c r="F590">
        <v>2025</v>
      </c>
      <c r="G590" t="s">
        <v>28</v>
      </c>
      <c r="H590" t="s">
        <v>29</v>
      </c>
      <c r="I590" t="s">
        <v>92</v>
      </c>
      <c r="J590" t="s">
        <v>62</v>
      </c>
      <c r="K590" t="s">
        <v>32</v>
      </c>
      <c r="L590" t="s">
        <v>144</v>
      </c>
      <c r="M590" s="9">
        <v>45824</v>
      </c>
      <c r="N590" t="s">
        <v>1501</v>
      </c>
      <c r="O590" s="9">
        <v>45824</v>
      </c>
      <c r="P590" s="9">
        <v>45826</v>
      </c>
      <c r="Q590" t="s">
        <v>35</v>
      </c>
      <c r="R590" t="s">
        <v>1192</v>
      </c>
      <c r="S590">
        <v>313630</v>
      </c>
      <c r="T590" t="s">
        <v>94</v>
      </c>
      <c r="U590" t="s">
        <v>95</v>
      </c>
      <c r="V590" t="s">
        <v>1502</v>
      </c>
      <c r="W590">
        <v>9</v>
      </c>
      <c r="X590">
        <v>0.05</v>
      </c>
      <c r="Y590">
        <v>181.09</v>
      </c>
    </row>
    <row r="591" spans="1:25" x14ac:dyDescent="0.3">
      <c r="A591" t="s">
        <v>1503</v>
      </c>
      <c r="B591" t="s">
        <v>544</v>
      </c>
      <c r="C591" t="s">
        <v>184</v>
      </c>
      <c r="D591" s="9">
        <v>28563</v>
      </c>
      <c r="E591">
        <v>1219.5</v>
      </c>
      <c r="F591">
        <v>2023</v>
      </c>
      <c r="G591" t="s">
        <v>28</v>
      </c>
      <c r="H591" t="s">
        <v>29</v>
      </c>
      <c r="I591" t="s">
        <v>43</v>
      </c>
      <c r="J591" t="s">
        <v>31</v>
      </c>
      <c r="K591" t="s">
        <v>32</v>
      </c>
      <c r="L591" t="s">
        <v>63</v>
      </c>
      <c r="M591" s="9">
        <v>45100</v>
      </c>
      <c r="N591" t="s">
        <v>1504</v>
      </c>
      <c r="O591" s="9">
        <v>45099</v>
      </c>
      <c r="P591" s="9">
        <v>45104</v>
      </c>
      <c r="Q591" t="s">
        <v>35</v>
      </c>
      <c r="R591" t="s">
        <v>236</v>
      </c>
      <c r="S591">
        <v>358114</v>
      </c>
      <c r="T591" t="s">
        <v>70</v>
      </c>
      <c r="U591" t="s">
        <v>71</v>
      </c>
      <c r="V591" t="s">
        <v>1505</v>
      </c>
      <c r="W591">
        <v>10</v>
      </c>
      <c r="X591">
        <v>0</v>
      </c>
      <c r="Y591">
        <v>253.42</v>
      </c>
    </row>
    <row r="592" spans="1:25" x14ac:dyDescent="0.3">
      <c r="A592" t="s">
        <v>1503</v>
      </c>
      <c r="B592" t="s">
        <v>544</v>
      </c>
      <c r="C592" t="s">
        <v>184</v>
      </c>
      <c r="D592" s="9">
        <v>28563</v>
      </c>
      <c r="E592">
        <v>132.99</v>
      </c>
      <c r="F592">
        <v>2023</v>
      </c>
      <c r="G592" t="s">
        <v>28</v>
      </c>
      <c r="H592" t="s">
        <v>29</v>
      </c>
      <c r="I592" t="s">
        <v>92</v>
      </c>
      <c r="J592" t="s">
        <v>31</v>
      </c>
      <c r="K592" t="s">
        <v>32</v>
      </c>
      <c r="L592" t="s">
        <v>63</v>
      </c>
      <c r="M592" s="9">
        <v>45111</v>
      </c>
      <c r="N592" t="s">
        <v>1506</v>
      </c>
      <c r="O592" s="9">
        <v>45111</v>
      </c>
      <c r="P592" s="9">
        <v>45114</v>
      </c>
      <c r="Q592" t="s">
        <v>121</v>
      </c>
      <c r="R592" t="s">
        <v>236</v>
      </c>
      <c r="S592">
        <v>130277</v>
      </c>
      <c r="T592" t="s">
        <v>187</v>
      </c>
      <c r="U592" t="s">
        <v>188</v>
      </c>
      <c r="V592" t="s">
        <v>1507</v>
      </c>
      <c r="W592">
        <v>1</v>
      </c>
      <c r="X592">
        <v>0.15</v>
      </c>
      <c r="Y592">
        <v>11.52</v>
      </c>
    </row>
    <row r="593" spans="1:25" x14ac:dyDescent="0.3">
      <c r="A593" t="s">
        <v>1503</v>
      </c>
      <c r="B593" t="s">
        <v>544</v>
      </c>
      <c r="C593" t="s">
        <v>184</v>
      </c>
      <c r="D593" s="9">
        <v>28563</v>
      </c>
      <c r="E593">
        <v>1903.6</v>
      </c>
      <c r="F593">
        <v>2024</v>
      </c>
      <c r="G593" t="s">
        <v>48</v>
      </c>
      <c r="H593" t="s">
        <v>29</v>
      </c>
      <c r="I593" t="s">
        <v>78</v>
      </c>
      <c r="J593" t="s">
        <v>31</v>
      </c>
      <c r="K593" t="s">
        <v>32</v>
      </c>
      <c r="L593" t="s">
        <v>63</v>
      </c>
      <c r="M593" s="9">
        <v>45448</v>
      </c>
      <c r="N593" t="s">
        <v>1508</v>
      </c>
      <c r="O593" s="9">
        <v>45447</v>
      </c>
      <c r="P593" s="9">
        <v>45448</v>
      </c>
      <c r="Q593" t="s">
        <v>41</v>
      </c>
      <c r="R593" t="s">
        <v>236</v>
      </c>
      <c r="S593">
        <v>440698</v>
      </c>
      <c r="T593" t="s">
        <v>80</v>
      </c>
      <c r="U593" t="s">
        <v>81</v>
      </c>
      <c r="V593" t="s">
        <v>1509</v>
      </c>
      <c r="W593">
        <v>8</v>
      </c>
      <c r="X593">
        <v>0</v>
      </c>
      <c r="Y593">
        <v>434.52</v>
      </c>
    </row>
    <row r="594" spans="1:25" x14ac:dyDescent="0.3">
      <c r="A594" t="s">
        <v>1503</v>
      </c>
      <c r="B594" t="s">
        <v>544</v>
      </c>
      <c r="C594" t="s">
        <v>184</v>
      </c>
      <c r="D594" s="9">
        <v>28563</v>
      </c>
      <c r="E594">
        <v>656.56</v>
      </c>
      <c r="F594">
        <v>2025</v>
      </c>
      <c r="G594" t="s">
        <v>48</v>
      </c>
      <c r="H594" t="s">
        <v>29</v>
      </c>
      <c r="I594" t="s">
        <v>49</v>
      </c>
      <c r="J594" t="s">
        <v>31</v>
      </c>
      <c r="K594" t="s">
        <v>32</v>
      </c>
      <c r="L594" t="s">
        <v>63</v>
      </c>
      <c r="M594" s="9">
        <v>45696</v>
      </c>
      <c r="N594" t="s">
        <v>1510</v>
      </c>
      <c r="O594" s="9">
        <v>45694</v>
      </c>
      <c r="P594" s="9">
        <v>45697</v>
      </c>
      <c r="Q594" t="s">
        <v>35</v>
      </c>
      <c r="R594" t="s">
        <v>236</v>
      </c>
      <c r="S594">
        <v>673734</v>
      </c>
      <c r="T594" t="s">
        <v>51</v>
      </c>
      <c r="U594" t="s">
        <v>52</v>
      </c>
      <c r="V594" t="s">
        <v>1511</v>
      </c>
      <c r="W594">
        <v>10</v>
      </c>
      <c r="X594">
        <v>0.2</v>
      </c>
      <c r="Y594">
        <v>42.42</v>
      </c>
    </row>
    <row r="595" spans="1:25" x14ac:dyDescent="0.3">
      <c r="A595" t="s">
        <v>1503</v>
      </c>
      <c r="B595" t="s">
        <v>544</v>
      </c>
      <c r="C595" t="s">
        <v>184</v>
      </c>
      <c r="D595" s="9">
        <v>28563</v>
      </c>
      <c r="E595">
        <v>997.36</v>
      </c>
      <c r="F595">
        <v>2025</v>
      </c>
      <c r="G595" t="s">
        <v>48</v>
      </c>
      <c r="H595" t="s">
        <v>29</v>
      </c>
      <c r="I595" t="s">
        <v>30</v>
      </c>
      <c r="J595" t="s">
        <v>31</v>
      </c>
      <c r="K595" t="s">
        <v>32</v>
      </c>
      <c r="L595" t="s">
        <v>63</v>
      </c>
      <c r="M595" s="9">
        <v>45769</v>
      </c>
      <c r="N595" t="s">
        <v>1512</v>
      </c>
      <c r="O595" s="9">
        <v>45769</v>
      </c>
      <c r="P595" s="9">
        <v>45773</v>
      </c>
      <c r="Q595" t="s">
        <v>121</v>
      </c>
      <c r="R595" t="s">
        <v>236</v>
      </c>
      <c r="S595">
        <v>270855</v>
      </c>
      <c r="T595" t="s">
        <v>37</v>
      </c>
      <c r="U595" t="s">
        <v>38</v>
      </c>
      <c r="V595" t="s">
        <v>1513</v>
      </c>
      <c r="W595">
        <v>7</v>
      </c>
      <c r="X595">
        <v>0</v>
      </c>
      <c r="Y595">
        <v>338.62</v>
      </c>
    </row>
    <row r="596" spans="1:25" x14ac:dyDescent="0.3">
      <c r="A596" t="s">
        <v>1503</v>
      </c>
      <c r="B596" t="s">
        <v>544</v>
      </c>
      <c r="C596" t="s">
        <v>184</v>
      </c>
      <c r="D596" s="9">
        <v>28563</v>
      </c>
      <c r="E596">
        <v>221.99</v>
      </c>
      <c r="F596">
        <v>2025</v>
      </c>
      <c r="G596" t="s">
        <v>28</v>
      </c>
      <c r="H596" t="s">
        <v>29</v>
      </c>
      <c r="I596" t="s">
        <v>92</v>
      </c>
      <c r="J596" t="s">
        <v>31</v>
      </c>
      <c r="K596" t="s">
        <v>32</v>
      </c>
      <c r="L596" t="s">
        <v>63</v>
      </c>
      <c r="M596" s="9">
        <v>45782</v>
      </c>
      <c r="N596" t="s">
        <v>1514</v>
      </c>
      <c r="O596" s="9">
        <v>45781</v>
      </c>
      <c r="P596" s="9">
        <v>45784</v>
      </c>
      <c r="Q596" t="s">
        <v>35</v>
      </c>
      <c r="R596" t="s">
        <v>236</v>
      </c>
      <c r="S596">
        <v>972470</v>
      </c>
      <c r="T596" t="s">
        <v>127</v>
      </c>
      <c r="U596" t="s">
        <v>128</v>
      </c>
      <c r="V596" t="s">
        <v>1515</v>
      </c>
      <c r="W596">
        <v>3</v>
      </c>
      <c r="X596">
        <v>0.05</v>
      </c>
      <c r="Y596">
        <v>64.45</v>
      </c>
    </row>
    <row r="597" spans="1:25" x14ac:dyDescent="0.3">
      <c r="A597" t="s">
        <v>1516</v>
      </c>
      <c r="B597" t="s">
        <v>467</v>
      </c>
      <c r="C597" t="s">
        <v>690</v>
      </c>
      <c r="D597" s="9">
        <v>34621</v>
      </c>
      <c r="E597">
        <v>3081.6</v>
      </c>
      <c r="F597">
        <v>2023</v>
      </c>
      <c r="G597" t="s">
        <v>28</v>
      </c>
      <c r="H597" t="s">
        <v>29</v>
      </c>
      <c r="I597" t="s">
        <v>92</v>
      </c>
      <c r="J597" t="s">
        <v>227</v>
      </c>
      <c r="K597" t="s">
        <v>32</v>
      </c>
      <c r="L597" t="s">
        <v>144</v>
      </c>
      <c r="M597" s="9">
        <v>45132</v>
      </c>
      <c r="N597" t="s">
        <v>1517</v>
      </c>
      <c r="O597" s="9">
        <v>45131</v>
      </c>
      <c r="P597" s="9">
        <v>45134</v>
      </c>
      <c r="Q597" t="s">
        <v>41</v>
      </c>
      <c r="R597" t="s">
        <v>229</v>
      </c>
      <c r="S597">
        <v>197462</v>
      </c>
      <c r="T597" t="s">
        <v>127</v>
      </c>
      <c r="U597" t="s">
        <v>128</v>
      </c>
      <c r="V597" t="s">
        <v>1518</v>
      </c>
      <c r="W597">
        <v>10</v>
      </c>
      <c r="X597">
        <v>0</v>
      </c>
      <c r="Y597">
        <v>853.44</v>
      </c>
    </row>
    <row r="598" spans="1:25" x14ac:dyDescent="0.3">
      <c r="A598" t="s">
        <v>1516</v>
      </c>
      <c r="B598" t="s">
        <v>467</v>
      </c>
      <c r="C598" t="s">
        <v>690</v>
      </c>
      <c r="D598" s="9">
        <v>34621</v>
      </c>
      <c r="E598">
        <v>1124.8900000000001</v>
      </c>
      <c r="F598">
        <v>2024</v>
      </c>
      <c r="G598" t="s">
        <v>87</v>
      </c>
      <c r="H598" t="s">
        <v>29</v>
      </c>
      <c r="I598" t="s">
        <v>78</v>
      </c>
      <c r="J598" t="s">
        <v>227</v>
      </c>
      <c r="K598" t="s">
        <v>32</v>
      </c>
      <c r="L598" t="s">
        <v>144</v>
      </c>
      <c r="M598" s="9">
        <v>45387</v>
      </c>
      <c r="N598" t="s">
        <v>1519</v>
      </c>
      <c r="O598" s="9">
        <v>45383</v>
      </c>
      <c r="P598" s="9">
        <v>45387</v>
      </c>
      <c r="Q598" t="s">
        <v>35</v>
      </c>
      <c r="R598" t="s">
        <v>229</v>
      </c>
      <c r="S598">
        <v>404824</v>
      </c>
      <c r="T598" t="s">
        <v>117</v>
      </c>
      <c r="U598" t="s">
        <v>118</v>
      </c>
      <c r="V598" t="s">
        <v>1520</v>
      </c>
      <c r="W598">
        <v>4</v>
      </c>
      <c r="X598">
        <v>0.15</v>
      </c>
      <c r="Y598">
        <v>108.58</v>
      </c>
    </row>
    <row r="599" spans="1:25" x14ac:dyDescent="0.3">
      <c r="A599" t="s">
        <v>1516</v>
      </c>
      <c r="B599" t="s">
        <v>467</v>
      </c>
      <c r="C599" t="s">
        <v>690</v>
      </c>
      <c r="D599" s="9">
        <v>34621</v>
      </c>
      <c r="E599">
        <v>1313.52</v>
      </c>
      <c r="F599">
        <v>2024</v>
      </c>
      <c r="G599" t="s">
        <v>87</v>
      </c>
      <c r="H599" t="s">
        <v>29</v>
      </c>
      <c r="I599" t="s">
        <v>92</v>
      </c>
      <c r="J599" t="s">
        <v>227</v>
      </c>
      <c r="K599" t="s">
        <v>32</v>
      </c>
      <c r="L599" t="s">
        <v>144</v>
      </c>
      <c r="M599" s="9">
        <v>45429</v>
      </c>
      <c r="N599" t="s">
        <v>1521</v>
      </c>
      <c r="O599" s="9">
        <v>45428</v>
      </c>
      <c r="P599" s="9">
        <v>45431</v>
      </c>
      <c r="Q599" t="s">
        <v>41</v>
      </c>
      <c r="R599" t="s">
        <v>229</v>
      </c>
      <c r="S599">
        <v>409834</v>
      </c>
      <c r="T599" t="s">
        <v>127</v>
      </c>
      <c r="U599" t="s">
        <v>128</v>
      </c>
      <c r="V599" t="s">
        <v>1522</v>
      </c>
      <c r="W599">
        <v>8</v>
      </c>
      <c r="X599">
        <v>0</v>
      </c>
      <c r="Y599">
        <v>335.33</v>
      </c>
    </row>
    <row r="600" spans="1:25" x14ac:dyDescent="0.3">
      <c r="A600" t="s">
        <v>1523</v>
      </c>
      <c r="B600" t="s">
        <v>1157</v>
      </c>
      <c r="C600" t="s">
        <v>364</v>
      </c>
      <c r="D600" s="9">
        <v>29375</v>
      </c>
      <c r="E600">
        <v>413.17</v>
      </c>
      <c r="F600">
        <v>2023</v>
      </c>
      <c r="G600" t="s">
        <v>28</v>
      </c>
      <c r="H600" t="s">
        <v>29</v>
      </c>
      <c r="I600" t="s">
        <v>78</v>
      </c>
      <c r="J600" t="s">
        <v>143</v>
      </c>
      <c r="K600" t="s">
        <v>32</v>
      </c>
      <c r="L600" t="s">
        <v>144</v>
      </c>
      <c r="M600" s="9">
        <v>44975</v>
      </c>
      <c r="N600" t="s">
        <v>1524</v>
      </c>
      <c r="O600" s="9">
        <v>44973</v>
      </c>
      <c r="P600" s="9">
        <v>44976</v>
      </c>
      <c r="Q600" t="s">
        <v>35</v>
      </c>
      <c r="R600" t="s">
        <v>146</v>
      </c>
      <c r="S600">
        <v>905984</v>
      </c>
      <c r="T600" t="s">
        <v>80</v>
      </c>
      <c r="U600" t="s">
        <v>81</v>
      </c>
      <c r="V600" t="s">
        <v>1525</v>
      </c>
      <c r="W600">
        <v>2</v>
      </c>
      <c r="X600">
        <v>0.15</v>
      </c>
      <c r="Y600">
        <v>91.12</v>
      </c>
    </row>
    <row r="601" spans="1:25" x14ac:dyDescent="0.3">
      <c r="A601" t="s">
        <v>1523</v>
      </c>
      <c r="B601" t="s">
        <v>1157</v>
      </c>
      <c r="C601" t="s">
        <v>364</v>
      </c>
      <c r="D601" s="9">
        <v>29375</v>
      </c>
      <c r="E601">
        <v>849.52</v>
      </c>
      <c r="F601">
        <v>2023</v>
      </c>
      <c r="G601" t="s">
        <v>28</v>
      </c>
      <c r="H601" t="s">
        <v>29</v>
      </c>
      <c r="I601" t="s">
        <v>30</v>
      </c>
      <c r="J601" t="s">
        <v>143</v>
      </c>
      <c r="K601" t="s">
        <v>32</v>
      </c>
      <c r="L601" t="s">
        <v>144</v>
      </c>
      <c r="M601" s="9">
        <v>45005</v>
      </c>
      <c r="N601" t="s">
        <v>1526</v>
      </c>
      <c r="O601" s="9">
        <v>45005</v>
      </c>
      <c r="P601" s="9">
        <v>45006</v>
      </c>
      <c r="Q601" t="s">
        <v>74</v>
      </c>
      <c r="R601" t="s">
        <v>146</v>
      </c>
      <c r="S601">
        <v>429196</v>
      </c>
      <c r="T601" t="s">
        <v>75</v>
      </c>
      <c r="U601" t="s">
        <v>76</v>
      </c>
      <c r="V601" t="s">
        <v>1527</v>
      </c>
      <c r="W601">
        <v>8</v>
      </c>
      <c r="X601">
        <v>0</v>
      </c>
      <c r="Y601">
        <v>257.3</v>
      </c>
    </row>
    <row r="602" spans="1:25" x14ac:dyDescent="0.3">
      <c r="A602" t="s">
        <v>1523</v>
      </c>
      <c r="B602" t="s">
        <v>1157</v>
      </c>
      <c r="C602" t="s">
        <v>364</v>
      </c>
      <c r="D602" s="9">
        <v>29375</v>
      </c>
      <c r="E602">
        <v>2555.44</v>
      </c>
      <c r="F602">
        <v>2024</v>
      </c>
      <c r="G602" t="s">
        <v>48</v>
      </c>
      <c r="H602" t="s">
        <v>29</v>
      </c>
      <c r="I602" t="s">
        <v>30</v>
      </c>
      <c r="J602" t="s">
        <v>143</v>
      </c>
      <c r="K602" t="s">
        <v>32</v>
      </c>
      <c r="L602" t="s">
        <v>144</v>
      </c>
      <c r="M602" s="9">
        <v>45452</v>
      </c>
      <c r="N602" t="s">
        <v>1528</v>
      </c>
      <c r="O602" s="9">
        <v>45452</v>
      </c>
      <c r="P602" s="9">
        <v>45454</v>
      </c>
      <c r="Q602" t="s">
        <v>35</v>
      </c>
      <c r="R602" t="s">
        <v>146</v>
      </c>
      <c r="S602">
        <v>883317</v>
      </c>
      <c r="T602" t="s">
        <v>55</v>
      </c>
      <c r="U602" t="s">
        <v>56</v>
      </c>
      <c r="V602" t="s">
        <v>1529</v>
      </c>
      <c r="W602">
        <v>8</v>
      </c>
      <c r="X602">
        <v>0</v>
      </c>
      <c r="Y602">
        <v>389.45</v>
      </c>
    </row>
    <row r="603" spans="1:25" x14ac:dyDescent="0.3">
      <c r="A603" t="s">
        <v>1523</v>
      </c>
      <c r="B603" t="s">
        <v>1157</v>
      </c>
      <c r="C603" t="s">
        <v>364</v>
      </c>
      <c r="D603" s="9">
        <v>29375</v>
      </c>
      <c r="E603">
        <v>456.44</v>
      </c>
      <c r="F603">
        <v>2024</v>
      </c>
      <c r="G603" t="s">
        <v>48</v>
      </c>
      <c r="H603" t="s">
        <v>29</v>
      </c>
      <c r="I603" t="s">
        <v>30</v>
      </c>
      <c r="J603" t="s">
        <v>143</v>
      </c>
      <c r="K603" t="s">
        <v>32</v>
      </c>
      <c r="L603" t="s">
        <v>144</v>
      </c>
      <c r="M603" s="9">
        <v>45491</v>
      </c>
      <c r="N603" t="s">
        <v>1530</v>
      </c>
      <c r="O603" s="9">
        <v>45491</v>
      </c>
      <c r="P603" s="9">
        <v>45492</v>
      </c>
      <c r="Q603" t="s">
        <v>41</v>
      </c>
      <c r="R603" t="s">
        <v>146</v>
      </c>
      <c r="S603">
        <v>582515</v>
      </c>
      <c r="T603" t="s">
        <v>37</v>
      </c>
      <c r="U603" t="s">
        <v>38</v>
      </c>
      <c r="V603" t="s">
        <v>1531</v>
      </c>
      <c r="W603">
        <v>2</v>
      </c>
      <c r="X603">
        <v>0</v>
      </c>
      <c r="Y603">
        <v>23.62</v>
      </c>
    </row>
    <row r="604" spans="1:25" x14ac:dyDescent="0.3">
      <c r="A604" t="s">
        <v>1532</v>
      </c>
      <c r="B604" t="s">
        <v>684</v>
      </c>
      <c r="C604" t="s">
        <v>618</v>
      </c>
      <c r="D604" s="9">
        <v>28181</v>
      </c>
      <c r="E604">
        <v>1641.77</v>
      </c>
      <c r="F604">
        <v>2024</v>
      </c>
      <c r="G604" t="s">
        <v>48</v>
      </c>
      <c r="H604" t="s">
        <v>163</v>
      </c>
      <c r="I604" t="s">
        <v>92</v>
      </c>
      <c r="J604" t="s">
        <v>143</v>
      </c>
      <c r="K604" t="s">
        <v>32</v>
      </c>
      <c r="L604" t="s">
        <v>33</v>
      </c>
      <c r="M604" s="9">
        <v>45545</v>
      </c>
      <c r="N604" t="s">
        <v>1533</v>
      </c>
      <c r="O604" s="9">
        <v>45543</v>
      </c>
      <c r="P604" s="9">
        <v>45547</v>
      </c>
      <c r="Q604" t="s">
        <v>121</v>
      </c>
      <c r="R604" t="s">
        <v>421</v>
      </c>
      <c r="S604">
        <v>241677</v>
      </c>
      <c r="T604" t="s">
        <v>94</v>
      </c>
      <c r="U604" t="s">
        <v>95</v>
      </c>
      <c r="V604" t="s">
        <v>1534</v>
      </c>
      <c r="W604">
        <v>10</v>
      </c>
      <c r="X604">
        <v>0.15</v>
      </c>
      <c r="Y604">
        <v>556.47</v>
      </c>
    </row>
    <row r="605" spans="1:25" x14ac:dyDescent="0.3">
      <c r="A605" t="s">
        <v>1532</v>
      </c>
      <c r="B605" t="s">
        <v>684</v>
      </c>
      <c r="C605" t="s">
        <v>618</v>
      </c>
      <c r="D605" s="9">
        <v>28181</v>
      </c>
      <c r="E605">
        <v>354.1</v>
      </c>
      <c r="F605">
        <v>2024</v>
      </c>
      <c r="G605" t="s">
        <v>87</v>
      </c>
      <c r="H605" t="s">
        <v>163</v>
      </c>
      <c r="I605" t="s">
        <v>78</v>
      </c>
      <c r="J605" t="s">
        <v>143</v>
      </c>
      <c r="K605" t="s">
        <v>32</v>
      </c>
      <c r="L605" t="s">
        <v>33</v>
      </c>
      <c r="M605" s="9">
        <v>45601</v>
      </c>
      <c r="N605" t="s">
        <v>1535</v>
      </c>
      <c r="O605" s="9">
        <v>45600</v>
      </c>
      <c r="P605" s="9">
        <v>45602</v>
      </c>
      <c r="Q605" t="s">
        <v>121</v>
      </c>
      <c r="R605" t="s">
        <v>421</v>
      </c>
      <c r="S605">
        <v>781301</v>
      </c>
      <c r="T605" t="s">
        <v>89</v>
      </c>
      <c r="U605" t="s">
        <v>90</v>
      </c>
      <c r="V605" t="s">
        <v>1536</v>
      </c>
      <c r="W605">
        <v>1</v>
      </c>
      <c r="X605">
        <v>0</v>
      </c>
      <c r="Y605">
        <v>108.96</v>
      </c>
    </row>
    <row r="606" spans="1:25" x14ac:dyDescent="0.3">
      <c r="A606" t="s">
        <v>1532</v>
      </c>
      <c r="B606" t="s">
        <v>684</v>
      </c>
      <c r="C606" t="s">
        <v>618</v>
      </c>
      <c r="D606" s="9">
        <v>28181</v>
      </c>
      <c r="E606">
        <v>1004.76</v>
      </c>
      <c r="F606">
        <v>2025</v>
      </c>
      <c r="G606" t="s">
        <v>28</v>
      </c>
      <c r="H606" t="s">
        <v>163</v>
      </c>
      <c r="I606" t="s">
        <v>61</v>
      </c>
      <c r="J606" t="s">
        <v>143</v>
      </c>
      <c r="K606" t="s">
        <v>32</v>
      </c>
      <c r="L606" t="s">
        <v>33</v>
      </c>
      <c r="M606" s="9">
        <v>45671</v>
      </c>
      <c r="N606" t="s">
        <v>1537</v>
      </c>
      <c r="O606" s="9">
        <v>45670</v>
      </c>
      <c r="P606" s="9">
        <v>45672</v>
      </c>
      <c r="Q606" t="s">
        <v>35</v>
      </c>
      <c r="R606" t="s">
        <v>421</v>
      </c>
      <c r="S606">
        <v>222115</v>
      </c>
      <c r="T606" t="s">
        <v>113</v>
      </c>
      <c r="U606" t="s">
        <v>114</v>
      </c>
      <c r="V606" t="s">
        <v>1538</v>
      </c>
      <c r="W606">
        <v>9</v>
      </c>
      <c r="X606">
        <v>0</v>
      </c>
      <c r="Y606">
        <v>282.25</v>
      </c>
    </row>
    <row r="607" spans="1:25" x14ac:dyDescent="0.3">
      <c r="A607" t="s">
        <v>1532</v>
      </c>
      <c r="B607" t="s">
        <v>684</v>
      </c>
      <c r="C607" t="s">
        <v>618</v>
      </c>
      <c r="D607" s="9">
        <v>28181</v>
      </c>
      <c r="E607">
        <v>3668.22</v>
      </c>
      <c r="F607">
        <v>2025</v>
      </c>
      <c r="G607" t="s">
        <v>48</v>
      </c>
      <c r="H607" t="s">
        <v>163</v>
      </c>
      <c r="I607" t="s">
        <v>61</v>
      </c>
      <c r="J607" t="s">
        <v>143</v>
      </c>
      <c r="K607" t="s">
        <v>32</v>
      </c>
      <c r="L607" t="s">
        <v>33</v>
      </c>
      <c r="M607" s="9">
        <v>45693</v>
      </c>
      <c r="N607" t="s">
        <v>1539</v>
      </c>
      <c r="O607" s="9">
        <v>45689</v>
      </c>
      <c r="P607" s="9">
        <v>45693</v>
      </c>
      <c r="Q607" t="s">
        <v>121</v>
      </c>
      <c r="R607" t="s">
        <v>421</v>
      </c>
      <c r="S607">
        <v>409153</v>
      </c>
      <c r="T607" t="s">
        <v>66</v>
      </c>
      <c r="U607" t="s">
        <v>67</v>
      </c>
      <c r="V607" t="s">
        <v>1540</v>
      </c>
      <c r="W607">
        <v>8</v>
      </c>
      <c r="X607">
        <v>0.05</v>
      </c>
      <c r="Y607">
        <v>205.01</v>
      </c>
    </row>
    <row r="608" spans="1:25" x14ac:dyDescent="0.3">
      <c r="A608" t="s">
        <v>1532</v>
      </c>
      <c r="B608" t="s">
        <v>684</v>
      </c>
      <c r="C608" t="s">
        <v>618</v>
      </c>
      <c r="D608" s="9">
        <v>28181</v>
      </c>
      <c r="E608">
        <v>121.28</v>
      </c>
      <c r="F608">
        <v>2025</v>
      </c>
      <c r="G608" t="s">
        <v>28</v>
      </c>
      <c r="H608" t="s">
        <v>163</v>
      </c>
      <c r="I608" t="s">
        <v>30</v>
      </c>
      <c r="J608" t="s">
        <v>143</v>
      </c>
      <c r="K608" t="s">
        <v>32</v>
      </c>
      <c r="L608" t="s">
        <v>33</v>
      </c>
      <c r="M608" s="9">
        <v>45819</v>
      </c>
      <c r="N608" t="s">
        <v>1541</v>
      </c>
      <c r="O608" s="9">
        <v>45816</v>
      </c>
      <c r="P608" s="9">
        <v>45820</v>
      </c>
      <c r="Q608" t="s">
        <v>74</v>
      </c>
      <c r="R608" t="s">
        <v>421</v>
      </c>
      <c r="S608">
        <v>138815</v>
      </c>
      <c r="T608" t="s">
        <v>37</v>
      </c>
      <c r="U608" t="s">
        <v>38</v>
      </c>
      <c r="V608" t="s">
        <v>1542</v>
      </c>
      <c r="W608">
        <v>6</v>
      </c>
      <c r="X608">
        <v>0.15</v>
      </c>
      <c r="Y608">
        <v>36.9</v>
      </c>
    </row>
    <row r="609" spans="1:25" x14ac:dyDescent="0.3">
      <c r="A609" t="s">
        <v>1543</v>
      </c>
      <c r="B609" t="s">
        <v>210</v>
      </c>
      <c r="C609" t="s">
        <v>60</v>
      </c>
      <c r="D609" s="9">
        <v>26898</v>
      </c>
      <c r="E609">
        <v>1050.48</v>
      </c>
      <c r="F609">
        <v>2024</v>
      </c>
      <c r="G609" t="s">
        <v>28</v>
      </c>
      <c r="H609" t="s">
        <v>29</v>
      </c>
      <c r="I609" t="s">
        <v>30</v>
      </c>
      <c r="J609" t="s">
        <v>143</v>
      </c>
      <c r="K609" t="s">
        <v>32</v>
      </c>
      <c r="L609" t="s">
        <v>63</v>
      </c>
      <c r="M609" s="9">
        <v>45428</v>
      </c>
      <c r="N609" t="s">
        <v>1544</v>
      </c>
      <c r="O609" s="9">
        <v>45424</v>
      </c>
      <c r="P609" s="9">
        <v>45428</v>
      </c>
      <c r="Q609" t="s">
        <v>35</v>
      </c>
      <c r="R609" t="s">
        <v>309</v>
      </c>
      <c r="S609">
        <v>380859</v>
      </c>
      <c r="T609" t="s">
        <v>55</v>
      </c>
      <c r="U609" t="s">
        <v>56</v>
      </c>
      <c r="V609" t="s">
        <v>1545</v>
      </c>
      <c r="W609">
        <v>8</v>
      </c>
      <c r="X609">
        <v>0</v>
      </c>
      <c r="Y609">
        <v>219.02</v>
      </c>
    </row>
    <row r="610" spans="1:25" x14ac:dyDescent="0.3">
      <c r="A610" t="s">
        <v>1543</v>
      </c>
      <c r="B610" t="s">
        <v>210</v>
      </c>
      <c r="C610" t="s">
        <v>60</v>
      </c>
      <c r="D610" s="9">
        <v>26898</v>
      </c>
      <c r="E610">
        <v>437.75</v>
      </c>
      <c r="F610">
        <v>2024</v>
      </c>
      <c r="G610" t="s">
        <v>48</v>
      </c>
      <c r="H610" t="s">
        <v>29</v>
      </c>
      <c r="I610" t="s">
        <v>49</v>
      </c>
      <c r="J610" t="s">
        <v>143</v>
      </c>
      <c r="K610" t="s">
        <v>32</v>
      </c>
      <c r="L610" t="s">
        <v>63</v>
      </c>
      <c r="M610" s="9">
        <v>45452</v>
      </c>
      <c r="N610" t="s">
        <v>1546</v>
      </c>
      <c r="O610" s="9">
        <v>45452</v>
      </c>
      <c r="P610" s="9">
        <v>45456</v>
      </c>
      <c r="Q610" t="s">
        <v>74</v>
      </c>
      <c r="R610" t="s">
        <v>309</v>
      </c>
      <c r="S610">
        <v>861485</v>
      </c>
      <c r="T610" t="s">
        <v>84</v>
      </c>
      <c r="U610" t="s">
        <v>85</v>
      </c>
      <c r="V610" t="s">
        <v>1547</v>
      </c>
      <c r="W610">
        <v>2</v>
      </c>
      <c r="X610">
        <v>0.15</v>
      </c>
      <c r="Y610">
        <v>67.430000000000007</v>
      </c>
    </row>
    <row r="611" spans="1:25" x14ac:dyDescent="0.3">
      <c r="A611" t="s">
        <v>1543</v>
      </c>
      <c r="B611" t="s">
        <v>210</v>
      </c>
      <c r="C611" t="s">
        <v>60</v>
      </c>
      <c r="D611" s="9">
        <v>26898</v>
      </c>
      <c r="E611">
        <v>1051.28</v>
      </c>
      <c r="F611">
        <v>2024</v>
      </c>
      <c r="G611" t="s">
        <v>48</v>
      </c>
      <c r="H611" t="s">
        <v>29</v>
      </c>
      <c r="I611" t="s">
        <v>61</v>
      </c>
      <c r="J611" t="s">
        <v>143</v>
      </c>
      <c r="K611" t="s">
        <v>32</v>
      </c>
      <c r="L611" t="s">
        <v>63</v>
      </c>
      <c r="M611" s="9">
        <v>45535</v>
      </c>
      <c r="N611" t="s">
        <v>1548</v>
      </c>
      <c r="O611" s="9">
        <v>45532</v>
      </c>
      <c r="P611" s="9">
        <v>45535</v>
      </c>
      <c r="Q611" t="s">
        <v>74</v>
      </c>
      <c r="R611" t="s">
        <v>309</v>
      </c>
      <c r="S611">
        <v>858115</v>
      </c>
      <c r="T611" t="s">
        <v>113</v>
      </c>
      <c r="U611" t="s">
        <v>114</v>
      </c>
      <c r="V611" t="s">
        <v>1549</v>
      </c>
      <c r="W611">
        <v>8</v>
      </c>
      <c r="X611">
        <v>0</v>
      </c>
      <c r="Y611">
        <v>237.9</v>
      </c>
    </row>
    <row r="612" spans="1:25" x14ac:dyDescent="0.3">
      <c r="A612" t="s">
        <v>1543</v>
      </c>
      <c r="B612" t="s">
        <v>210</v>
      </c>
      <c r="C612" t="s">
        <v>60</v>
      </c>
      <c r="D612" s="9">
        <v>26898</v>
      </c>
      <c r="E612">
        <v>1929.94</v>
      </c>
      <c r="F612">
        <v>2025</v>
      </c>
      <c r="G612" t="s">
        <v>48</v>
      </c>
      <c r="H612" t="s">
        <v>29</v>
      </c>
      <c r="I612" t="s">
        <v>49</v>
      </c>
      <c r="J612" t="s">
        <v>143</v>
      </c>
      <c r="K612" t="s">
        <v>32</v>
      </c>
      <c r="L612" t="s">
        <v>63</v>
      </c>
      <c r="M612" s="9">
        <v>45671</v>
      </c>
      <c r="N612" t="s">
        <v>1550</v>
      </c>
      <c r="O612" s="9">
        <v>45669</v>
      </c>
      <c r="P612" s="9">
        <v>45671</v>
      </c>
      <c r="Q612" t="s">
        <v>74</v>
      </c>
      <c r="R612" t="s">
        <v>309</v>
      </c>
      <c r="S612">
        <v>824248</v>
      </c>
      <c r="T612" t="s">
        <v>84</v>
      </c>
      <c r="U612" t="s">
        <v>85</v>
      </c>
      <c r="V612" t="s">
        <v>1551</v>
      </c>
      <c r="W612">
        <v>6</v>
      </c>
      <c r="X612">
        <v>0.2</v>
      </c>
      <c r="Y612">
        <v>658.65</v>
      </c>
    </row>
    <row r="613" spans="1:25" x14ac:dyDescent="0.3">
      <c r="A613" t="s">
        <v>1552</v>
      </c>
      <c r="B613" t="s">
        <v>1553</v>
      </c>
      <c r="C613" t="s">
        <v>437</v>
      </c>
      <c r="D613" s="9">
        <v>35050</v>
      </c>
      <c r="E613">
        <v>3143.26</v>
      </c>
      <c r="F613">
        <v>2023</v>
      </c>
      <c r="G613" t="s">
        <v>48</v>
      </c>
      <c r="H613" t="s">
        <v>163</v>
      </c>
      <c r="I613" t="s">
        <v>61</v>
      </c>
      <c r="J613" t="s">
        <v>31</v>
      </c>
      <c r="K613" t="s">
        <v>32</v>
      </c>
      <c r="L613" t="s">
        <v>33</v>
      </c>
      <c r="M613" s="9">
        <v>45061</v>
      </c>
      <c r="N613" t="s">
        <v>1554</v>
      </c>
      <c r="O613" s="9">
        <v>45059</v>
      </c>
      <c r="P613" s="9">
        <v>45061</v>
      </c>
      <c r="Q613" t="s">
        <v>35</v>
      </c>
      <c r="R613" t="s">
        <v>261</v>
      </c>
      <c r="S613">
        <v>476215</v>
      </c>
      <c r="T613" t="s">
        <v>113</v>
      </c>
      <c r="U613" t="s">
        <v>114</v>
      </c>
      <c r="V613" t="s">
        <v>1555</v>
      </c>
      <c r="W613">
        <v>7</v>
      </c>
      <c r="X613">
        <v>0.05</v>
      </c>
      <c r="Y613">
        <v>443.5</v>
      </c>
    </row>
    <row r="614" spans="1:25" x14ac:dyDescent="0.3">
      <c r="A614" t="s">
        <v>1552</v>
      </c>
      <c r="B614" t="s">
        <v>1553</v>
      </c>
      <c r="C614" t="s">
        <v>437</v>
      </c>
      <c r="D614" s="9">
        <v>35050</v>
      </c>
      <c r="E614">
        <v>249.26</v>
      </c>
      <c r="F614">
        <v>2023</v>
      </c>
      <c r="G614" t="s">
        <v>28</v>
      </c>
      <c r="H614" t="s">
        <v>163</v>
      </c>
      <c r="I614" t="s">
        <v>43</v>
      </c>
      <c r="J614" t="s">
        <v>31</v>
      </c>
      <c r="K614" t="s">
        <v>32</v>
      </c>
      <c r="L614" t="s">
        <v>33</v>
      </c>
      <c r="M614" s="9">
        <v>45104</v>
      </c>
      <c r="N614" t="s">
        <v>1556</v>
      </c>
      <c r="O614" s="9">
        <v>45104</v>
      </c>
      <c r="P614" s="9">
        <v>45105</v>
      </c>
      <c r="Q614" t="s">
        <v>41</v>
      </c>
      <c r="R614" t="s">
        <v>261</v>
      </c>
      <c r="S614">
        <v>219505</v>
      </c>
      <c r="T614" t="s">
        <v>153</v>
      </c>
      <c r="U614" t="s">
        <v>154</v>
      </c>
      <c r="V614" t="s">
        <v>1557</v>
      </c>
      <c r="W614">
        <v>3</v>
      </c>
      <c r="X614">
        <v>0.2</v>
      </c>
      <c r="Y614">
        <v>79.349999999999994</v>
      </c>
    </row>
    <row r="615" spans="1:25" x14ac:dyDescent="0.3">
      <c r="A615" t="s">
        <v>1552</v>
      </c>
      <c r="B615" t="s">
        <v>1553</v>
      </c>
      <c r="C615" t="s">
        <v>437</v>
      </c>
      <c r="D615" s="9">
        <v>35050</v>
      </c>
      <c r="E615">
        <v>1148.1300000000001</v>
      </c>
      <c r="F615">
        <v>2023</v>
      </c>
      <c r="G615" t="s">
        <v>87</v>
      </c>
      <c r="H615" t="s">
        <v>163</v>
      </c>
      <c r="I615" t="s">
        <v>30</v>
      </c>
      <c r="J615" t="s">
        <v>31</v>
      </c>
      <c r="K615" t="s">
        <v>32</v>
      </c>
      <c r="L615" t="s">
        <v>33</v>
      </c>
      <c r="M615" s="9">
        <v>45131</v>
      </c>
      <c r="N615" t="s">
        <v>1558</v>
      </c>
      <c r="O615" s="9">
        <v>45131</v>
      </c>
      <c r="P615" s="9">
        <v>45134</v>
      </c>
      <c r="Q615" t="s">
        <v>74</v>
      </c>
      <c r="R615" t="s">
        <v>261</v>
      </c>
      <c r="S615">
        <v>258522</v>
      </c>
      <c r="T615" t="s">
        <v>75</v>
      </c>
      <c r="U615" t="s">
        <v>76</v>
      </c>
      <c r="V615" t="s">
        <v>1559</v>
      </c>
      <c r="W615">
        <v>9</v>
      </c>
      <c r="X615">
        <v>0</v>
      </c>
      <c r="Y615">
        <v>399.66</v>
      </c>
    </row>
    <row r="616" spans="1:25" x14ac:dyDescent="0.3">
      <c r="A616" t="s">
        <v>1552</v>
      </c>
      <c r="B616" t="s">
        <v>1553</v>
      </c>
      <c r="C616" t="s">
        <v>437</v>
      </c>
      <c r="D616" s="9">
        <v>35050</v>
      </c>
      <c r="E616">
        <v>682.23</v>
      </c>
      <c r="F616">
        <v>2024</v>
      </c>
      <c r="G616" t="s">
        <v>87</v>
      </c>
      <c r="H616" t="s">
        <v>163</v>
      </c>
      <c r="I616" t="s">
        <v>49</v>
      </c>
      <c r="J616" t="s">
        <v>31</v>
      </c>
      <c r="K616" t="s">
        <v>32</v>
      </c>
      <c r="L616" t="s">
        <v>33</v>
      </c>
      <c r="M616" s="9">
        <v>45421</v>
      </c>
      <c r="N616" t="s">
        <v>1560</v>
      </c>
      <c r="O616" s="9">
        <v>45421</v>
      </c>
      <c r="P616" s="9">
        <v>45422</v>
      </c>
      <c r="Q616" t="s">
        <v>35</v>
      </c>
      <c r="R616" t="s">
        <v>261</v>
      </c>
      <c r="S616">
        <v>963617</v>
      </c>
      <c r="T616" t="s">
        <v>51</v>
      </c>
      <c r="U616" t="s">
        <v>52</v>
      </c>
      <c r="V616" t="s">
        <v>1561</v>
      </c>
      <c r="W616">
        <v>2</v>
      </c>
      <c r="X616">
        <v>0.05</v>
      </c>
      <c r="Y616">
        <v>197.64</v>
      </c>
    </row>
    <row r="617" spans="1:25" x14ac:dyDescent="0.3">
      <c r="A617" t="s">
        <v>1552</v>
      </c>
      <c r="B617" t="s">
        <v>1553</v>
      </c>
      <c r="C617" t="s">
        <v>437</v>
      </c>
      <c r="D617" s="9">
        <v>35050</v>
      </c>
      <c r="E617">
        <v>200.36</v>
      </c>
      <c r="F617">
        <v>2024</v>
      </c>
      <c r="G617" t="s">
        <v>87</v>
      </c>
      <c r="H617" t="s">
        <v>163</v>
      </c>
      <c r="I617" t="s">
        <v>30</v>
      </c>
      <c r="J617" t="s">
        <v>31</v>
      </c>
      <c r="K617" t="s">
        <v>32</v>
      </c>
      <c r="L617" t="s">
        <v>33</v>
      </c>
      <c r="M617" s="9">
        <v>45611</v>
      </c>
      <c r="N617" t="s">
        <v>1562</v>
      </c>
      <c r="O617" s="9">
        <v>45610</v>
      </c>
      <c r="P617" s="9">
        <v>45613</v>
      </c>
      <c r="Q617" t="s">
        <v>74</v>
      </c>
      <c r="R617" t="s">
        <v>261</v>
      </c>
      <c r="S617">
        <v>842563</v>
      </c>
      <c r="T617" t="s">
        <v>75</v>
      </c>
      <c r="U617" t="s">
        <v>76</v>
      </c>
      <c r="V617" t="s">
        <v>1563</v>
      </c>
      <c r="W617">
        <v>2</v>
      </c>
      <c r="X617">
        <v>0</v>
      </c>
      <c r="Y617">
        <v>62.36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17"/>
  <sheetViews>
    <sheetView zoomScale="90" zoomScaleNormal="100" workbookViewId="0">
      <pane ySplit="1" topLeftCell="A2" activePane="bottomLeft" state="frozen"/>
      <selection pane="bottomLeft" activeCell="H16" sqref="H16"/>
    </sheetView>
  </sheetViews>
  <sheetFormatPr defaultColWidth="8.6640625" defaultRowHeight="14.4" x14ac:dyDescent="0.3"/>
  <cols>
    <col min="1" max="1" width="15.88671875" customWidth="1"/>
    <col min="2" max="2" width="18.88671875" customWidth="1"/>
    <col min="3" max="3" width="15.5546875" customWidth="1"/>
    <col min="4" max="4" width="19.33203125" customWidth="1"/>
    <col min="5" max="6" width="12" customWidth="1"/>
    <col min="7" max="7" width="16.88671875" customWidth="1"/>
    <col min="8" max="8" width="17.33203125" customWidth="1"/>
    <col min="9" max="9" width="19.44140625" customWidth="1"/>
    <col min="10" max="12" width="12" customWidth="1"/>
    <col min="13" max="13" width="12.109375" customWidth="1"/>
    <col min="14" max="14" width="12" customWidth="1"/>
    <col min="15" max="15" width="16.88671875" customWidth="1"/>
    <col min="16" max="16" width="15.5546875" customWidth="1"/>
    <col min="17" max="17" width="15" customWidth="1"/>
    <col min="18" max="18" width="12" customWidth="1"/>
    <col min="19" max="19" width="16.6640625" customWidth="1"/>
    <col min="20" max="20" width="15.5546875" customWidth="1"/>
    <col min="21" max="21" width="18.88671875" customWidth="1"/>
    <col min="22" max="22" width="19.44140625" customWidth="1"/>
    <col min="23" max="23" width="15.6640625" customWidth="1"/>
    <col min="24" max="24" width="15.44140625" customWidth="1"/>
    <col min="25" max="25" width="16.88671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26</v>
      </c>
      <c r="C2" s="2" t="s">
        <v>27</v>
      </c>
      <c r="D2" s="8">
        <v>24152</v>
      </c>
      <c r="E2" s="3">
        <v>648.79999999999995</v>
      </c>
      <c r="F2" s="2">
        <v>2023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8">
        <v>45210</v>
      </c>
      <c r="N2" s="2" t="s">
        <v>34</v>
      </c>
      <c r="O2" s="8">
        <v>45210</v>
      </c>
      <c r="P2" s="8">
        <v>45211</v>
      </c>
      <c r="Q2" s="2" t="s">
        <v>35</v>
      </c>
      <c r="R2" s="2" t="s">
        <v>36</v>
      </c>
      <c r="S2" s="2">
        <v>157174</v>
      </c>
      <c r="T2" s="2" t="s">
        <v>37</v>
      </c>
      <c r="U2" s="2" t="s">
        <v>38</v>
      </c>
      <c r="V2" s="2" t="s">
        <v>39</v>
      </c>
      <c r="W2" s="2">
        <v>4</v>
      </c>
      <c r="X2" s="4">
        <v>0</v>
      </c>
      <c r="Y2" s="3">
        <v>67.37</v>
      </c>
    </row>
    <row r="3" spans="1:25" x14ac:dyDescent="0.3">
      <c r="A3" s="2" t="s">
        <v>25</v>
      </c>
      <c r="B3" s="2" t="s">
        <v>26</v>
      </c>
      <c r="C3" s="2" t="s">
        <v>27</v>
      </c>
      <c r="D3" s="8">
        <v>24152</v>
      </c>
      <c r="E3" s="3">
        <v>782.83</v>
      </c>
      <c r="F3" s="2">
        <v>2024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8">
        <v>45465</v>
      </c>
      <c r="N3" s="2" t="s">
        <v>40</v>
      </c>
      <c r="O3" s="8">
        <v>45464</v>
      </c>
      <c r="P3" s="8">
        <v>45465</v>
      </c>
      <c r="Q3" s="2" t="s">
        <v>41</v>
      </c>
      <c r="R3" s="2" t="s">
        <v>36</v>
      </c>
      <c r="S3" s="2">
        <v>561865</v>
      </c>
      <c r="T3" s="2" t="s">
        <v>37</v>
      </c>
      <c r="U3" s="2" t="s">
        <v>38</v>
      </c>
      <c r="V3" s="2" t="s">
        <v>42</v>
      </c>
      <c r="W3" s="2">
        <v>3</v>
      </c>
      <c r="X3" s="4">
        <v>0.2</v>
      </c>
      <c r="Y3" s="3">
        <v>154.41999999999999</v>
      </c>
    </row>
    <row r="4" spans="1:25" x14ac:dyDescent="0.3">
      <c r="A4" s="2" t="s">
        <v>25</v>
      </c>
      <c r="B4" s="2" t="s">
        <v>26</v>
      </c>
      <c r="C4" s="2" t="s">
        <v>27</v>
      </c>
      <c r="D4" s="8">
        <v>24152</v>
      </c>
      <c r="E4" s="3">
        <v>2240.62</v>
      </c>
      <c r="F4" s="2">
        <v>2024</v>
      </c>
      <c r="G4" s="2" t="s">
        <v>28</v>
      </c>
      <c r="H4" s="2" t="s">
        <v>29</v>
      </c>
      <c r="I4" s="2" t="s">
        <v>43</v>
      </c>
      <c r="J4" s="2" t="s">
        <v>31</v>
      </c>
      <c r="K4" s="2" t="s">
        <v>32</v>
      </c>
      <c r="L4" s="2" t="s">
        <v>33</v>
      </c>
      <c r="M4" s="8">
        <v>45531</v>
      </c>
      <c r="N4" s="2" t="s">
        <v>44</v>
      </c>
      <c r="O4" s="8">
        <v>45530</v>
      </c>
      <c r="P4" s="8">
        <v>45531</v>
      </c>
      <c r="Q4" s="2" t="s">
        <v>35</v>
      </c>
      <c r="R4" s="2" t="s">
        <v>36</v>
      </c>
      <c r="S4" s="2">
        <v>705050</v>
      </c>
      <c r="T4" s="2" t="s">
        <v>45</v>
      </c>
      <c r="U4" s="2" t="s">
        <v>46</v>
      </c>
      <c r="V4" s="2" t="s">
        <v>47</v>
      </c>
      <c r="W4" s="2">
        <v>5</v>
      </c>
      <c r="X4" s="4">
        <v>0.05</v>
      </c>
      <c r="Y4" s="3">
        <v>188.72</v>
      </c>
    </row>
    <row r="5" spans="1:25" x14ac:dyDescent="0.3">
      <c r="A5" s="2" t="s">
        <v>25</v>
      </c>
      <c r="B5" s="2" t="s">
        <v>26</v>
      </c>
      <c r="C5" s="2" t="s">
        <v>27</v>
      </c>
      <c r="D5" s="8">
        <v>24152</v>
      </c>
      <c r="E5" s="3">
        <v>247.35</v>
      </c>
      <c r="F5" s="2">
        <v>2025</v>
      </c>
      <c r="G5" s="2" t="s">
        <v>48</v>
      </c>
      <c r="H5" s="2" t="s">
        <v>29</v>
      </c>
      <c r="I5" s="2" t="s">
        <v>49</v>
      </c>
      <c r="J5" s="2" t="s">
        <v>31</v>
      </c>
      <c r="K5" s="2" t="s">
        <v>32</v>
      </c>
      <c r="L5" s="2" t="s">
        <v>33</v>
      </c>
      <c r="M5" s="8">
        <v>45668</v>
      </c>
      <c r="N5" s="2" t="s">
        <v>50</v>
      </c>
      <c r="O5" s="8">
        <v>45668</v>
      </c>
      <c r="P5" s="8">
        <v>45669</v>
      </c>
      <c r="Q5" s="2" t="s">
        <v>41</v>
      </c>
      <c r="R5" s="2" t="s">
        <v>36</v>
      </c>
      <c r="S5" s="2">
        <v>735770</v>
      </c>
      <c r="T5" s="2" t="s">
        <v>51</v>
      </c>
      <c r="U5" s="2" t="s">
        <v>52</v>
      </c>
      <c r="V5" s="2" t="s">
        <v>53</v>
      </c>
      <c r="W5" s="2">
        <v>3</v>
      </c>
      <c r="X5" s="4">
        <v>0.1</v>
      </c>
      <c r="Y5" s="3">
        <v>82.8</v>
      </c>
    </row>
    <row r="6" spans="1:25" x14ac:dyDescent="0.3">
      <c r="A6" s="2" t="s">
        <v>25</v>
      </c>
      <c r="B6" s="2" t="s">
        <v>26</v>
      </c>
      <c r="C6" s="2" t="s">
        <v>27</v>
      </c>
      <c r="D6" s="8">
        <v>24152</v>
      </c>
      <c r="E6" s="3">
        <v>1732.06</v>
      </c>
      <c r="F6" s="2">
        <v>2025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  <c r="M6" s="8">
        <v>45708</v>
      </c>
      <c r="N6" s="2" t="s">
        <v>54</v>
      </c>
      <c r="O6" s="8">
        <v>45705</v>
      </c>
      <c r="P6" s="8">
        <v>45710</v>
      </c>
      <c r="Q6" s="2" t="s">
        <v>35</v>
      </c>
      <c r="R6" s="2" t="s">
        <v>36</v>
      </c>
      <c r="S6" s="2">
        <v>739244</v>
      </c>
      <c r="T6" s="2" t="s">
        <v>55</v>
      </c>
      <c r="U6" s="2" t="s">
        <v>56</v>
      </c>
      <c r="V6" s="2" t="s">
        <v>57</v>
      </c>
      <c r="W6" s="2">
        <v>9</v>
      </c>
      <c r="X6" s="4">
        <v>0.05</v>
      </c>
      <c r="Y6" s="3">
        <v>241.11</v>
      </c>
    </row>
    <row r="7" spans="1:25" x14ac:dyDescent="0.3">
      <c r="A7" s="2" t="s">
        <v>58</v>
      </c>
      <c r="B7" s="2" t="s">
        <v>59</v>
      </c>
      <c r="C7" s="2" t="s">
        <v>60</v>
      </c>
      <c r="D7" s="8">
        <v>25422</v>
      </c>
      <c r="E7" s="3">
        <v>504.27</v>
      </c>
      <c r="F7" s="2">
        <v>2023</v>
      </c>
      <c r="G7" s="2" t="s">
        <v>28</v>
      </c>
      <c r="H7" s="2" t="s">
        <v>29</v>
      </c>
      <c r="I7" s="2" t="s">
        <v>61</v>
      </c>
      <c r="J7" s="2" t="s">
        <v>62</v>
      </c>
      <c r="K7" s="2" t="s">
        <v>32</v>
      </c>
      <c r="L7" s="2" t="s">
        <v>63</v>
      </c>
      <c r="M7" s="8">
        <v>45013</v>
      </c>
      <c r="N7" s="2" t="s">
        <v>64</v>
      </c>
      <c r="O7" s="8">
        <v>45010</v>
      </c>
      <c r="P7" s="8">
        <v>45015</v>
      </c>
      <c r="Q7" s="2" t="s">
        <v>35</v>
      </c>
      <c r="R7" s="2" t="s">
        <v>65</v>
      </c>
      <c r="S7" s="2">
        <v>342720</v>
      </c>
      <c r="T7" s="2" t="s">
        <v>66</v>
      </c>
      <c r="U7" s="2" t="s">
        <v>67</v>
      </c>
      <c r="V7" s="2" t="s">
        <v>68</v>
      </c>
      <c r="W7" s="2">
        <v>9</v>
      </c>
      <c r="X7" s="4">
        <v>0</v>
      </c>
      <c r="Y7" s="3">
        <v>87.01</v>
      </c>
    </row>
    <row r="8" spans="1:25" x14ac:dyDescent="0.3">
      <c r="A8" s="2" t="s">
        <v>58</v>
      </c>
      <c r="B8" s="2" t="s">
        <v>59</v>
      </c>
      <c r="C8" s="2" t="s">
        <v>60</v>
      </c>
      <c r="D8" s="8">
        <v>25422</v>
      </c>
      <c r="E8" s="3">
        <v>433.36</v>
      </c>
      <c r="F8" s="2">
        <v>2023</v>
      </c>
      <c r="G8" s="2" t="s">
        <v>48</v>
      </c>
      <c r="H8" s="2" t="s">
        <v>29</v>
      </c>
      <c r="I8" s="2" t="s">
        <v>43</v>
      </c>
      <c r="J8" s="2" t="s">
        <v>62</v>
      </c>
      <c r="K8" s="2" t="s">
        <v>32</v>
      </c>
      <c r="L8" s="2" t="s">
        <v>63</v>
      </c>
      <c r="M8" s="8">
        <v>45033</v>
      </c>
      <c r="N8" s="2" t="s">
        <v>69</v>
      </c>
      <c r="O8" s="8">
        <v>45028</v>
      </c>
      <c r="P8" s="8">
        <v>45033</v>
      </c>
      <c r="Q8" s="2" t="s">
        <v>41</v>
      </c>
      <c r="R8" s="2" t="s">
        <v>65</v>
      </c>
      <c r="S8" s="2">
        <v>220351</v>
      </c>
      <c r="T8" s="2" t="s">
        <v>70</v>
      </c>
      <c r="U8" s="2" t="s">
        <v>71</v>
      </c>
      <c r="V8" s="2" t="s">
        <v>72</v>
      </c>
      <c r="W8" s="2">
        <v>8</v>
      </c>
      <c r="X8" s="4">
        <v>0</v>
      </c>
      <c r="Y8" s="3">
        <v>141.78</v>
      </c>
    </row>
    <row r="9" spans="1:25" x14ac:dyDescent="0.3">
      <c r="A9" s="2" t="s">
        <v>58</v>
      </c>
      <c r="B9" s="2" t="s">
        <v>59</v>
      </c>
      <c r="C9" s="2" t="s">
        <v>60</v>
      </c>
      <c r="D9" s="8">
        <v>25422</v>
      </c>
      <c r="E9" s="3">
        <v>1094.5</v>
      </c>
      <c r="F9" s="2">
        <v>2023</v>
      </c>
      <c r="G9" s="2" t="s">
        <v>28</v>
      </c>
      <c r="H9" s="2" t="s">
        <v>29</v>
      </c>
      <c r="I9" s="2" t="s">
        <v>30</v>
      </c>
      <c r="J9" s="2" t="s">
        <v>62</v>
      </c>
      <c r="K9" s="2" t="s">
        <v>32</v>
      </c>
      <c r="L9" s="2" t="s">
        <v>63</v>
      </c>
      <c r="M9" s="8">
        <v>45139</v>
      </c>
      <c r="N9" s="2" t="s">
        <v>73</v>
      </c>
      <c r="O9" s="8">
        <v>45139</v>
      </c>
      <c r="P9" s="8">
        <v>45140</v>
      </c>
      <c r="Q9" s="2" t="s">
        <v>74</v>
      </c>
      <c r="R9" s="2" t="s">
        <v>65</v>
      </c>
      <c r="S9" s="2">
        <v>560485</v>
      </c>
      <c r="T9" s="2" t="s">
        <v>75</v>
      </c>
      <c r="U9" s="2" t="s">
        <v>76</v>
      </c>
      <c r="V9" s="2" t="s">
        <v>77</v>
      </c>
      <c r="W9" s="2">
        <v>3</v>
      </c>
      <c r="X9" s="4">
        <v>0.2</v>
      </c>
      <c r="Y9" s="3">
        <v>101.43</v>
      </c>
    </row>
    <row r="10" spans="1:25" x14ac:dyDescent="0.3">
      <c r="A10" s="2" t="s">
        <v>58</v>
      </c>
      <c r="B10" s="2" t="s">
        <v>59</v>
      </c>
      <c r="C10" s="2" t="s">
        <v>60</v>
      </c>
      <c r="D10" s="8">
        <v>25422</v>
      </c>
      <c r="E10" s="3">
        <v>1779.35</v>
      </c>
      <c r="F10" s="2">
        <v>2023</v>
      </c>
      <c r="G10" s="2" t="s">
        <v>48</v>
      </c>
      <c r="H10" s="2" t="s">
        <v>29</v>
      </c>
      <c r="I10" s="2" t="s">
        <v>78</v>
      </c>
      <c r="J10" s="2" t="s">
        <v>62</v>
      </c>
      <c r="K10" s="2" t="s">
        <v>32</v>
      </c>
      <c r="L10" s="2" t="s">
        <v>63</v>
      </c>
      <c r="M10" s="8">
        <v>45146</v>
      </c>
      <c r="N10" s="2" t="s">
        <v>79</v>
      </c>
      <c r="O10" s="8">
        <v>45143</v>
      </c>
      <c r="P10" s="8">
        <v>45147</v>
      </c>
      <c r="Q10" s="2" t="s">
        <v>35</v>
      </c>
      <c r="R10" s="2" t="s">
        <v>65</v>
      </c>
      <c r="S10" s="2">
        <v>553014</v>
      </c>
      <c r="T10" s="2" t="s">
        <v>80</v>
      </c>
      <c r="U10" s="2" t="s">
        <v>81</v>
      </c>
      <c r="V10" s="2" t="s">
        <v>82</v>
      </c>
      <c r="W10" s="2">
        <v>5</v>
      </c>
      <c r="X10" s="4">
        <v>0</v>
      </c>
      <c r="Y10" s="3">
        <v>356.12</v>
      </c>
    </row>
    <row r="11" spans="1:25" x14ac:dyDescent="0.3">
      <c r="A11" s="2" t="s">
        <v>58</v>
      </c>
      <c r="B11" s="2" t="s">
        <v>59</v>
      </c>
      <c r="C11" s="2" t="s">
        <v>60</v>
      </c>
      <c r="D11" s="8">
        <v>25422</v>
      </c>
      <c r="E11" s="3">
        <v>162.1</v>
      </c>
      <c r="F11" s="2">
        <v>2023</v>
      </c>
      <c r="G11" s="2" t="s">
        <v>48</v>
      </c>
      <c r="H11" s="2" t="s">
        <v>29</v>
      </c>
      <c r="I11" s="2" t="s">
        <v>49</v>
      </c>
      <c r="J11" s="2" t="s">
        <v>62</v>
      </c>
      <c r="K11" s="2" t="s">
        <v>32</v>
      </c>
      <c r="L11" s="2" t="s">
        <v>63</v>
      </c>
      <c r="M11" s="8">
        <v>45201</v>
      </c>
      <c r="N11" s="2" t="s">
        <v>83</v>
      </c>
      <c r="O11" s="8">
        <v>45197</v>
      </c>
      <c r="P11" s="8">
        <v>45202</v>
      </c>
      <c r="Q11" s="2" t="s">
        <v>74</v>
      </c>
      <c r="R11" s="2" t="s">
        <v>65</v>
      </c>
      <c r="S11" s="2">
        <v>704238</v>
      </c>
      <c r="T11" s="2" t="s">
        <v>84</v>
      </c>
      <c r="U11" s="2" t="s">
        <v>85</v>
      </c>
      <c r="V11" s="2" t="s">
        <v>86</v>
      </c>
      <c r="W11" s="2">
        <v>5</v>
      </c>
      <c r="X11" s="4">
        <v>0</v>
      </c>
      <c r="Y11" s="3">
        <v>54.88</v>
      </c>
    </row>
    <row r="12" spans="1:25" x14ac:dyDescent="0.3">
      <c r="A12" s="2" t="s">
        <v>58</v>
      </c>
      <c r="B12" s="2" t="s">
        <v>59</v>
      </c>
      <c r="C12" s="2" t="s">
        <v>60</v>
      </c>
      <c r="D12" s="8">
        <v>25422</v>
      </c>
      <c r="E12" s="3">
        <v>2994.48</v>
      </c>
      <c r="F12" s="2">
        <v>2024</v>
      </c>
      <c r="G12" s="2" t="s">
        <v>87</v>
      </c>
      <c r="H12" s="2" t="s">
        <v>29</v>
      </c>
      <c r="I12" s="2" t="s">
        <v>78</v>
      </c>
      <c r="J12" s="2" t="s">
        <v>62</v>
      </c>
      <c r="K12" s="2" t="s">
        <v>32</v>
      </c>
      <c r="L12" s="2" t="s">
        <v>63</v>
      </c>
      <c r="M12" s="8">
        <v>45570</v>
      </c>
      <c r="N12" s="2" t="s">
        <v>88</v>
      </c>
      <c r="O12" s="8">
        <v>45567</v>
      </c>
      <c r="P12" s="8">
        <v>45572</v>
      </c>
      <c r="Q12" s="2" t="s">
        <v>41</v>
      </c>
      <c r="R12" s="2" t="s">
        <v>65</v>
      </c>
      <c r="S12" s="2">
        <v>195674</v>
      </c>
      <c r="T12" s="2" t="s">
        <v>89</v>
      </c>
      <c r="U12" s="2" t="s">
        <v>90</v>
      </c>
      <c r="V12" s="2" t="s">
        <v>91</v>
      </c>
      <c r="W12" s="2">
        <v>9</v>
      </c>
      <c r="X12" s="4">
        <v>0</v>
      </c>
      <c r="Y12" s="3">
        <v>312.76</v>
      </c>
    </row>
    <row r="13" spans="1:25" x14ac:dyDescent="0.3">
      <c r="A13" s="2" t="s">
        <v>58</v>
      </c>
      <c r="B13" s="2" t="s">
        <v>59</v>
      </c>
      <c r="C13" s="2" t="s">
        <v>60</v>
      </c>
      <c r="D13" s="8">
        <v>25422</v>
      </c>
      <c r="E13" s="3">
        <v>1044.6600000000001</v>
      </c>
      <c r="F13" s="2">
        <v>2024</v>
      </c>
      <c r="G13" s="2" t="s">
        <v>87</v>
      </c>
      <c r="H13" s="2" t="s">
        <v>29</v>
      </c>
      <c r="I13" s="2" t="s">
        <v>92</v>
      </c>
      <c r="J13" s="2" t="s">
        <v>62</v>
      </c>
      <c r="K13" s="2" t="s">
        <v>32</v>
      </c>
      <c r="L13" s="2" t="s">
        <v>63</v>
      </c>
      <c r="M13" s="8">
        <v>45606</v>
      </c>
      <c r="N13" s="2" t="s">
        <v>93</v>
      </c>
      <c r="O13" s="8">
        <v>45603</v>
      </c>
      <c r="P13" s="8">
        <v>45606</v>
      </c>
      <c r="Q13" s="2" t="s">
        <v>41</v>
      </c>
      <c r="R13" s="2" t="s">
        <v>65</v>
      </c>
      <c r="S13" s="2">
        <v>402218</v>
      </c>
      <c r="T13" s="2" t="s">
        <v>94</v>
      </c>
      <c r="U13" s="2" t="s">
        <v>95</v>
      </c>
      <c r="V13" s="2" t="s">
        <v>96</v>
      </c>
      <c r="W13" s="2">
        <v>6</v>
      </c>
      <c r="X13" s="4">
        <v>0</v>
      </c>
      <c r="Y13" s="3">
        <v>321.04000000000002</v>
      </c>
    </row>
    <row r="14" spans="1:25" x14ac:dyDescent="0.3">
      <c r="A14" s="2" t="s">
        <v>58</v>
      </c>
      <c r="B14" s="2" t="s">
        <v>59</v>
      </c>
      <c r="C14" s="2" t="s">
        <v>60</v>
      </c>
      <c r="D14" s="8">
        <v>25422</v>
      </c>
      <c r="E14" s="3">
        <v>338.49</v>
      </c>
      <c r="F14" s="2">
        <v>2025</v>
      </c>
      <c r="G14" s="2" t="s">
        <v>28</v>
      </c>
      <c r="H14" s="2" t="s">
        <v>29</v>
      </c>
      <c r="I14" s="2" t="s">
        <v>49</v>
      </c>
      <c r="J14" s="2" t="s">
        <v>62</v>
      </c>
      <c r="K14" s="2" t="s">
        <v>32</v>
      </c>
      <c r="L14" s="2" t="s">
        <v>63</v>
      </c>
      <c r="M14" s="8">
        <v>45708</v>
      </c>
      <c r="N14" s="2" t="s">
        <v>97</v>
      </c>
      <c r="O14" s="8">
        <v>45708</v>
      </c>
      <c r="P14" s="8">
        <v>45711</v>
      </c>
      <c r="Q14" s="2" t="s">
        <v>35</v>
      </c>
      <c r="R14" s="2" t="s">
        <v>65</v>
      </c>
      <c r="S14" s="2">
        <v>789606</v>
      </c>
      <c r="T14" s="2" t="s">
        <v>84</v>
      </c>
      <c r="U14" s="2" t="s">
        <v>85</v>
      </c>
      <c r="V14" s="2" t="s">
        <v>98</v>
      </c>
      <c r="W14" s="2">
        <v>9</v>
      </c>
      <c r="X14" s="4">
        <v>0</v>
      </c>
      <c r="Y14" s="3">
        <v>48.86</v>
      </c>
    </row>
    <row r="15" spans="1:25" x14ac:dyDescent="0.3">
      <c r="A15" s="2" t="s">
        <v>99</v>
      </c>
      <c r="B15" s="2" t="s">
        <v>100</v>
      </c>
      <c r="C15" s="2" t="s">
        <v>101</v>
      </c>
      <c r="D15" s="8">
        <v>24231</v>
      </c>
      <c r="E15" s="3">
        <v>3078.4</v>
      </c>
      <c r="F15" s="2">
        <v>2023</v>
      </c>
      <c r="G15" s="2" t="s">
        <v>28</v>
      </c>
      <c r="H15" s="2" t="s">
        <v>29</v>
      </c>
      <c r="I15" s="2" t="s">
        <v>30</v>
      </c>
      <c r="J15" s="2" t="s">
        <v>102</v>
      </c>
      <c r="K15" s="2" t="s">
        <v>32</v>
      </c>
      <c r="L15" s="2" t="s">
        <v>33</v>
      </c>
      <c r="M15" s="8">
        <v>44983</v>
      </c>
      <c r="N15" s="2" t="s">
        <v>103</v>
      </c>
      <c r="O15" s="8">
        <v>44982</v>
      </c>
      <c r="P15" s="8">
        <v>44984</v>
      </c>
      <c r="Q15" s="2" t="s">
        <v>41</v>
      </c>
      <c r="R15" s="2" t="s">
        <v>104</v>
      </c>
      <c r="S15" s="2">
        <v>227324</v>
      </c>
      <c r="T15" s="2" t="s">
        <v>37</v>
      </c>
      <c r="U15" s="2" t="s">
        <v>38</v>
      </c>
      <c r="V15" s="2" t="s">
        <v>105</v>
      </c>
      <c r="W15" s="2">
        <v>8</v>
      </c>
      <c r="X15" s="4">
        <v>0</v>
      </c>
      <c r="Y15" s="3">
        <v>400.55</v>
      </c>
    </row>
    <row r="16" spans="1:25" x14ac:dyDescent="0.3">
      <c r="A16" s="2" t="s">
        <v>99</v>
      </c>
      <c r="B16" s="2" t="s">
        <v>100</v>
      </c>
      <c r="C16" s="2" t="s">
        <v>101</v>
      </c>
      <c r="D16" s="8">
        <v>24231</v>
      </c>
      <c r="E16" s="3">
        <v>507.48</v>
      </c>
      <c r="F16" s="2">
        <v>2023</v>
      </c>
      <c r="G16" s="2" t="s">
        <v>48</v>
      </c>
      <c r="H16" s="2" t="s">
        <v>29</v>
      </c>
      <c r="I16" s="2" t="s">
        <v>78</v>
      </c>
      <c r="J16" s="2" t="s">
        <v>102</v>
      </c>
      <c r="K16" s="2" t="s">
        <v>32</v>
      </c>
      <c r="L16" s="2" t="s">
        <v>33</v>
      </c>
      <c r="M16" s="8">
        <v>45119</v>
      </c>
      <c r="N16" s="2" t="s">
        <v>106</v>
      </c>
      <c r="O16" s="8">
        <v>45119</v>
      </c>
      <c r="P16" s="8">
        <v>45120</v>
      </c>
      <c r="Q16" s="2" t="s">
        <v>41</v>
      </c>
      <c r="R16" s="2" t="s">
        <v>104</v>
      </c>
      <c r="S16" s="2">
        <v>223172</v>
      </c>
      <c r="T16" s="2" t="s">
        <v>89</v>
      </c>
      <c r="U16" s="2" t="s">
        <v>90</v>
      </c>
      <c r="V16" s="2" t="s">
        <v>107</v>
      </c>
      <c r="W16" s="2">
        <v>3</v>
      </c>
      <c r="X16" s="4">
        <v>0</v>
      </c>
      <c r="Y16" s="3">
        <v>109.45</v>
      </c>
    </row>
    <row r="17" spans="1:25" x14ac:dyDescent="0.3">
      <c r="A17" s="2" t="s">
        <v>99</v>
      </c>
      <c r="B17" s="2" t="s">
        <v>100</v>
      </c>
      <c r="C17" s="2" t="s">
        <v>101</v>
      </c>
      <c r="D17" s="8">
        <v>24231</v>
      </c>
      <c r="E17" s="3">
        <v>1321.3</v>
      </c>
      <c r="F17" s="2">
        <v>2024</v>
      </c>
      <c r="G17" s="2" t="s">
        <v>48</v>
      </c>
      <c r="H17" s="2" t="s">
        <v>29</v>
      </c>
      <c r="I17" s="2" t="s">
        <v>49</v>
      </c>
      <c r="J17" s="2" t="s">
        <v>102</v>
      </c>
      <c r="K17" s="2" t="s">
        <v>32</v>
      </c>
      <c r="L17" s="2" t="s">
        <v>33</v>
      </c>
      <c r="M17" s="8">
        <v>45300</v>
      </c>
      <c r="N17" s="2" t="s">
        <v>108</v>
      </c>
      <c r="O17" s="8">
        <v>45297</v>
      </c>
      <c r="P17" s="8">
        <v>45301</v>
      </c>
      <c r="Q17" s="2" t="s">
        <v>41</v>
      </c>
      <c r="R17" s="2" t="s">
        <v>104</v>
      </c>
      <c r="S17" s="2">
        <v>678043</v>
      </c>
      <c r="T17" s="2" t="s">
        <v>109</v>
      </c>
      <c r="U17" s="2" t="s">
        <v>110</v>
      </c>
      <c r="V17" s="2" t="s">
        <v>111</v>
      </c>
      <c r="W17" s="2">
        <v>5</v>
      </c>
      <c r="X17" s="4">
        <v>0</v>
      </c>
      <c r="Y17" s="3">
        <v>230.76</v>
      </c>
    </row>
    <row r="18" spans="1:25" x14ac:dyDescent="0.3">
      <c r="A18" s="2" t="s">
        <v>99</v>
      </c>
      <c r="B18" s="2" t="s">
        <v>100</v>
      </c>
      <c r="C18" s="2" t="s">
        <v>101</v>
      </c>
      <c r="D18" s="8">
        <v>24231</v>
      </c>
      <c r="E18" s="3">
        <v>2639.6</v>
      </c>
      <c r="F18" s="2">
        <v>2024</v>
      </c>
      <c r="G18" s="2" t="s">
        <v>28</v>
      </c>
      <c r="H18" s="2" t="s">
        <v>29</v>
      </c>
      <c r="I18" s="2" t="s">
        <v>61</v>
      </c>
      <c r="J18" s="2" t="s">
        <v>102</v>
      </c>
      <c r="K18" s="2" t="s">
        <v>32</v>
      </c>
      <c r="L18" s="2" t="s">
        <v>33</v>
      </c>
      <c r="M18" s="8">
        <v>45353</v>
      </c>
      <c r="N18" s="2" t="s">
        <v>112</v>
      </c>
      <c r="O18" s="8">
        <v>45350</v>
      </c>
      <c r="P18" s="8">
        <v>45353</v>
      </c>
      <c r="Q18" s="2" t="s">
        <v>74</v>
      </c>
      <c r="R18" s="2" t="s">
        <v>104</v>
      </c>
      <c r="S18" s="2">
        <v>960408</v>
      </c>
      <c r="T18" s="2" t="s">
        <v>113</v>
      </c>
      <c r="U18" s="2" t="s">
        <v>114</v>
      </c>
      <c r="V18" s="2" t="s">
        <v>115</v>
      </c>
      <c r="W18" s="2">
        <v>10</v>
      </c>
      <c r="X18" s="4">
        <v>0</v>
      </c>
      <c r="Y18" s="3">
        <v>816.19</v>
      </c>
    </row>
    <row r="19" spans="1:25" x14ac:dyDescent="0.3">
      <c r="A19" s="2" t="s">
        <v>99</v>
      </c>
      <c r="B19" s="2" t="s">
        <v>100</v>
      </c>
      <c r="C19" s="2" t="s">
        <v>101</v>
      </c>
      <c r="D19" s="8">
        <v>24231</v>
      </c>
      <c r="E19" s="3">
        <v>1898.95</v>
      </c>
      <c r="F19" s="2">
        <v>2024</v>
      </c>
      <c r="G19" s="2" t="s">
        <v>28</v>
      </c>
      <c r="H19" s="2" t="s">
        <v>29</v>
      </c>
      <c r="I19" s="2" t="s">
        <v>78</v>
      </c>
      <c r="J19" s="2" t="s">
        <v>102</v>
      </c>
      <c r="K19" s="2" t="s">
        <v>32</v>
      </c>
      <c r="L19" s="2" t="s">
        <v>33</v>
      </c>
      <c r="M19" s="8">
        <v>45401</v>
      </c>
      <c r="N19" s="2" t="s">
        <v>116</v>
      </c>
      <c r="O19" s="8">
        <v>45400</v>
      </c>
      <c r="P19" s="8">
        <v>45404</v>
      </c>
      <c r="Q19" s="2" t="s">
        <v>41</v>
      </c>
      <c r="R19" s="2" t="s">
        <v>104</v>
      </c>
      <c r="S19" s="2">
        <v>461888</v>
      </c>
      <c r="T19" s="2" t="s">
        <v>117</v>
      </c>
      <c r="U19" s="2" t="s">
        <v>118</v>
      </c>
      <c r="V19" s="2" t="s">
        <v>119</v>
      </c>
      <c r="W19" s="2">
        <v>5</v>
      </c>
      <c r="X19" s="4">
        <v>0.1</v>
      </c>
      <c r="Y19" s="3">
        <v>664.01</v>
      </c>
    </row>
    <row r="20" spans="1:25" x14ac:dyDescent="0.3">
      <c r="A20" s="2" t="s">
        <v>99</v>
      </c>
      <c r="B20" s="2" t="s">
        <v>100</v>
      </c>
      <c r="C20" s="2" t="s">
        <v>101</v>
      </c>
      <c r="D20" s="8">
        <v>24231</v>
      </c>
      <c r="E20" s="3">
        <v>1809.54</v>
      </c>
      <c r="F20" s="2">
        <v>2024</v>
      </c>
      <c r="G20" s="2" t="s">
        <v>28</v>
      </c>
      <c r="H20" s="2" t="s">
        <v>29</v>
      </c>
      <c r="I20" s="2" t="s">
        <v>43</v>
      </c>
      <c r="J20" s="2" t="s">
        <v>102</v>
      </c>
      <c r="K20" s="2" t="s">
        <v>32</v>
      </c>
      <c r="L20" s="2" t="s">
        <v>33</v>
      </c>
      <c r="M20" s="8">
        <v>45459</v>
      </c>
      <c r="N20" s="2" t="s">
        <v>120</v>
      </c>
      <c r="O20" s="8">
        <v>45457</v>
      </c>
      <c r="P20" s="8">
        <v>45459</v>
      </c>
      <c r="Q20" s="2" t="s">
        <v>121</v>
      </c>
      <c r="R20" s="2" t="s">
        <v>104</v>
      </c>
      <c r="S20" s="2">
        <v>997594</v>
      </c>
      <c r="T20" s="2" t="s">
        <v>70</v>
      </c>
      <c r="U20" s="2" t="s">
        <v>71</v>
      </c>
      <c r="V20" s="2" t="s">
        <v>122</v>
      </c>
      <c r="W20" s="2">
        <v>9</v>
      </c>
      <c r="X20" s="4">
        <v>0</v>
      </c>
      <c r="Y20" s="3">
        <v>562.54999999999995</v>
      </c>
    </row>
    <row r="21" spans="1:25" x14ac:dyDescent="0.3">
      <c r="A21" s="2" t="s">
        <v>123</v>
      </c>
      <c r="B21" s="2" t="s">
        <v>124</v>
      </c>
      <c r="C21" s="2" t="s">
        <v>125</v>
      </c>
      <c r="D21" s="8">
        <v>24177</v>
      </c>
      <c r="E21" s="3">
        <v>773.28</v>
      </c>
      <c r="F21" s="2">
        <v>2023</v>
      </c>
      <c r="G21" s="2" t="s">
        <v>48</v>
      </c>
      <c r="H21" s="2" t="s">
        <v>29</v>
      </c>
      <c r="I21" s="2" t="s">
        <v>92</v>
      </c>
      <c r="J21" s="2" t="s">
        <v>62</v>
      </c>
      <c r="K21" s="2" t="s">
        <v>32</v>
      </c>
      <c r="L21" s="2" t="s">
        <v>63</v>
      </c>
      <c r="M21" s="8">
        <v>44973</v>
      </c>
      <c r="N21" s="2" t="s">
        <v>126</v>
      </c>
      <c r="O21" s="8">
        <v>44971</v>
      </c>
      <c r="P21" s="8">
        <v>44976</v>
      </c>
      <c r="Q21" s="2" t="s">
        <v>41</v>
      </c>
      <c r="R21" s="2" t="s">
        <v>65</v>
      </c>
      <c r="S21" s="2">
        <v>204555</v>
      </c>
      <c r="T21" s="2" t="s">
        <v>127</v>
      </c>
      <c r="U21" s="2" t="s">
        <v>128</v>
      </c>
      <c r="V21" s="2" t="s">
        <v>129</v>
      </c>
      <c r="W21" s="2">
        <v>3</v>
      </c>
      <c r="X21" s="4">
        <v>0</v>
      </c>
      <c r="Y21" s="3">
        <v>67.95</v>
      </c>
    </row>
    <row r="22" spans="1:25" x14ac:dyDescent="0.3">
      <c r="A22" s="2" t="s">
        <v>123</v>
      </c>
      <c r="B22" s="2" t="s">
        <v>124</v>
      </c>
      <c r="C22" s="2" t="s">
        <v>125</v>
      </c>
      <c r="D22" s="8">
        <v>24177</v>
      </c>
      <c r="E22" s="3">
        <v>552.80999999999995</v>
      </c>
      <c r="F22" s="2">
        <v>2023</v>
      </c>
      <c r="G22" s="2" t="s">
        <v>28</v>
      </c>
      <c r="H22" s="2" t="s">
        <v>29</v>
      </c>
      <c r="I22" s="2" t="s">
        <v>30</v>
      </c>
      <c r="J22" s="2" t="s">
        <v>62</v>
      </c>
      <c r="K22" s="2" t="s">
        <v>32</v>
      </c>
      <c r="L22" s="2" t="s">
        <v>63</v>
      </c>
      <c r="M22" s="8">
        <v>45253</v>
      </c>
      <c r="N22" s="2" t="s">
        <v>130</v>
      </c>
      <c r="O22" s="8">
        <v>45252</v>
      </c>
      <c r="P22" s="8">
        <v>45253</v>
      </c>
      <c r="Q22" s="2" t="s">
        <v>74</v>
      </c>
      <c r="R22" s="2" t="s">
        <v>65</v>
      </c>
      <c r="S22" s="2">
        <v>753534</v>
      </c>
      <c r="T22" s="2" t="s">
        <v>37</v>
      </c>
      <c r="U22" s="2" t="s">
        <v>38</v>
      </c>
      <c r="V22" s="2" t="s">
        <v>131</v>
      </c>
      <c r="W22" s="2">
        <v>3</v>
      </c>
      <c r="X22" s="4">
        <v>0.15</v>
      </c>
      <c r="Y22" s="3">
        <v>188.5</v>
      </c>
    </row>
    <row r="23" spans="1:25" x14ac:dyDescent="0.3">
      <c r="A23" s="2" t="s">
        <v>123</v>
      </c>
      <c r="B23" s="2" t="s">
        <v>124</v>
      </c>
      <c r="C23" s="2" t="s">
        <v>125</v>
      </c>
      <c r="D23" s="8">
        <v>24177</v>
      </c>
      <c r="E23" s="3">
        <v>686.16</v>
      </c>
      <c r="F23" s="2">
        <v>2024</v>
      </c>
      <c r="G23" s="2" t="s">
        <v>28</v>
      </c>
      <c r="H23" s="2" t="s">
        <v>29</v>
      </c>
      <c r="I23" s="2" t="s">
        <v>49</v>
      </c>
      <c r="J23" s="2" t="s">
        <v>62</v>
      </c>
      <c r="K23" s="2" t="s">
        <v>32</v>
      </c>
      <c r="L23" s="2" t="s">
        <v>63</v>
      </c>
      <c r="M23" s="8">
        <v>45414</v>
      </c>
      <c r="N23" s="2" t="s">
        <v>132</v>
      </c>
      <c r="O23" s="8">
        <v>45411</v>
      </c>
      <c r="P23" s="8">
        <v>45416</v>
      </c>
      <c r="Q23" s="2" t="s">
        <v>41</v>
      </c>
      <c r="R23" s="2" t="s">
        <v>65</v>
      </c>
      <c r="S23" s="2">
        <v>667296</v>
      </c>
      <c r="T23" s="2" t="s">
        <v>84</v>
      </c>
      <c r="U23" s="2" t="s">
        <v>85</v>
      </c>
      <c r="V23" s="2" t="s">
        <v>133</v>
      </c>
      <c r="W23" s="2">
        <v>2</v>
      </c>
      <c r="X23" s="4">
        <v>0.2</v>
      </c>
      <c r="Y23" s="3">
        <v>173.12</v>
      </c>
    </row>
    <row r="24" spans="1:25" x14ac:dyDescent="0.3">
      <c r="A24" s="2" t="s">
        <v>123</v>
      </c>
      <c r="B24" s="2" t="s">
        <v>124</v>
      </c>
      <c r="C24" s="2" t="s">
        <v>125</v>
      </c>
      <c r="D24" s="8">
        <v>24177</v>
      </c>
      <c r="E24" s="3">
        <v>2119.73</v>
      </c>
      <c r="F24" s="2">
        <v>2024</v>
      </c>
      <c r="G24" s="2" t="s">
        <v>28</v>
      </c>
      <c r="H24" s="2" t="s">
        <v>29</v>
      </c>
      <c r="I24" s="2" t="s">
        <v>78</v>
      </c>
      <c r="J24" s="2" t="s">
        <v>62</v>
      </c>
      <c r="K24" s="2" t="s">
        <v>32</v>
      </c>
      <c r="L24" s="2" t="s">
        <v>63</v>
      </c>
      <c r="M24" s="8">
        <v>45649</v>
      </c>
      <c r="N24" s="2" t="s">
        <v>134</v>
      </c>
      <c r="O24" s="8">
        <v>45649</v>
      </c>
      <c r="P24" s="8">
        <v>45650</v>
      </c>
      <c r="Q24" s="2" t="s">
        <v>121</v>
      </c>
      <c r="R24" s="2" t="s">
        <v>65</v>
      </c>
      <c r="S24" s="2">
        <v>827712</v>
      </c>
      <c r="T24" s="2" t="s">
        <v>135</v>
      </c>
      <c r="U24" s="2" t="s">
        <v>136</v>
      </c>
      <c r="V24" s="2" t="s">
        <v>137</v>
      </c>
      <c r="W24" s="2">
        <v>5</v>
      </c>
      <c r="X24" s="4">
        <v>0.15</v>
      </c>
      <c r="Y24" s="3">
        <v>163.46</v>
      </c>
    </row>
    <row r="25" spans="1:25" x14ac:dyDescent="0.3">
      <c r="A25" s="2" t="s">
        <v>123</v>
      </c>
      <c r="B25" s="2" t="s">
        <v>124</v>
      </c>
      <c r="C25" s="2" t="s">
        <v>125</v>
      </c>
      <c r="D25" s="8">
        <v>24177</v>
      </c>
      <c r="E25" s="3">
        <v>2412.9</v>
      </c>
      <c r="F25" s="2">
        <v>2025</v>
      </c>
      <c r="G25" s="2" t="s">
        <v>48</v>
      </c>
      <c r="H25" s="2" t="s">
        <v>29</v>
      </c>
      <c r="I25" s="2" t="s">
        <v>43</v>
      </c>
      <c r="J25" s="2" t="s">
        <v>62</v>
      </c>
      <c r="K25" s="2" t="s">
        <v>32</v>
      </c>
      <c r="L25" s="2" t="s">
        <v>63</v>
      </c>
      <c r="M25" s="8">
        <v>45690</v>
      </c>
      <c r="N25" s="2" t="s">
        <v>138</v>
      </c>
      <c r="O25" s="8">
        <v>45689</v>
      </c>
      <c r="P25" s="8">
        <v>45693</v>
      </c>
      <c r="Q25" s="2" t="s">
        <v>41</v>
      </c>
      <c r="R25" s="2" t="s">
        <v>65</v>
      </c>
      <c r="S25" s="2">
        <v>693418</v>
      </c>
      <c r="T25" s="2" t="s">
        <v>45</v>
      </c>
      <c r="U25" s="2" t="s">
        <v>46</v>
      </c>
      <c r="V25" s="2" t="s">
        <v>139</v>
      </c>
      <c r="W25" s="2">
        <v>6</v>
      </c>
      <c r="X25" s="4">
        <v>0</v>
      </c>
      <c r="Y25" s="3">
        <v>380.13</v>
      </c>
    </row>
    <row r="26" spans="1:25" x14ac:dyDescent="0.3">
      <c r="A26" s="2" t="s">
        <v>140</v>
      </c>
      <c r="B26" s="2" t="s">
        <v>141</v>
      </c>
      <c r="C26" s="2" t="s">
        <v>142</v>
      </c>
      <c r="D26" s="8">
        <v>32671</v>
      </c>
      <c r="E26" s="3">
        <v>842.65</v>
      </c>
      <c r="F26" s="2">
        <v>2023</v>
      </c>
      <c r="G26" s="2" t="s">
        <v>87</v>
      </c>
      <c r="H26" s="2" t="s">
        <v>29</v>
      </c>
      <c r="I26" s="2" t="s">
        <v>92</v>
      </c>
      <c r="J26" s="2" t="s">
        <v>143</v>
      </c>
      <c r="K26" s="2" t="s">
        <v>32</v>
      </c>
      <c r="L26" s="2" t="s">
        <v>144</v>
      </c>
      <c r="M26" s="8">
        <v>45009</v>
      </c>
      <c r="N26" s="2" t="s">
        <v>145</v>
      </c>
      <c r="O26" s="8">
        <v>45007</v>
      </c>
      <c r="P26" s="8">
        <v>45011</v>
      </c>
      <c r="Q26" s="2" t="s">
        <v>35</v>
      </c>
      <c r="R26" s="2" t="s">
        <v>146</v>
      </c>
      <c r="S26" s="2">
        <v>943718</v>
      </c>
      <c r="T26" s="2" t="s">
        <v>147</v>
      </c>
      <c r="U26" s="2" t="s">
        <v>148</v>
      </c>
      <c r="V26" s="2" t="s">
        <v>149</v>
      </c>
      <c r="W26" s="2">
        <v>10</v>
      </c>
      <c r="X26" s="4">
        <v>0.05</v>
      </c>
      <c r="Y26" s="3">
        <v>203.39</v>
      </c>
    </row>
    <row r="27" spans="1:25" x14ac:dyDescent="0.3">
      <c r="A27" s="2" t="s">
        <v>140</v>
      </c>
      <c r="B27" s="2" t="s">
        <v>141</v>
      </c>
      <c r="C27" s="2" t="s">
        <v>142</v>
      </c>
      <c r="D27" s="8">
        <v>32671</v>
      </c>
      <c r="E27" s="3">
        <v>819.35</v>
      </c>
      <c r="F27" s="2">
        <v>2023</v>
      </c>
      <c r="G27" s="2" t="s">
        <v>87</v>
      </c>
      <c r="H27" s="2" t="s">
        <v>29</v>
      </c>
      <c r="I27" s="2" t="s">
        <v>92</v>
      </c>
      <c r="J27" s="2" t="s">
        <v>143</v>
      </c>
      <c r="K27" s="2" t="s">
        <v>32</v>
      </c>
      <c r="L27" s="2" t="s">
        <v>144</v>
      </c>
      <c r="M27" s="8">
        <v>45103</v>
      </c>
      <c r="N27" s="2" t="s">
        <v>150</v>
      </c>
      <c r="O27" s="8">
        <v>45101</v>
      </c>
      <c r="P27" s="8">
        <v>45106</v>
      </c>
      <c r="Q27" s="2" t="s">
        <v>41</v>
      </c>
      <c r="R27" s="2" t="s">
        <v>146</v>
      </c>
      <c r="S27" s="2">
        <v>823846</v>
      </c>
      <c r="T27" s="2" t="s">
        <v>94</v>
      </c>
      <c r="U27" s="2" t="s">
        <v>95</v>
      </c>
      <c r="V27" s="2" t="s">
        <v>151</v>
      </c>
      <c r="W27" s="2">
        <v>9</v>
      </c>
      <c r="X27" s="4">
        <v>0.05</v>
      </c>
      <c r="Y27" s="3">
        <v>273.31</v>
      </c>
    </row>
    <row r="28" spans="1:25" x14ac:dyDescent="0.3">
      <c r="A28" s="2" t="s">
        <v>140</v>
      </c>
      <c r="B28" s="2" t="s">
        <v>141</v>
      </c>
      <c r="C28" s="2" t="s">
        <v>142</v>
      </c>
      <c r="D28" s="8">
        <v>32671</v>
      </c>
      <c r="E28" s="3">
        <v>549.20000000000005</v>
      </c>
      <c r="F28" s="2">
        <v>2023</v>
      </c>
      <c r="G28" s="2" t="s">
        <v>28</v>
      </c>
      <c r="H28" s="2" t="s">
        <v>29</v>
      </c>
      <c r="I28" s="2" t="s">
        <v>43</v>
      </c>
      <c r="J28" s="2" t="s">
        <v>143</v>
      </c>
      <c r="K28" s="2" t="s">
        <v>32</v>
      </c>
      <c r="L28" s="2" t="s">
        <v>144</v>
      </c>
      <c r="M28" s="8">
        <v>45106</v>
      </c>
      <c r="N28" s="2" t="s">
        <v>152</v>
      </c>
      <c r="O28" s="8">
        <v>45106</v>
      </c>
      <c r="P28" s="8">
        <v>45107</v>
      </c>
      <c r="Q28" s="2" t="s">
        <v>74</v>
      </c>
      <c r="R28" s="2" t="s">
        <v>146</v>
      </c>
      <c r="S28" s="2">
        <v>702733</v>
      </c>
      <c r="T28" s="2" t="s">
        <v>153</v>
      </c>
      <c r="U28" s="2" t="s">
        <v>154</v>
      </c>
      <c r="V28" s="2" t="s">
        <v>155</v>
      </c>
      <c r="W28" s="2">
        <v>5</v>
      </c>
      <c r="X28" s="4">
        <v>0.05</v>
      </c>
      <c r="Y28" s="3">
        <v>168.06</v>
      </c>
    </row>
    <row r="29" spans="1:25" x14ac:dyDescent="0.3">
      <c r="A29" s="2" t="s">
        <v>140</v>
      </c>
      <c r="B29" s="2" t="s">
        <v>141</v>
      </c>
      <c r="C29" s="2" t="s">
        <v>142</v>
      </c>
      <c r="D29" s="8">
        <v>32671</v>
      </c>
      <c r="E29" s="3">
        <v>416</v>
      </c>
      <c r="F29" s="2">
        <v>2023</v>
      </c>
      <c r="G29" s="2" t="s">
        <v>87</v>
      </c>
      <c r="H29" s="2" t="s">
        <v>29</v>
      </c>
      <c r="I29" s="2" t="s">
        <v>43</v>
      </c>
      <c r="J29" s="2" t="s">
        <v>143</v>
      </c>
      <c r="K29" s="2" t="s">
        <v>32</v>
      </c>
      <c r="L29" s="2" t="s">
        <v>144</v>
      </c>
      <c r="M29" s="8">
        <v>45111</v>
      </c>
      <c r="N29" s="2" t="s">
        <v>156</v>
      </c>
      <c r="O29" s="8">
        <v>45111</v>
      </c>
      <c r="P29" s="8">
        <v>45112</v>
      </c>
      <c r="Q29" s="2" t="s">
        <v>41</v>
      </c>
      <c r="R29" s="2" t="s">
        <v>146</v>
      </c>
      <c r="S29" s="2">
        <v>973294</v>
      </c>
      <c r="T29" s="2" t="s">
        <v>70</v>
      </c>
      <c r="U29" s="2" t="s">
        <v>71</v>
      </c>
      <c r="V29" s="2" t="s">
        <v>157</v>
      </c>
      <c r="W29" s="2">
        <v>1</v>
      </c>
      <c r="X29" s="4">
        <v>0.15</v>
      </c>
      <c r="Y29" s="3">
        <v>70.2</v>
      </c>
    </row>
    <row r="30" spans="1:25" x14ac:dyDescent="0.3">
      <c r="A30" s="2" t="s">
        <v>140</v>
      </c>
      <c r="B30" s="2" t="s">
        <v>141</v>
      </c>
      <c r="C30" s="2" t="s">
        <v>142</v>
      </c>
      <c r="D30" s="8">
        <v>32671</v>
      </c>
      <c r="E30" s="3">
        <v>750.72</v>
      </c>
      <c r="F30" s="2">
        <v>2024</v>
      </c>
      <c r="G30" s="2" t="s">
        <v>48</v>
      </c>
      <c r="H30" s="2" t="s">
        <v>29</v>
      </c>
      <c r="I30" s="2" t="s">
        <v>43</v>
      </c>
      <c r="J30" s="2" t="s">
        <v>143</v>
      </c>
      <c r="K30" s="2" t="s">
        <v>32</v>
      </c>
      <c r="L30" s="2" t="s">
        <v>144</v>
      </c>
      <c r="M30" s="8">
        <v>45553</v>
      </c>
      <c r="N30" s="2" t="s">
        <v>158</v>
      </c>
      <c r="O30" s="8">
        <v>45551</v>
      </c>
      <c r="P30" s="8">
        <v>45553</v>
      </c>
      <c r="Q30" s="2" t="s">
        <v>35</v>
      </c>
      <c r="R30" s="2" t="s">
        <v>146</v>
      </c>
      <c r="S30" s="2">
        <v>423939</v>
      </c>
      <c r="T30" s="2" t="s">
        <v>45</v>
      </c>
      <c r="U30" s="2" t="s">
        <v>46</v>
      </c>
      <c r="V30" s="2" t="s">
        <v>159</v>
      </c>
      <c r="W30" s="2">
        <v>6</v>
      </c>
      <c r="X30" s="4">
        <v>0</v>
      </c>
      <c r="Y30" s="3">
        <v>177.37</v>
      </c>
    </row>
    <row r="31" spans="1:25" x14ac:dyDescent="0.3">
      <c r="A31" s="2" t="s">
        <v>160</v>
      </c>
      <c r="B31" s="2" t="s">
        <v>161</v>
      </c>
      <c r="C31" s="2" t="s">
        <v>162</v>
      </c>
      <c r="D31" s="8">
        <v>37004</v>
      </c>
      <c r="E31" s="3">
        <v>730.17</v>
      </c>
      <c r="F31" s="2">
        <v>2023</v>
      </c>
      <c r="G31" s="2" t="s">
        <v>48</v>
      </c>
      <c r="H31" s="2" t="s">
        <v>163</v>
      </c>
      <c r="I31" s="2" t="s">
        <v>78</v>
      </c>
      <c r="J31" s="2" t="s">
        <v>102</v>
      </c>
      <c r="K31" s="2" t="s">
        <v>32</v>
      </c>
      <c r="L31" s="2" t="s">
        <v>63</v>
      </c>
      <c r="M31" s="8">
        <v>44963</v>
      </c>
      <c r="N31" s="2" t="s">
        <v>164</v>
      </c>
      <c r="O31" s="8">
        <v>44961</v>
      </c>
      <c r="P31" s="8">
        <v>44964</v>
      </c>
      <c r="Q31" s="2" t="s">
        <v>74</v>
      </c>
      <c r="R31" s="2" t="s">
        <v>165</v>
      </c>
      <c r="S31" s="2">
        <v>964749</v>
      </c>
      <c r="T31" s="2" t="s">
        <v>117</v>
      </c>
      <c r="U31" s="2" t="s">
        <v>118</v>
      </c>
      <c r="V31" s="2" t="s">
        <v>166</v>
      </c>
      <c r="W31" s="2">
        <v>7</v>
      </c>
      <c r="X31" s="4">
        <v>0</v>
      </c>
      <c r="Y31" s="3">
        <v>208.79</v>
      </c>
    </row>
    <row r="32" spans="1:25" x14ac:dyDescent="0.3">
      <c r="A32" s="2" t="s">
        <v>160</v>
      </c>
      <c r="B32" s="2" t="s">
        <v>161</v>
      </c>
      <c r="C32" s="2" t="s">
        <v>162</v>
      </c>
      <c r="D32" s="8">
        <v>37004</v>
      </c>
      <c r="E32" s="3">
        <v>2314.37</v>
      </c>
      <c r="F32" s="2">
        <v>2023</v>
      </c>
      <c r="G32" s="2" t="s">
        <v>87</v>
      </c>
      <c r="H32" s="2" t="s">
        <v>163</v>
      </c>
      <c r="I32" s="2" t="s">
        <v>92</v>
      </c>
      <c r="J32" s="2" t="s">
        <v>102</v>
      </c>
      <c r="K32" s="2" t="s">
        <v>32</v>
      </c>
      <c r="L32" s="2" t="s">
        <v>63</v>
      </c>
      <c r="M32" s="8">
        <v>45061</v>
      </c>
      <c r="N32" s="2" t="s">
        <v>167</v>
      </c>
      <c r="O32" s="8">
        <v>45061</v>
      </c>
      <c r="P32" s="8">
        <v>45063</v>
      </c>
      <c r="Q32" s="2" t="s">
        <v>41</v>
      </c>
      <c r="R32" s="2" t="s">
        <v>165</v>
      </c>
      <c r="S32" s="2">
        <v>986827</v>
      </c>
      <c r="T32" s="2" t="s">
        <v>94</v>
      </c>
      <c r="U32" s="2" t="s">
        <v>95</v>
      </c>
      <c r="V32" s="2" t="s">
        <v>168</v>
      </c>
      <c r="W32" s="2">
        <v>6</v>
      </c>
      <c r="X32" s="4">
        <v>0.05</v>
      </c>
      <c r="Y32" s="3">
        <v>784.27</v>
      </c>
    </row>
    <row r="33" spans="1:25" x14ac:dyDescent="0.3">
      <c r="A33" s="2" t="s">
        <v>160</v>
      </c>
      <c r="B33" s="2" t="s">
        <v>161</v>
      </c>
      <c r="C33" s="2" t="s">
        <v>162</v>
      </c>
      <c r="D33" s="8">
        <v>37004</v>
      </c>
      <c r="E33" s="3">
        <v>168.08</v>
      </c>
      <c r="F33" s="2">
        <v>2024</v>
      </c>
      <c r="G33" s="2" t="s">
        <v>87</v>
      </c>
      <c r="H33" s="2" t="s">
        <v>163</v>
      </c>
      <c r="I33" s="2" t="s">
        <v>30</v>
      </c>
      <c r="J33" s="2" t="s">
        <v>102</v>
      </c>
      <c r="K33" s="2" t="s">
        <v>32</v>
      </c>
      <c r="L33" s="2" t="s">
        <v>63</v>
      </c>
      <c r="M33" s="8">
        <v>45302</v>
      </c>
      <c r="N33" s="2" t="s">
        <v>169</v>
      </c>
      <c r="O33" s="8">
        <v>45300</v>
      </c>
      <c r="P33" s="8">
        <v>45303</v>
      </c>
      <c r="Q33" s="2" t="s">
        <v>41</v>
      </c>
      <c r="R33" s="2" t="s">
        <v>165</v>
      </c>
      <c r="S33" s="2">
        <v>962367</v>
      </c>
      <c r="T33" s="2" t="s">
        <v>37</v>
      </c>
      <c r="U33" s="2" t="s">
        <v>38</v>
      </c>
      <c r="V33" s="2" t="s">
        <v>170</v>
      </c>
      <c r="W33" s="2">
        <v>7</v>
      </c>
      <c r="X33" s="4">
        <v>0.1</v>
      </c>
      <c r="Y33" s="3">
        <v>14.64</v>
      </c>
    </row>
    <row r="34" spans="1:25" x14ac:dyDescent="0.3">
      <c r="A34" s="2" t="s">
        <v>160</v>
      </c>
      <c r="B34" s="2" t="s">
        <v>161</v>
      </c>
      <c r="C34" s="2" t="s">
        <v>162</v>
      </c>
      <c r="D34" s="8">
        <v>37004</v>
      </c>
      <c r="E34" s="3">
        <v>886.72</v>
      </c>
      <c r="F34" s="2">
        <v>2024</v>
      </c>
      <c r="G34" s="2" t="s">
        <v>87</v>
      </c>
      <c r="H34" s="2" t="s">
        <v>163</v>
      </c>
      <c r="I34" s="2" t="s">
        <v>49</v>
      </c>
      <c r="J34" s="2" t="s">
        <v>102</v>
      </c>
      <c r="K34" s="2" t="s">
        <v>32</v>
      </c>
      <c r="L34" s="2" t="s">
        <v>63</v>
      </c>
      <c r="M34" s="8">
        <v>45522</v>
      </c>
      <c r="N34" s="2" t="s">
        <v>171</v>
      </c>
      <c r="O34" s="8">
        <v>45520</v>
      </c>
      <c r="P34" s="8">
        <v>45525</v>
      </c>
      <c r="Q34" s="2" t="s">
        <v>121</v>
      </c>
      <c r="R34" s="2" t="s">
        <v>165</v>
      </c>
      <c r="S34" s="2">
        <v>779112</v>
      </c>
      <c r="T34" s="2" t="s">
        <v>84</v>
      </c>
      <c r="U34" s="2" t="s">
        <v>85</v>
      </c>
      <c r="V34" s="2" t="s">
        <v>172</v>
      </c>
      <c r="W34" s="2">
        <v>4</v>
      </c>
      <c r="X34" s="4">
        <v>0.1</v>
      </c>
      <c r="Y34" s="3">
        <v>279.56</v>
      </c>
    </row>
    <row r="35" spans="1:25" x14ac:dyDescent="0.3">
      <c r="A35" s="2" t="s">
        <v>160</v>
      </c>
      <c r="B35" s="2" t="s">
        <v>161</v>
      </c>
      <c r="C35" s="2" t="s">
        <v>162</v>
      </c>
      <c r="D35" s="8">
        <v>37004</v>
      </c>
      <c r="E35" s="3">
        <v>1658.15</v>
      </c>
      <c r="F35" s="2">
        <v>2025</v>
      </c>
      <c r="G35" s="2" t="s">
        <v>28</v>
      </c>
      <c r="H35" s="2" t="s">
        <v>163</v>
      </c>
      <c r="I35" s="2" t="s">
        <v>78</v>
      </c>
      <c r="J35" s="2" t="s">
        <v>102</v>
      </c>
      <c r="K35" s="2" t="s">
        <v>32</v>
      </c>
      <c r="L35" s="2" t="s">
        <v>63</v>
      </c>
      <c r="M35" s="8">
        <v>45677</v>
      </c>
      <c r="N35" s="2" t="s">
        <v>173</v>
      </c>
      <c r="O35" s="8">
        <v>45676</v>
      </c>
      <c r="P35" s="8">
        <v>45677</v>
      </c>
      <c r="Q35" s="2" t="s">
        <v>35</v>
      </c>
      <c r="R35" s="2" t="s">
        <v>165</v>
      </c>
      <c r="S35" s="2">
        <v>201913</v>
      </c>
      <c r="T35" s="2" t="s">
        <v>80</v>
      </c>
      <c r="U35" s="2" t="s">
        <v>81</v>
      </c>
      <c r="V35" s="2" t="s">
        <v>174</v>
      </c>
      <c r="W35" s="2">
        <v>5</v>
      </c>
      <c r="X35" s="4">
        <v>0</v>
      </c>
      <c r="Y35" s="3">
        <v>152.44</v>
      </c>
    </row>
    <row r="36" spans="1:25" x14ac:dyDescent="0.3">
      <c r="A36" s="2" t="s">
        <v>175</v>
      </c>
      <c r="B36" s="2" t="s">
        <v>100</v>
      </c>
      <c r="C36" s="2" t="s">
        <v>176</v>
      </c>
      <c r="D36" s="8">
        <v>28295</v>
      </c>
      <c r="E36" s="3">
        <v>1692.03</v>
      </c>
      <c r="F36" s="2">
        <v>2023</v>
      </c>
      <c r="G36" s="2" t="s">
        <v>28</v>
      </c>
      <c r="H36" s="2" t="s">
        <v>163</v>
      </c>
      <c r="I36" s="2" t="s">
        <v>92</v>
      </c>
      <c r="J36" s="2" t="s">
        <v>102</v>
      </c>
      <c r="K36" s="2" t="s">
        <v>32</v>
      </c>
      <c r="L36" s="2" t="s">
        <v>144</v>
      </c>
      <c r="M36" s="8">
        <v>45065</v>
      </c>
      <c r="N36" s="2" t="s">
        <v>177</v>
      </c>
      <c r="O36" s="8">
        <v>45065</v>
      </c>
      <c r="P36" s="8">
        <v>45069</v>
      </c>
      <c r="Q36" s="2" t="s">
        <v>41</v>
      </c>
      <c r="R36" s="2" t="s">
        <v>178</v>
      </c>
      <c r="S36" s="2">
        <v>393328</v>
      </c>
      <c r="T36" s="2" t="s">
        <v>127</v>
      </c>
      <c r="U36" s="2" t="s">
        <v>128</v>
      </c>
      <c r="V36" s="2" t="s">
        <v>179</v>
      </c>
      <c r="W36" s="2">
        <v>9</v>
      </c>
      <c r="X36" s="4">
        <v>0.15</v>
      </c>
      <c r="Y36" s="3">
        <v>453.43</v>
      </c>
    </row>
    <row r="37" spans="1:25" x14ac:dyDescent="0.3">
      <c r="A37" s="2" t="s">
        <v>175</v>
      </c>
      <c r="B37" s="2" t="s">
        <v>100</v>
      </c>
      <c r="C37" s="2" t="s">
        <v>176</v>
      </c>
      <c r="D37" s="8">
        <v>28295</v>
      </c>
      <c r="E37" s="3">
        <v>1867.6</v>
      </c>
      <c r="F37" s="2">
        <v>2024</v>
      </c>
      <c r="G37" s="2" t="s">
        <v>87</v>
      </c>
      <c r="H37" s="2" t="s">
        <v>163</v>
      </c>
      <c r="I37" s="2" t="s">
        <v>78</v>
      </c>
      <c r="J37" s="2" t="s">
        <v>102</v>
      </c>
      <c r="K37" s="2" t="s">
        <v>32</v>
      </c>
      <c r="L37" s="2" t="s">
        <v>144</v>
      </c>
      <c r="M37" s="8">
        <v>45478</v>
      </c>
      <c r="N37" s="2" t="s">
        <v>180</v>
      </c>
      <c r="O37" s="8">
        <v>45477</v>
      </c>
      <c r="P37" s="8">
        <v>45478</v>
      </c>
      <c r="Q37" s="2" t="s">
        <v>74</v>
      </c>
      <c r="R37" s="2" t="s">
        <v>178</v>
      </c>
      <c r="S37" s="2">
        <v>163491</v>
      </c>
      <c r="T37" s="2" t="s">
        <v>117</v>
      </c>
      <c r="U37" s="2" t="s">
        <v>118</v>
      </c>
      <c r="V37" s="2" t="s">
        <v>181</v>
      </c>
      <c r="W37" s="2">
        <v>8</v>
      </c>
      <c r="X37" s="4">
        <v>0</v>
      </c>
      <c r="Y37" s="3">
        <v>572.66999999999996</v>
      </c>
    </row>
    <row r="38" spans="1:25" x14ac:dyDescent="0.3">
      <c r="A38" s="2" t="s">
        <v>182</v>
      </c>
      <c r="B38" s="2" t="s">
        <v>183</v>
      </c>
      <c r="C38" s="2" t="s">
        <v>184</v>
      </c>
      <c r="D38" s="8">
        <v>29967</v>
      </c>
      <c r="E38" s="3">
        <v>1180.8699999999999</v>
      </c>
      <c r="F38" s="2">
        <v>2023</v>
      </c>
      <c r="G38" s="2" t="s">
        <v>48</v>
      </c>
      <c r="H38" s="2" t="s">
        <v>29</v>
      </c>
      <c r="I38" s="2" t="s">
        <v>92</v>
      </c>
      <c r="J38" s="2" t="s">
        <v>102</v>
      </c>
      <c r="K38" s="2" t="s">
        <v>32</v>
      </c>
      <c r="L38" s="2" t="s">
        <v>144</v>
      </c>
      <c r="M38" s="8">
        <v>45053</v>
      </c>
      <c r="N38" s="2" t="s">
        <v>185</v>
      </c>
      <c r="O38" s="8">
        <v>45052</v>
      </c>
      <c r="P38" s="8">
        <v>45053</v>
      </c>
      <c r="Q38" s="2" t="s">
        <v>121</v>
      </c>
      <c r="R38" s="2" t="s">
        <v>186</v>
      </c>
      <c r="S38" s="2">
        <v>925206</v>
      </c>
      <c r="T38" s="2" t="s">
        <v>187</v>
      </c>
      <c r="U38" s="2" t="s">
        <v>188</v>
      </c>
      <c r="V38" s="2" t="s">
        <v>189</v>
      </c>
      <c r="W38" s="2">
        <v>4</v>
      </c>
      <c r="X38" s="4">
        <v>0.1</v>
      </c>
      <c r="Y38" s="3">
        <v>403.06</v>
      </c>
    </row>
    <row r="39" spans="1:25" x14ac:dyDescent="0.3">
      <c r="A39" s="2" t="s">
        <v>182</v>
      </c>
      <c r="B39" s="2" t="s">
        <v>183</v>
      </c>
      <c r="C39" s="2" t="s">
        <v>184</v>
      </c>
      <c r="D39" s="8">
        <v>29967</v>
      </c>
      <c r="E39" s="3">
        <v>1074.96</v>
      </c>
      <c r="F39" s="2">
        <v>2023</v>
      </c>
      <c r="G39" s="2" t="s">
        <v>48</v>
      </c>
      <c r="H39" s="2" t="s">
        <v>29</v>
      </c>
      <c r="I39" s="2" t="s">
        <v>30</v>
      </c>
      <c r="J39" s="2" t="s">
        <v>102</v>
      </c>
      <c r="K39" s="2" t="s">
        <v>32</v>
      </c>
      <c r="L39" s="2" t="s">
        <v>144</v>
      </c>
      <c r="M39" s="8">
        <v>45122</v>
      </c>
      <c r="N39" s="2" t="s">
        <v>190</v>
      </c>
      <c r="O39" s="8">
        <v>45121</v>
      </c>
      <c r="P39" s="8">
        <v>45123</v>
      </c>
      <c r="Q39" s="2" t="s">
        <v>35</v>
      </c>
      <c r="R39" s="2" t="s">
        <v>186</v>
      </c>
      <c r="S39" s="2">
        <v>390743</v>
      </c>
      <c r="T39" s="2" t="s">
        <v>75</v>
      </c>
      <c r="U39" s="2" t="s">
        <v>76</v>
      </c>
      <c r="V39" s="2" t="s">
        <v>191</v>
      </c>
      <c r="W39" s="2">
        <v>9</v>
      </c>
      <c r="X39" s="4">
        <v>0</v>
      </c>
      <c r="Y39" s="3">
        <v>315.95</v>
      </c>
    </row>
    <row r="40" spans="1:25" x14ac:dyDescent="0.3">
      <c r="A40" s="2" t="s">
        <v>182</v>
      </c>
      <c r="B40" s="2" t="s">
        <v>183</v>
      </c>
      <c r="C40" s="2" t="s">
        <v>184</v>
      </c>
      <c r="D40" s="8">
        <v>29967</v>
      </c>
      <c r="E40" s="3">
        <v>2016.45</v>
      </c>
      <c r="F40" s="2">
        <v>2025</v>
      </c>
      <c r="G40" s="2" t="s">
        <v>48</v>
      </c>
      <c r="H40" s="2" t="s">
        <v>29</v>
      </c>
      <c r="I40" s="2" t="s">
        <v>61</v>
      </c>
      <c r="J40" s="2" t="s">
        <v>102</v>
      </c>
      <c r="K40" s="2" t="s">
        <v>32</v>
      </c>
      <c r="L40" s="2" t="s">
        <v>144</v>
      </c>
      <c r="M40" s="8">
        <v>45795</v>
      </c>
      <c r="N40" s="2" t="s">
        <v>192</v>
      </c>
      <c r="O40" s="8">
        <v>45795</v>
      </c>
      <c r="P40" s="8">
        <v>45796</v>
      </c>
      <c r="Q40" s="2" t="s">
        <v>74</v>
      </c>
      <c r="R40" s="2" t="s">
        <v>186</v>
      </c>
      <c r="S40" s="2">
        <v>928358</v>
      </c>
      <c r="T40" s="2" t="s">
        <v>66</v>
      </c>
      <c r="U40" s="2" t="s">
        <v>67</v>
      </c>
      <c r="V40" s="2" t="s">
        <v>193</v>
      </c>
      <c r="W40" s="2">
        <v>5</v>
      </c>
      <c r="X40" s="4">
        <v>0</v>
      </c>
      <c r="Y40" s="3">
        <v>500.72</v>
      </c>
    </row>
    <row r="41" spans="1:25" x14ac:dyDescent="0.3">
      <c r="A41" s="2" t="s">
        <v>194</v>
      </c>
      <c r="B41" s="2" t="s">
        <v>195</v>
      </c>
      <c r="C41" s="2" t="s">
        <v>162</v>
      </c>
      <c r="D41" s="8">
        <v>36966</v>
      </c>
      <c r="E41" s="3">
        <v>1621.49</v>
      </c>
      <c r="F41" s="2">
        <v>2023</v>
      </c>
      <c r="G41" s="2" t="s">
        <v>87</v>
      </c>
      <c r="H41" s="2" t="s">
        <v>29</v>
      </c>
      <c r="I41" s="2" t="s">
        <v>78</v>
      </c>
      <c r="J41" s="2" t="s">
        <v>102</v>
      </c>
      <c r="K41" s="2" t="s">
        <v>32</v>
      </c>
      <c r="L41" s="2" t="s">
        <v>63</v>
      </c>
      <c r="M41" s="8">
        <v>44945</v>
      </c>
      <c r="N41" s="2" t="s">
        <v>196</v>
      </c>
      <c r="O41" s="8">
        <v>44943</v>
      </c>
      <c r="P41" s="8">
        <v>44947</v>
      </c>
      <c r="Q41" s="2" t="s">
        <v>35</v>
      </c>
      <c r="R41" s="2" t="s">
        <v>197</v>
      </c>
      <c r="S41" s="2">
        <v>573962</v>
      </c>
      <c r="T41" s="2" t="s">
        <v>89</v>
      </c>
      <c r="U41" s="2" t="s">
        <v>90</v>
      </c>
      <c r="V41" s="2" t="s">
        <v>198</v>
      </c>
      <c r="W41" s="2">
        <v>7</v>
      </c>
      <c r="X41" s="4">
        <v>0.15</v>
      </c>
      <c r="Y41" s="3">
        <v>111.99</v>
      </c>
    </row>
    <row r="42" spans="1:25" x14ac:dyDescent="0.3">
      <c r="A42" s="2" t="s">
        <v>194</v>
      </c>
      <c r="B42" s="2" t="s">
        <v>195</v>
      </c>
      <c r="C42" s="2" t="s">
        <v>162</v>
      </c>
      <c r="D42" s="8">
        <v>36966</v>
      </c>
      <c r="E42" s="3">
        <v>295.26</v>
      </c>
      <c r="F42" s="2">
        <v>2023</v>
      </c>
      <c r="G42" s="2" t="s">
        <v>87</v>
      </c>
      <c r="H42" s="2" t="s">
        <v>29</v>
      </c>
      <c r="I42" s="2" t="s">
        <v>30</v>
      </c>
      <c r="J42" s="2" t="s">
        <v>102</v>
      </c>
      <c r="K42" s="2" t="s">
        <v>32</v>
      </c>
      <c r="L42" s="2" t="s">
        <v>63</v>
      </c>
      <c r="M42" s="8">
        <v>45108</v>
      </c>
      <c r="N42" s="2" t="s">
        <v>199</v>
      </c>
      <c r="O42" s="8">
        <v>45105</v>
      </c>
      <c r="P42" s="8">
        <v>45108</v>
      </c>
      <c r="Q42" s="2" t="s">
        <v>35</v>
      </c>
      <c r="R42" s="2" t="s">
        <v>197</v>
      </c>
      <c r="S42" s="2">
        <v>163780</v>
      </c>
      <c r="T42" s="2" t="s">
        <v>75</v>
      </c>
      <c r="U42" s="2" t="s">
        <v>76</v>
      </c>
      <c r="V42" s="2" t="s">
        <v>200</v>
      </c>
      <c r="W42" s="2">
        <v>1</v>
      </c>
      <c r="X42" s="4">
        <v>0.2</v>
      </c>
      <c r="Y42" s="3">
        <v>73.13</v>
      </c>
    </row>
    <row r="43" spans="1:25" x14ac:dyDescent="0.3">
      <c r="A43" s="2" t="s">
        <v>194</v>
      </c>
      <c r="B43" s="2" t="s">
        <v>195</v>
      </c>
      <c r="C43" s="2" t="s">
        <v>162</v>
      </c>
      <c r="D43" s="8">
        <v>36966</v>
      </c>
      <c r="E43" s="3">
        <v>485.13</v>
      </c>
      <c r="F43" s="2">
        <v>2023</v>
      </c>
      <c r="G43" s="2" t="s">
        <v>87</v>
      </c>
      <c r="H43" s="2" t="s">
        <v>29</v>
      </c>
      <c r="I43" s="2" t="s">
        <v>92</v>
      </c>
      <c r="J43" s="2" t="s">
        <v>102</v>
      </c>
      <c r="K43" s="2" t="s">
        <v>32</v>
      </c>
      <c r="L43" s="2" t="s">
        <v>63</v>
      </c>
      <c r="M43" s="8">
        <v>45199</v>
      </c>
      <c r="N43" s="2" t="s">
        <v>201</v>
      </c>
      <c r="O43" s="8">
        <v>45198</v>
      </c>
      <c r="P43" s="8">
        <v>45199</v>
      </c>
      <c r="Q43" s="2" t="s">
        <v>121</v>
      </c>
      <c r="R43" s="2" t="s">
        <v>197</v>
      </c>
      <c r="S43" s="2">
        <v>168872</v>
      </c>
      <c r="T43" s="2" t="s">
        <v>127</v>
      </c>
      <c r="U43" s="2" t="s">
        <v>128</v>
      </c>
      <c r="V43" s="2" t="s">
        <v>202</v>
      </c>
      <c r="W43" s="2">
        <v>2</v>
      </c>
      <c r="X43" s="4">
        <v>0.05</v>
      </c>
      <c r="Y43" s="3">
        <v>34.950000000000003</v>
      </c>
    </row>
    <row r="44" spans="1:25" x14ac:dyDescent="0.3">
      <c r="A44" s="2" t="s">
        <v>194</v>
      </c>
      <c r="B44" s="2" t="s">
        <v>195</v>
      </c>
      <c r="C44" s="2" t="s">
        <v>162</v>
      </c>
      <c r="D44" s="8">
        <v>36966</v>
      </c>
      <c r="E44" s="3">
        <v>2832.1</v>
      </c>
      <c r="F44" s="2">
        <v>2023</v>
      </c>
      <c r="G44" s="2" t="s">
        <v>28</v>
      </c>
      <c r="H44" s="2" t="s">
        <v>29</v>
      </c>
      <c r="I44" s="2" t="s">
        <v>61</v>
      </c>
      <c r="J44" s="2" t="s">
        <v>102</v>
      </c>
      <c r="K44" s="2" t="s">
        <v>32</v>
      </c>
      <c r="L44" s="2" t="s">
        <v>63</v>
      </c>
      <c r="M44" s="8">
        <v>45262</v>
      </c>
      <c r="N44" s="2" t="s">
        <v>203</v>
      </c>
      <c r="O44" s="8">
        <v>45258</v>
      </c>
      <c r="P44" s="8">
        <v>45263</v>
      </c>
      <c r="Q44" s="2" t="s">
        <v>41</v>
      </c>
      <c r="R44" s="2" t="s">
        <v>197</v>
      </c>
      <c r="S44" s="2">
        <v>630108</v>
      </c>
      <c r="T44" s="2" t="s">
        <v>204</v>
      </c>
      <c r="U44" s="2" t="s">
        <v>205</v>
      </c>
      <c r="V44" s="2" t="s">
        <v>206</v>
      </c>
      <c r="W44" s="2">
        <v>10</v>
      </c>
      <c r="X44" s="4">
        <v>0</v>
      </c>
      <c r="Y44" s="3">
        <v>465.23</v>
      </c>
    </row>
    <row r="45" spans="1:25" x14ac:dyDescent="0.3">
      <c r="A45" s="2" t="s">
        <v>194</v>
      </c>
      <c r="B45" s="2" t="s">
        <v>195</v>
      </c>
      <c r="C45" s="2" t="s">
        <v>162</v>
      </c>
      <c r="D45" s="8">
        <v>36966</v>
      </c>
      <c r="E45" s="3">
        <v>729.88</v>
      </c>
      <c r="F45" s="2">
        <v>2024</v>
      </c>
      <c r="G45" s="2" t="s">
        <v>48</v>
      </c>
      <c r="H45" s="2" t="s">
        <v>29</v>
      </c>
      <c r="I45" s="2" t="s">
        <v>30</v>
      </c>
      <c r="J45" s="2" t="s">
        <v>102</v>
      </c>
      <c r="K45" s="2" t="s">
        <v>32</v>
      </c>
      <c r="L45" s="2" t="s">
        <v>63</v>
      </c>
      <c r="M45" s="8">
        <v>45534</v>
      </c>
      <c r="N45" s="2" t="s">
        <v>207</v>
      </c>
      <c r="O45" s="8">
        <v>45529</v>
      </c>
      <c r="P45" s="8">
        <v>45534</v>
      </c>
      <c r="Q45" s="2" t="s">
        <v>41</v>
      </c>
      <c r="R45" s="2" t="s">
        <v>197</v>
      </c>
      <c r="S45" s="2">
        <v>573489</v>
      </c>
      <c r="T45" s="2" t="s">
        <v>37</v>
      </c>
      <c r="U45" s="2" t="s">
        <v>38</v>
      </c>
      <c r="V45" s="2" t="s">
        <v>208</v>
      </c>
      <c r="W45" s="2">
        <v>2</v>
      </c>
      <c r="X45" s="4">
        <v>0.15</v>
      </c>
      <c r="Y45" s="3">
        <v>228.68</v>
      </c>
    </row>
    <row r="46" spans="1:25" x14ac:dyDescent="0.3">
      <c r="A46" s="2" t="s">
        <v>209</v>
      </c>
      <c r="B46" s="2" t="s">
        <v>210</v>
      </c>
      <c r="C46" s="2" t="s">
        <v>211</v>
      </c>
      <c r="D46" s="8">
        <v>29944</v>
      </c>
      <c r="E46" s="3">
        <v>1190.07</v>
      </c>
      <c r="F46" s="2">
        <v>2023</v>
      </c>
      <c r="G46" s="2" t="s">
        <v>28</v>
      </c>
      <c r="H46" s="2" t="s">
        <v>29</v>
      </c>
      <c r="I46" s="2" t="s">
        <v>49</v>
      </c>
      <c r="J46" s="2" t="s">
        <v>102</v>
      </c>
      <c r="K46" s="2" t="s">
        <v>32</v>
      </c>
      <c r="L46" s="2" t="s">
        <v>63</v>
      </c>
      <c r="M46" s="8">
        <v>45276</v>
      </c>
      <c r="N46" s="2" t="s">
        <v>212</v>
      </c>
      <c r="O46" s="8">
        <v>45274</v>
      </c>
      <c r="P46" s="8">
        <v>45276</v>
      </c>
      <c r="Q46" s="2" t="s">
        <v>35</v>
      </c>
      <c r="R46" s="2" t="s">
        <v>104</v>
      </c>
      <c r="S46" s="2">
        <v>195656</v>
      </c>
      <c r="T46" s="2" t="s">
        <v>109</v>
      </c>
      <c r="U46" s="2" t="s">
        <v>110</v>
      </c>
      <c r="V46" s="2" t="s">
        <v>213</v>
      </c>
      <c r="W46" s="2">
        <v>7</v>
      </c>
      <c r="X46" s="4">
        <v>0</v>
      </c>
      <c r="Y46" s="3">
        <v>193.14</v>
      </c>
    </row>
    <row r="47" spans="1:25" x14ac:dyDescent="0.3">
      <c r="A47" s="2" t="s">
        <v>209</v>
      </c>
      <c r="B47" s="2" t="s">
        <v>210</v>
      </c>
      <c r="C47" s="2" t="s">
        <v>211</v>
      </c>
      <c r="D47" s="8">
        <v>29944</v>
      </c>
      <c r="E47" s="3">
        <v>754.8</v>
      </c>
      <c r="F47" s="2">
        <v>2024</v>
      </c>
      <c r="G47" s="2" t="s">
        <v>87</v>
      </c>
      <c r="H47" s="2" t="s">
        <v>29</v>
      </c>
      <c r="I47" s="2" t="s">
        <v>78</v>
      </c>
      <c r="J47" s="2" t="s">
        <v>102</v>
      </c>
      <c r="K47" s="2" t="s">
        <v>32</v>
      </c>
      <c r="L47" s="2" t="s">
        <v>63</v>
      </c>
      <c r="M47" s="8">
        <v>45335</v>
      </c>
      <c r="N47" s="2" t="s">
        <v>214</v>
      </c>
      <c r="O47" s="8">
        <v>45335</v>
      </c>
      <c r="P47" s="8">
        <v>45340</v>
      </c>
      <c r="Q47" s="2" t="s">
        <v>74</v>
      </c>
      <c r="R47" s="2" t="s">
        <v>104</v>
      </c>
      <c r="S47" s="2">
        <v>802559</v>
      </c>
      <c r="T47" s="2" t="s">
        <v>135</v>
      </c>
      <c r="U47" s="2" t="s">
        <v>136</v>
      </c>
      <c r="V47" s="2" t="s">
        <v>215</v>
      </c>
      <c r="W47" s="2">
        <v>2</v>
      </c>
      <c r="X47" s="4">
        <v>0</v>
      </c>
      <c r="Y47" s="3">
        <v>221.56</v>
      </c>
    </row>
    <row r="48" spans="1:25" x14ac:dyDescent="0.3">
      <c r="A48" s="2" t="s">
        <v>209</v>
      </c>
      <c r="B48" s="2" t="s">
        <v>210</v>
      </c>
      <c r="C48" s="2" t="s">
        <v>211</v>
      </c>
      <c r="D48" s="8">
        <v>29944</v>
      </c>
      <c r="E48" s="3">
        <v>2598.25</v>
      </c>
      <c r="F48" s="2">
        <v>2024</v>
      </c>
      <c r="G48" s="2" t="s">
        <v>28</v>
      </c>
      <c r="H48" s="2" t="s">
        <v>29</v>
      </c>
      <c r="I48" s="2" t="s">
        <v>78</v>
      </c>
      <c r="J48" s="2" t="s">
        <v>102</v>
      </c>
      <c r="K48" s="2" t="s">
        <v>32</v>
      </c>
      <c r="L48" s="2" t="s">
        <v>63</v>
      </c>
      <c r="M48" s="8">
        <v>45352</v>
      </c>
      <c r="N48" s="2" t="s">
        <v>216</v>
      </c>
      <c r="O48" s="8">
        <v>45350</v>
      </c>
      <c r="P48" s="8">
        <v>45353</v>
      </c>
      <c r="Q48" s="2" t="s">
        <v>35</v>
      </c>
      <c r="R48" s="2" t="s">
        <v>104</v>
      </c>
      <c r="S48" s="2">
        <v>705991</v>
      </c>
      <c r="T48" s="2" t="s">
        <v>80</v>
      </c>
      <c r="U48" s="2" t="s">
        <v>81</v>
      </c>
      <c r="V48" s="2" t="s">
        <v>217</v>
      </c>
      <c r="W48" s="2">
        <v>7</v>
      </c>
      <c r="X48" s="4">
        <v>0.15</v>
      </c>
      <c r="Y48" s="3">
        <v>170.01</v>
      </c>
    </row>
    <row r="49" spans="1:25" x14ac:dyDescent="0.3">
      <c r="A49" s="2" t="s">
        <v>209</v>
      </c>
      <c r="B49" s="2" t="s">
        <v>210</v>
      </c>
      <c r="C49" s="2" t="s">
        <v>211</v>
      </c>
      <c r="D49" s="8">
        <v>29944</v>
      </c>
      <c r="E49" s="3">
        <v>1021.12</v>
      </c>
      <c r="F49" s="2">
        <v>2024</v>
      </c>
      <c r="G49" s="2" t="s">
        <v>48</v>
      </c>
      <c r="H49" s="2" t="s">
        <v>29</v>
      </c>
      <c r="I49" s="2" t="s">
        <v>30</v>
      </c>
      <c r="J49" s="2" t="s">
        <v>102</v>
      </c>
      <c r="K49" s="2" t="s">
        <v>32</v>
      </c>
      <c r="L49" s="2" t="s">
        <v>63</v>
      </c>
      <c r="M49" s="8">
        <v>45354</v>
      </c>
      <c r="N49" s="2" t="s">
        <v>218</v>
      </c>
      <c r="O49" s="8">
        <v>45352</v>
      </c>
      <c r="P49" s="8">
        <v>45357</v>
      </c>
      <c r="Q49" s="2" t="s">
        <v>74</v>
      </c>
      <c r="R49" s="2" t="s">
        <v>104</v>
      </c>
      <c r="S49" s="2">
        <v>701987</v>
      </c>
      <c r="T49" s="2" t="s">
        <v>75</v>
      </c>
      <c r="U49" s="2" t="s">
        <v>76</v>
      </c>
      <c r="V49" s="2" t="s">
        <v>219</v>
      </c>
      <c r="W49" s="2">
        <v>8</v>
      </c>
      <c r="X49" s="4">
        <v>0</v>
      </c>
      <c r="Y49" s="3">
        <v>158.31</v>
      </c>
    </row>
    <row r="50" spans="1:25" x14ac:dyDescent="0.3">
      <c r="A50" s="2" t="s">
        <v>209</v>
      </c>
      <c r="B50" s="2" t="s">
        <v>210</v>
      </c>
      <c r="C50" s="2" t="s">
        <v>211</v>
      </c>
      <c r="D50" s="8">
        <v>29944</v>
      </c>
      <c r="E50" s="3">
        <v>3512.02</v>
      </c>
      <c r="F50" s="2">
        <v>2024</v>
      </c>
      <c r="G50" s="2" t="s">
        <v>87</v>
      </c>
      <c r="H50" s="2" t="s">
        <v>29</v>
      </c>
      <c r="I50" s="2" t="s">
        <v>61</v>
      </c>
      <c r="J50" s="2" t="s">
        <v>102</v>
      </c>
      <c r="K50" s="2" t="s">
        <v>32</v>
      </c>
      <c r="L50" s="2" t="s">
        <v>63</v>
      </c>
      <c r="M50" s="8">
        <v>45391</v>
      </c>
      <c r="N50" s="2" t="s">
        <v>220</v>
      </c>
      <c r="O50" s="8">
        <v>45391</v>
      </c>
      <c r="P50" s="8">
        <v>45396</v>
      </c>
      <c r="Q50" s="2" t="s">
        <v>74</v>
      </c>
      <c r="R50" s="2" t="s">
        <v>104</v>
      </c>
      <c r="S50" s="2">
        <v>130359</v>
      </c>
      <c r="T50" s="2" t="s">
        <v>113</v>
      </c>
      <c r="U50" s="2" t="s">
        <v>114</v>
      </c>
      <c r="V50" s="2" t="s">
        <v>221</v>
      </c>
      <c r="W50" s="2">
        <v>9</v>
      </c>
      <c r="X50" s="4">
        <v>0.2</v>
      </c>
      <c r="Y50" s="3">
        <v>830.65</v>
      </c>
    </row>
    <row r="51" spans="1:25" x14ac:dyDescent="0.3">
      <c r="A51" s="2" t="s">
        <v>209</v>
      </c>
      <c r="B51" s="2" t="s">
        <v>210</v>
      </c>
      <c r="C51" s="2" t="s">
        <v>211</v>
      </c>
      <c r="D51" s="8">
        <v>29944</v>
      </c>
      <c r="E51" s="3">
        <v>2311.6999999999998</v>
      </c>
      <c r="F51" s="2">
        <v>2025</v>
      </c>
      <c r="G51" s="2" t="s">
        <v>87</v>
      </c>
      <c r="H51" s="2" t="s">
        <v>29</v>
      </c>
      <c r="I51" s="2" t="s">
        <v>61</v>
      </c>
      <c r="J51" s="2" t="s">
        <v>102</v>
      </c>
      <c r="K51" s="2" t="s">
        <v>32</v>
      </c>
      <c r="L51" s="2" t="s">
        <v>63</v>
      </c>
      <c r="M51" s="8">
        <v>45776</v>
      </c>
      <c r="N51" s="2" t="s">
        <v>222</v>
      </c>
      <c r="O51" s="8">
        <v>45774</v>
      </c>
      <c r="P51" s="8">
        <v>45776</v>
      </c>
      <c r="Q51" s="2" t="s">
        <v>41</v>
      </c>
      <c r="R51" s="2" t="s">
        <v>104</v>
      </c>
      <c r="S51" s="2">
        <v>172965</v>
      </c>
      <c r="T51" s="2" t="s">
        <v>204</v>
      </c>
      <c r="U51" s="2" t="s">
        <v>205</v>
      </c>
      <c r="V51" s="2" t="s">
        <v>223</v>
      </c>
      <c r="W51" s="2">
        <v>5</v>
      </c>
      <c r="X51" s="4">
        <v>0</v>
      </c>
      <c r="Y51" s="3">
        <v>119.82</v>
      </c>
    </row>
    <row r="52" spans="1:25" x14ac:dyDescent="0.3">
      <c r="A52" s="2" t="s">
        <v>224</v>
      </c>
      <c r="B52" s="2" t="s">
        <v>225</v>
      </c>
      <c r="C52" s="2" t="s">
        <v>226</v>
      </c>
      <c r="D52" s="8">
        <v>29668</v>
      </c>
      <c r="E52" s="3">
        <v>1664.25</v>
      </c>
      <c r="F52" s="2">
        <v>2023</v>
      </c>
      <c r="G52" s="2" t="s">
        <v>48</v>
      </c>
      <c r="H52" s="2" t="s">
        <v>29</v>
      </c>
      <c r="I52" s="2" t="s">
        <v>78</v>
      </c>
      <c r="J52" s="2" t="s">
        <v>227</v>
      </c>
      <c r="K52" s="2" t="s">
        <v>32</v>
      </c>
      <c r="L52" s="2" t="s">
        <v>63</v>
      </c>
      <c r="M52" s="8">
        <v>44958</v>
      </c>
      <c r="N52" s="2" t="s">
        <v>228</v>
      </c>
      <c r="O52" s="8">
        <v>44958</v>
      </c>
      <c r="P52" s="8">
        <v>44961</v>
      </c>
      <c r="Q52" s="2" t="s">
        <v>121</v>
      </c>
      <c r="R52" s="2" t="s">
        <v>229</v>
      </c>
      <c r="S52" s="2">
        <v>265056</v>
      </c>
      <c r="T52" s="2" t="s">
        <v>89</v>
      </c>
      <c r="U52" s="2" t="s">
        <v>90</v>
      </c>
      <c r="V52" s="2" t="s">
        <v>230</v>
      </c>
      <c r="W52" s="2">
        <v>7</v>
      </c>
      <c r="X52" s="4">
        <v>0</v>
      </c>
      <c r="Y52" s="3">
        <v>267.97000000000003</v>
      </c>
    </row>
    <row r="53" spans="1:25" x14ac:dyDescent="0.3">
      <c r="A53" s="2" t="s">
        <v>224</v>
      </c>
      <c r="B53" s="2" t="s">
        <v>225</v>
      </c>
      <c r="C53" s="2" t="s">
        <v>226</v>
      </c>
      <c r="D53" s="8">
        <v>29668</v>
      </c>
      <c r="E53" s="3">
        <v>256.04000000000002</v>
      </c>
      <c r="F53" s="2">
        <v>2024</v>
      </c>
      <c r="G53" s="2" t="s">
        <v>28</v>
      </c>
      <c r="H53" s="2" t="s">
        <v>29</v>
      </c>
      <c r="I53" s="2" t="s">
        <v>30</v>
      </c>
      <c r="J53" s="2" t="s">
        <v>227</v>
      </c>
      <c r="K53" s="2" t="s">
        <v>32</v>
      </c>
      <c r="L53" s="2" t="s">
        <v>63</v>
      </c>
      <c r="M53" s="8">
        <v>45578</v>
      </c>
      <c r="N53" s="2" t="s">
        <v>231</v>
      </c>
      <c r="O53" s="8">
        <v>45575</v>
      </c>
      <c r="P53" s="8">
        <v>45580</v>
      </c>
      <c r="Q53" s="2" t="s">
        <v>74</v>
      </c>
      <c r="R53" s="2" t="s">
        <v>229</v>
      </c>
      <c r="S53" s="2">
        <v>326040</v>
      </c>
      <c r="T53" s="2" t="s">
        <v>75</v>
      </c>
      <c r="U53" s="2" t="s">
        <v>76</v>
      </c>
      <c r="V53" s="2" t="s">
        <v>232</v>
      </c>
      <c r="W53" s="2">
        <v>2</v>
      </c>
      <c r="X53" s="4">
        <v>0.15</v>
      </c>
      <c r="Y53" s="3">
        <v>45.37</v>
      </c>
    </row>
    <row r="54" spans="1:25" x14ac:dyDescent="0.3">
      <c r="A54" s="2" t="s">
        <v>233</v>
      </c>
      <c r="B54" s="2" t="s">
        <v>234</v>
      </c>
      <c r="C54" s="2" t="s">
        <v>101</v>
      </c>
      <c r="D54" s="8">
        <v>34577</v>
      </c>
      <c r="E54" s="3">
        <v>2183.44</v>
      </c>
      <c r="F54" s="2">
        <v>2023</v>
      </c>
      <c r="G54" s="2" t="s">
        <v>48</v>
      </c>
      <c r="H54" s="2" t="s">
        <v>29</v>
      </c>
      <c r="I54" s="2" t="s">
        <v>49</v>
      </c>
      <c r="J54" s="2" t="s">
        <v>31</v>
      </c>
      <c r="K54" s="2" t="s">
        <v>32</v>
      </c>
      <c r="L54" s="2" t="s">
        <v>33</v>
      </c>
      <c r="M54" s="8">
        <v>45044</v>
      </c>
      <c r="N54" s="2" t="s">
        <v>235</v>
      </c>
      <c r="O54" s="8">
        <v>45040</v>
      </c>
      <c r="P54" s="8">
        <v>45044</v>
      </c>
      <c r="Q54" s="2" t="s">
        <v>35</v>
      </c>
      <c r="R54" s="2" t="s">
        <v>236</v>
      </c>
      <c r="S54" s="2">
        <v>314353</v>
      </c>
      <c r="T54" s="2" t="s">
        <v>51</v>
      </c>
      <c r="U54" s="2" t="s">
        <v>52</v>
      </c>
      <c r="V54" s="2" t="s">
        <v>237</v>
      </c>
      <c r="W54" s="2">
        <v>8</v>
      </c>
      <c r="X54" s="4">
        <v>0</v>
      </c>
      <c r="Y54" s="3">
        <v>138.91999999999999</v>
      </c>
    </row>
    <row r="55" spans="1:25" x14ac:dyDescent="0.3">
      <c r="A55" s="2" t="s">
        <v>233</v>
      </c>
      <c r="B55" s="2" t="s">
        <v>234</v>
      </c>
      <c r="C55" s="2" t="s">
        <v>101</v>
      </c>
      <c r="D55" s="8">
        <v>34577</v>
      </c>
      <c r="E55" s="3">
        <v>1160.4000000000001</v>
      </c>
      <c r="F55" s="2">
        <v>2023</v>
      </c>
      <c r="G55" s="2" t="s">
        <v>87</v>
      </c>
      <c r="H55" s="2" t="s">
        <v>29</v>
      </c>
      <c r="I55" s="2" t="s">
        <v>43</v>
      </c>
      <c r="J55" s="2" t="s">
        <v>31</v>
      </c>
      <c r="K55" s="2" t="s">
        <v>32</v>
      </c>
      <c r="L55" s="2" t="s">
        <v>33</v>
      </c>
      <c r="M55" s="8">
        <v>45044</v>
      </c>
      <c r="N55" s="2" t="s">
        <v>238</v>
      </c>
      <c r="O55" s="8">
        <v>45043</v>
      </c>
      <c r="P55" s="8">
        <v>45044</v>
      </c>
      <c r="Q55" s="2" t="s">
        <v>41</v>
      </c>
      <c r="R55" s="2" t="s">
        <v>236</v>
      </c>
      <c r="S55" s="2">
        <v>284229</v>
      </c>
      <c r="T55" s="2" t="s">
        <v>45</v>
      </c>
      <c r="U55" s="2" t="s">
        <v>46</v>
      </c>
      <c r="V55" s="2" t="s">
        <v>239</v>
      </c>
      <c r="W55" s="2">
        <v>3</v>
      </c>
      <c r="X55" s="4">
        <v>0</v>
      </c>
      <c r="Y55" s="3">
        <v>172.25</v>
      </c>
    </row>
    <row r="56" spans="1:25" x14ac:dyDescent="0.3">
      <c r="A56" s="2" t="s">
        <v>233</v>
      </c>
      <c r="B56" s="2" t="s">
        <v>234</v>
      </c>
      <c r="C56" s="2" t="s">
        <v>101</v>
      </c>
      <c r="D56" s="8">
        <v>34577</v>
      </c>
      <c r="E56" s="3">
        <v>832.42</v>
      </c>
      <c r="F56" s="2">
        <v>2023</v>
      </c>
      <c r="G56" s="2" t="s">
        <v>28</v>
      </c>
      <c r="H56" s="2" t="s">
        <v>29</v>
      </c>
      <c r="I56" s="2" t="s">
        <v>61</v>
      </c>
      <c r="J56" s="2" t="s">
        <v>31</v>
      </c>
      <c r="K56" s="2" t="s">
        <v>32</v>
      </c>
      <c r="L56" s="2" t="s">
        <v>33</v>
      </c>
      <c r="M56" s="8">
        <v>45217</v>
      </c>
      <c r="N56" s="2" t="s">
        <v>240</v>
      </c>
      <c r="O56" s="8">
        <v>45217</v>
      </c>
      <c r="P56" s="8">
        <v>45220</v>
      </c>
      <c r="Q56" s="2" t="s">
        <v>35</v>
      </c>
      <c r="R56" s="2" t="s">
        <v>236</v>
      </c>
      <c r="S56" s="2">
        <v>557409</v>
      </c>
      <c r="T56" s="2" t="s">
        <v>113</v>
      </c>
      <c r="U56" s="2" t="s">
        <v>114</v>
      </c>
      <c r="V56" s="2" t="s">
        <v>241</v>
      </c>
      <c r="W56" s="2">
        <v>4</v>
      </c>
      <c r="X56" s="4">
        <v>0.2</v>
      </c>
      <c r="Y56" s="3">
        <v>208.45</v>
      </c>
    </row>
    <row r="57" spans="1:25" x14ac:dyDescent="0.3">
      <c r="A57" s="2" t="s">
        <v>233</v>
      </c>
      <c r="B57" s="2" t="s">
        <v>234</v>
      </c>
      <c r="C57" s="2" t="s">
        <v>101</v>
      </c>
      <c r="D57" s="8">
        <v>34577</v>
      </c>
      <c r="E57" s="3">
        <v>1600.34</v>
      </c>
      <c r="F57" s="2">
        <v>2023</v>
      </c>
      <c r="G57" s="2" t="s">
        <v>48</v>
      </c>
      <c r="H57" s="2" t="s">
        <v>29</v>
      </c>
      <c r="I57" s="2" t="s">
        <v>78</v>
      </c>
      <c r="J57" s="2" t="s">
        <v>31</v>
      </c>
      <c r="K57" s="2" t="s">
        <v>32</v>
      </c>
      <c r="L57" s="2" t="s">
        <v>33</v>
      </c>
      <c r="M57" s="8">
        <v>45282</v>
      </c>
      <c r="N57" s="2" t="s">
        <v>242</v>
      </c>
      <c r="O57" s="8">
        <v>45280</v>
      </c>
      <c r="P57" s="8">
        <v>45284</v>
      </c>
      <c r="Q57" s="2" t="s">
        <v>41</v>
      </c>
      <c r="R57" s="2" t="s">
        <v>236</v>
      </c>
      <c r="S57" s="2">
        <v>121869</v>
      </c>
      <c r="T57" s="2" t="s">
        <v>80</v>
      </c>
      <c r="U57" s="2" t="s">
        <v>81</v>
      </c>
      <c r="V57" s="2" t="s">
        <v>243</v>
      </c>
      <c r="W57" s="2">
        <v>6</v>
      </c>
      <c r="X57" s="4">
        <v>0.1</v>
      </c>
      <c r="Y57" s="3">
        <v>274.18</v>
      </c>
    </row>
    <row r="58" spans="1:25" x14ac:dyDescent="0.3">
      <c r="A58" s="2" t="s">
        <v>233</v>
      </c>
      <c r="B58" s="2" t="s">
        <v>234</v>
      </c>
      <c r="C58" s="2" t="s">
        <v>101</v>
      </c>
      <c r="D58" s="8">
        <v>34577</v>
      </c>
      <c r="E58" s="3">
        <v>2047.22</v>
      </c>
      <c r="F58" s="2">
        <v>2024</v>
      </c>
      <c r="G58" s="2" t="s">
        <v>48</v>
      </c>
      <c r="H58" s="2" t="s">
        <v>29</v>
      </c>
      <c r="I58" s="2" t="s">
        <v>43</v>
      </c>
      <c r="J58" s="2" t="s">
        <v>31</v>
      </c>
      <c r="K58" s="2" t="s">
        <v>32</v>
      </c>
      <c r="L58" s="2" t="s">
        <v>33</v>
      </c>
      <c r="M58" s="8">
        <v>45368</v>
      </c>
      <c r="N58" s="2" t="s">
        <v>244</v>
      </c>
      <c r="O58" s="8">
        <v>45367</v>
      </c>
      <c r="P58" s="8">
        <v>45368</v>
      </c>
      <c r="Q58" s="2" t="s">
        <v>121</v>
      </c>
      <c r="R58" s="2" t="s">
        <v>236</v>
      </c>
      <c r="S58" s="2">
        <v>556839</v>
      </c>
      <c r="T58" s="2" t="s">
        <v>45</v>
      </c>
      <c r="U58" s="2" t="s">
        <v>46</v>
      </c>
      <c r="V58" s="2" t="s">
        <v>245</v>
      </c>
      <c r="W58" s="2">
        <v>10</v>
      </c>
      <c r="X58" s="4">
        <v>0.15</v>
      </c>
      <c r="Y58" s="3">
        <v>667.25</v>
      </c>
    </row>
    <row r="59" spans="1:25" x14ac:dyDescent="0.3">
      <c r="A59" s="2" t="s">
        <v>246</v>
      </c>
      <c r="B59" s="2" t="s">
        <v>247</v>
      </c>
      <c r="C59" s="2" t="s">
        <v>248</v>
      </c>
      <c r="D59" s="8">
        <v>25397</v>
      </c>
      <c r="E59" s="3">
        <v>719.48</v>
      </c>
      <c r="F59" s="2">
        <v>2023</v>
      </c>
      <c r="G59" s="2" t="s">
        <v>28</v>
      </c>
      <c r="H59" s="2" t="s">
        <v>29</v>
      </c>
      <c r="I59" s="2" t="s">
        <v>43</v>
      </c>
      <c r="J59" s="2" t="s">
        <v>143</v>
      </c>
      <c r="K59" s="2" t="s">
        <v>32</v>
      </c>
      <c r="L59" s="2" t="s">
        <v>144</v>
      </c>
      <c r="M59" s="8">
        <v>45007</v>
      </c>
      <c r="N59" s="2" t="s">
        <v>249</v>
      </c>
      <c r="O59" s="8">
        <v>45007</v>
      </c>
      <c r="P59" s="8">
        <v>45008</v>
      </c>
      <c r="Q59" s="2" t="s">
        <v>74</v>
      </c>
      <c r="R59" s="2" t="s">
        <v>250</v>
      </c>
      <c r="S59" s="2">
        <v>862712</v>
      </c>
      <c r="T59" s="2" t="s">
        <v>70</v>
      </c>
      <c r="U59" s="2" t="s">
        <v>71</v>
      </c>
      <c r="V59" s="2" t="s">
        <v>251</v>
      </c>
      <c r="W59" s="2">
        <v>4</v>
      </c>
      <c r="X59" s="4">
        <v>0</v>
      </c>
      <c r="Y59" s="3">
        <v>52.46</v>
      </c>
    </row>
    <row r="60" spans="1:25" x14ac:dyDescent="0.3">
      <c r="A60" s="2" t="s">
        <v>246</v>
      </c>
      <c r="B60" s="2" t="s">
        <v>247</v>
      </c>
      <c r="C60" s="2" t="s">
        <v>248</v>
      </c>
      <c r="D60" s="8">
        <v>25397</v>
      </c>
      <c r="E60" s="3">
        <v>180.58</v>
      </c>
      <c r="F60" s="2">
        <v>2024</v>
      </c>
      <c r="G60" s="2" t="s">
        <v>48</v>
      </c>
      <c r="H60" s="2" t="s">
        <v>29</v>
      </c>
      <c r="I60" s="2" t="s">
        <v>49</v>
      </c>
      <c r="J60" s="2" t="s">
        <v>143</v>
      </c>
      <c r="K60" s="2" t="s">
        <v>32</v>
      </c>
      <c r="L60" s="2" t="s">
        <v>144</v>
      </c>
      <c r="M60" s="8">
        <v>45334</v>
      </c>
      <c r="N60" s="2" t="s">
        <v>252</v>
      </c>
      <c r="O60" s="8">
        <v>45332</v>
      </c>
      <c r="P60" s="8">
        <v>45334</v>
      </c>
      <c r="Q60" s="2" t="s">
        <v>121</v>
      </c>
      <c r="R60" s="2" t="s">
        <v>250</v>
      </c>
      <c r="S60" s="2">
        <v>910389</v>
      </c>
      <c r="T60" s="2" t="s">
        <v>109</v>
      </c>
      <c r="U60" s="2" t="s">
        <v>110</v>
      </c>
      <c r="V60" s="2" t="s">
        <v>253</v>
      </c>
      <c r="W60" s="2">
        <v>2</v>
      </c>
      <c r="X60" s="4">
        <v>0</v>
      </c>
      <c r="Y60" s="3">
        <v>18.43</v>
      </c>
    </row>
    <row r="61" spans="1:25" x14ac:dyDescent="0.3">
      <c r="A61" s="2" t="s">
        <v>246</v>
      </c>
      <c r="B61" s="2" t="s">
        <v>247</v>
      </c>
      <c r="C61" s="2" t="s">
        <v>248</v>
      </c>
      <c r="D61" s="8">
        <v>25397</v>
      </c>
      <c r="E61" s="3">
        <v>3655.03</v>
      </c>
      <c r="F61" s="2">
        <v>2024</v>
      </c>
      <c r="G61" s="2" t="s">
        <v>87</v>
      </c>
      <c r="H61" s="2" t="s">
        <v>29</v>
      </c>
      <c r="I61" s="2" t="s">
        <v>49</v>
      </c>
      <c r="J61" s="2" t="s">
        <v>143</v>
      </c>
      <c r="K61" s="2" t="s">
        <v>32</v>
      </c>
      <c r="L61" s="2" t="s">
        <v>144</v>
      </c>
      <c r="M61" s="8">
        <v>45468</v>
      </c>
      <c r="N61" s="2" t="s">
        <v>254</v>
      </c>
      <c r="O61" s="8">
        <v>45463</v>
      </c>
      <c r="P61" s="8">
        <v>45468</v>
      </c>
      <c r="Q61" s="2" t="s">
        <v>74</v>
      </c>
      <c r="R61" s="2" t="s">
        <v>250</v>
      </c>
      <c r="S61" s="2">
        <v>757685</v>
      </c>
      <c r="T61" s="2" t="s">
        <v>84</v>
      </c>
      <c r="U61" s="2" t="s">
        <v>85</v>
      </c>
      <c r="V61" s="2" t="s">
        <v>255</v>
      </c>
      <c r="W61" s="2">
        <v>10</v>
      </c>
      <c r="X61" s="4">
        <v>0.05</v>
      </c>
      <c r="Y61" s="3">
        <v>929.62</v>
      </c>
    </row>
    <row r="62" spans="1:25" x14ac:dyDescent="0.3">
      <c r="A62" s="2" t="s">
        <v>246</v>
      </c>
      <c r="B62" s="2" t="s">
        <v>247</v>
      </c>
      <c r="C62" s="2" t="s">
        <v>248</v>
      </c>
      <c r="D62" s="8">
        <v>25397</v>
      </c>
      <c r="E62" s="3">
        <v>416.64</v>
      </c>
      <c r="F62" s="2">
        <v>2025</v>
      </c>
      <c r="G62" s="2" t="s">
        <v>28</v>
      </c>
      <c r="H62" s="2" t="s">
        <v>29</v>
      </c>
      <c r="I62" s="2" t="s">
        <v>43</v>
      </c>
      <c r="J62" s="2" t="s">
        <v>143</v>
      </c>
      <c r="K62" s="2" t="s">
        <v>32</v>
      </c>
      <c r="L62" s="2" t="s">
        <v>144</v>
      </c>
      <c r="M62" s="8">
        <v>45818</v>
      </c>
      <c r="N62" s="2" t="s">
        <v>256</v>
      </c>
      <c r="O62" s="8">
        <v>45818</v>
      </c>
      <c r="P62" s="8">
        <v>45821</v>
      </c>
      <c r="Q62" s="2" t="s">
        <v>35</v>
      </c>
      <c r="R62" s="2" t="s">
        <v>250</v>
      </c>
      <c r="S62" s="2">
        <v>425486</v>
      </c>
      <c r="T62" s="2" t="s">
        <v>45</v>
      </c>
      <c r="U62" s="2" t="s">
        <v>46</v>
      </c>
      <c r="V62" s="2" t="s">
        <v>257</v>
      </c>
      <c r="W62" s="2">
        <v>2</v>
      </c>
      <c r="X62" s="4">
        <v>0.15</v>
      </c>
      <c r="Y62" s="3">
        <v>58.68</v>
      </c>
    </row>
    <row r="63" spans="1:25" x14ac:dyDescent="0.3">
      <c r="A63" s="2" t="s">
        <v>258</v>
      </c>
      <c r="B63" s="2" t="s">
        <v>26</v>
      </c>
      <c r="C63" s="2" t="s">
        <v>259</v>
      </c>
      <c r="D63" s="8">
        <v>29720</v>
      </c>
      <c r="E63" s="3">
        <v>567.36</v>
      </c>
      <c r="F63" s="2">
        <v>2023</v>
      </c>
      <c r="G63" s="2" t="s">
        <v>87</v>
      </c>
      <c r="H63" s="2" t="s">
        <v>163</v>
      </c>
      <c r="I63" s="2" t="s">
        <v>43</v>
      </c>
      <c r="J63" s="2" t="s">
        <v>31</v>
      </c>
      <c r="K63" s="2" t="s">
        <v>32</v>
      </c>
      <c r="L63" s="2" t="s">
        <v>144</v>
      </c>
      <c r="M63" s="8">
        <v>44969</v>
      </c>
      <c r="N63" s="2" t="s">
        <v>260</v>
      </c>
      <c r="O63" s="8">
        <v>44965</v>
      </c>
      <c r="P63" s="8">
        <v>44970</v>
      </c>
      <c r="Q63" s="2" t="s">
        <v>35</v>
      </c>
      <c r="R63" s="2" t="s">
        <v>261</v>
      </c>
      <c r="S63" s="2">
        <v>571579</v>
      </c>
      <c r="T63" s="2" t="s">
        <v>45</v>
      </c>
      <c r="U63" s="2" t="s">
        <v>46</v>
      </c>
      <c r="V63" s="2" t="s">
        <v>262</v>
      </c>
      <c r="W63" s="2">
        <v>2</v>
      </c>
      <c r="X63" s="4">
        <v>0.1</v>
      </c>
      <c r="Y63" s="3">
        <v>93.81</v>
      </c>
    </row>
    <row r="64" spans="1:25" x14ac:dyDescent="0.3">
      <c r="A64" s="2" t="s">
        <v>258</v>
      </c>
      <c r="B64" s="2" t="s">
        <v>26</v>
      </c>
      <c r="C64" s="2" t="s">
        <v>259</v>
      </c>
      <c r="D64" s="8">
        <v>29720</v>
      </c>
      <c r="E64" s="3">
        <v>1676.16</v>
      </c>
      <c r="F64" s="2">
        <v>2023</v>
      </c>
      <c r="G64" s="2" t="s">
        <v>48</v>
      </c>
      <c r="H64" s="2" t="s">
        <v>163</v>
      </c>
      <c r="I64" s="2" t="s">
        <v>30</v>
      </c>
      <c r="J64" s="2" t="s">
        <v>31</v>
      </c>
      <c r="K64" s="2" t="s">
        <v>32</v>
      </c>
      <c r="L64" s="2" t="s">
        <v>144</v>
      </c>
      <c r="M64" s="8">
        <v>44986</v>
      </c>
      <c r="N64" s="2" t="s">
        <v>263</v>
      </c>
      <c r="O64" s="8">
        <v>44985</v>
      </c>
      <c r="P64" s="8">
        <v>44986</v>
      </c>
      <c r="Q64" s="2" t="s">
        <v>74</v>
      </c>
      <c r="R64" s="2" t="s">
        <v>261</v>
      </c>
      <c r="S64" s="2">
        <v>849014</v>
      </c>
      <c r="T64" s="2" t="s">
        <v>55</v>
      </c>
      <c r="U64" s="2" t="s">
        <v>56</v>
      </c>
      <c r="V64" s="2" t="s">
        <v>264</v>
      </c>
      <c r="W64" s="2">
        <v>6</v>
      </c>
      <c r="X64" s="4">
        <v>0.1</v>
      </c>
      <c r="Y64" s="3">
        <v>159.66999999999999</v>
      </c>
    </row>
    <row r="65" spans="1:25" x14ac:dyDescent="0.3">
      <c r="A65" s="2" t="s">
        <v>258</v>
      </c>
      <c r="B65" s="2" t="s">
        <v>26</v>
      </c>
      <c r="C65" s="2" t="s">
        <v>259</v>
      </c>
      <c r="D65" s="8">
        <v>29720</v>
      </c>
      <c r="E65" s="3">
        <v>1366.71</v>
      </c>
      <c r="F65" s="2">
        <v>2024</v>
      </c>
      <c r="G65" s="2" t="s">
        <v>28</v>
      </c>
      <c r="H65" s="2" t="s">
        <v>163</v>
      </c>
      <c r="I65" s="2" t="s">
        <v>78</v>
      </c>
      <c r="J65" s="2" t="s">
        <v>31</v>
      </c>
      <c r="K65" s="2" t="s">
        <v>32</v>
      </c>
      <c r="L65" s="2" t="s">
        <v>144</v>
      </c>
      <c r="M65" s="8">
        <v>45305</v>
      </c>
      <c r="N65" s="2" t="s">
        <v>265</v>
      </c>
      <c r="O65" s="8">
        <v>45304</v>
      </c>
      <c r="P65" s="8">
        <v>45309</v>
      </c>
      <c r="Q65" s="2" t="s">
        <v>74</v>
      </c>
      <c r="R65" s="2" t="s">
        <v>261</v>
      </c>
      <c r="S65" s="2">
        <v>396635</v>
      </c>
      <c r="T65" s="2" t="s">
        <v>89</v>
      </c>
      <c r="U65" s="2" t="s">
        <v>90</v>
      </c>
      <c r="V65" s="2" t="s">
        <v>266</v>
      </c>
      <c r="W65" s="2">
        <v>4</v>
      </c>
      <c r="X65" s="4">
        <v>0.05</v>
      </c>
      <c r="Y65" s="3">
        <v>283.20999999999998</v>
      </c>
    </row>
    <row r="66" spans="1:25" x14ac:dyDescent="0.3">
      <c r="A66" s="2" t="s">
        <v>258</v>
      </c>
      <c r="B66" s="2" t="s">
        <v>26</v>
      </c>
      <c r="C66" s="2" t="s">
        <v>259</v>
      </c>
      <c r="D66" s="8">
        <v>29720</v>
      </c>
      <c r="E66" s="3">
        <v>2075.2199999999998</v>
      </c>
      <c r="F66" s="2">
        <v>2025</v>
      </c>
      <c r="G66" s="2" t="s">
        <v>28</v>
      </c>
      <c r="H66" s="2" t="s">
        <v>163</v>
      </c>
      <c r="I66" s="2" t="s">
        <v>92</v>
      </c>
      <c r="J66" s="2" t="s">
        <v>31</v>
      </c>
      <c r="K66" s="2" t="s">
        <v>32</v>
      </c>
      <c r="L66" s="2" t="s">
        <v>144</v>
      </c>
      <c r="M66" s="8">
        <v>45778</v>
      </c>
      <c r="N66" s="2" t="s">
        <v>267</v>
      </c>
      <c r="O66" s="8">
        <v>45778</v>
      </c>
      <c r="P66" s="8">
        <v>45781</v>
      </c>
      <c r="Q66" s="2" t="s">
        <v>35</v>
      </c>
      <c r="R66" s="2" t="s">
        <v>261</v>
      </c>
      <c r="S66" s="2">
        <v>685066</v>
      </c>
      <c r="T66" s="2" t="s">
        <v>127</v>
      </c>
      <c r="U66" s="2" t="s">
        <v>128</v>
      </c>
      <c r="V66" s="2" t="s">
        <v>268</v>
      </c>
      <c r="W66" s="2">
        <v>6</v>
      </c>
      <c r="X66" s="4">
        <v>0</v>
      </c>
      <c r="Y66" s="3">
        <v>595.11</v>
      </c>
    </row>
    <row r="67" spans="1:25" x14ac:dyDescent="0.3">
      <c r="A67" s="2" t="s">
        <v>269</v>
      </c>
      <c r="B67" s="2" t="s">
        <v>270</v>
      </c>
      <c r="C67" s="2" t="s">
        <v>271</v>
      </c>
      <c r="D67" s="8">
        <v>28117</v>
      </c>
      <c r="E67" s="3">
        <v>599.41999999999996</v>
      </c>
      <c r="F67" s="2">
        <v>2023</v>
      </c>
      <c r="G67" s="2" t="s">
        <v>48</v>
      </c>
      <c r="H67" s="2" t="s">
        <v>29</v>
      </c>
      <c r="I67" s="2" t="s">
        <v>30</v>
      </c>
      <c r="J67" s="2" t="s">
        <v>102</v>
      </c>
      <c r="K67" s="2" t="s">
        <v>32</v>
      </c>
      <c r="L67" s="2" t="s">
        <v>63</v>
      </c>
      <c r="M67" s="8">
        <v>45188</v>
      </c>
      <c r="N67" s="2" t="s">
        <v>272</v>
      </c>
      <c r="O67" s="8">
        <v>45185</v>
      </c>
      <c r="P67" s="8">
        <v>45188</v>
      </c>
      <c r="Q67" s="2" t="s">
        <v>35</v>
      </c>
      <c r="R67" s="2" t="s">
        <v>104</v>
      </c>
      <c r="S67" s="2">
        <v>424620</v>
      </c>
      <c r="T67" s="2" t="s">
        <v>75</v>
      </c>
      <c r="U67" s="2" t="s">
        <v>76</v>
      </c>
      <c r="V67" s="2" t="s">
        <v>273</v>
      </c>
      <c r="W67" s="2">
        <v>2</v>
      </c>
      <c r="X67" s="4">
        <v>0</v>
      </c>
      <c r="Y67" s="3">
        <v>194.83</v>
      </c>
    </row>
    <row r="68" spans="1:25" x14ac:dyDescent="0.3">
      <c r="A68" s="2" t="s">
        <v>269</v>
      </c>
      <c r="B68" s="2" t="s">
        <v>270</v>
      </c>
      <c r="C68" s="2" t="s">
        <v>271</v>
      </c>
      <c r="D68" s="8">
        <v>28117</v>
      </c>
      <c r="E68" s="3">
        <v>2092.6799999999998</v>
      </c>
      <c r="F68" s="2">
        <v>2023</v>
      </c>
      <c r="G68" s="2" t="s">
        <v>87</v>
      </c>
      <c r="H68" s="2" t="s">
        <v>29</v>
      </c>
      <c r="I68" s="2" t="s">
        <v>30</v>
      </c>
      <c r="J68" s="2" t="s">
        <v>102</v>
      </c>
      <c r="K68" s="2" t="s">
        <v>32</v>
      </c>
      <c r="L68" s="2" t="s">
        <v>63</v>
      </c>
      <c r="M68" s="8">
        <v>45217</v>
      </c>
      <c r="N68" s="2" t="s">
        <v>274</v>
      </c>
      <c r="O68" s="8">
        <v>45217</v>
      </c>
      <c r="P68" s="8">
        <v>45222</v>
      </c>
      <c r="Q68" s="2" t="s">
        <v>41</v>
      </c>
      <c r="R68" s="2" t="s">
        <v>104</v>
      </c>
      <c r="S68" s="2">
        <v>633188</v>
      </c>
      <c r="T68" s="2" t="s">
        <v>37</v>
      </c>
      <c r="U68" s="2" t="s">
        <v>38</v>
      </c>
      <c r="V68" s="2" t="s">
        <v>275</v>
      </c>
      <c r="W68" s="2">
        <v>6</v>
      </c>
      <c r="X68" s="4">
        <v>0.15</v>
      </c>
      <c r="Y68" s="3">
        <v>545.87</v>
      </c>
    </row>
    <row r="69" spans="1:25" x14ac:dyDescent="0.3">
      <c r="A69" s="2" t="s">
        <v>269</v>
      </c>
      <c r="B69" s="2" t="s">
        <v>270</v>
      </c>
      <c r="C69" s="2" t="s">
        <v>271</v>
      </c>
      <c r="D69" s="8">
        <v>28117</v>
      </c>
      <c r="E69" s="3">
        <v>532.65</v>
      </c>
      <c r="F69" s="2">
        <v>2024</v>
      </c>
      <c r="G69" s="2" t="s">
        <v>48</v>
      </c>
      <c r="H69" s="2" t="s">
        <v>29</v>
      </c>
      <c r="I69" s="2" t="s">
        <v>43</v>
      </c>
      <c r="J69" s="2" t="s">
        <v>102</v>
      </c>
      <c r="K69" s="2" t="s">
        <v>32</v>
      </c>
      <c r="L69" s="2" t="s">
        <v>63</v>
      </c>
      <c r="M69" s="8">
        <v>45600</v>
      </c>
      <c r="N69" s="2" t="s">
        <v>276</v>
      </c>
      <c r="O69" s="8">
        <v>45599</v>
      </c>
      <c r="P69" s="8">
        <v>45603</v>
      </c>
      <c r="Q69" s="2" t="s">
        <v>121</v>
      </c>
      <c r="R69" s="2" t="s">
        <v>104</v>
      </c>
      <c r="S69" s="2">
        <v>262471</v>
      </c>
      <c r="T69" s="2" t="s">
        <v>45</v>
      </c>
      <c r="U69" s="2" t="s">
        <v>46</v>
      </c>
      <c r="V69" s="2" t="s">
        <v>277</v>
      </c>
      <c r="W69" s="2">
        <v>5</v>
      </c>
      <c r="X69" s="4">
        <v>0</v>
      </c>
      <c r="Y69" s="3">
        <v>81.239999999999995</v>
      </c>
    </row>
    <row r="70" spans="1:25" x14ac:dyDescent="0.3">
      <c r="A70" s="2" t="s">
        <v>269</v>
      </c>
      <c r="B70" s="2" t="s">
        <v>270</v>
      </c>
      <c r="C70" s="2" t="s">
        <v>271</v>
      </c>
      <c r="D70" s="8">
        <v>28117</v>
      </c>
      <c r="E70" s="3">
        <v>474.64</v>
      </c>
      <c r="F70" s="2">
        <v>2025</v>
      </c>
      <c r="G70" s="2" t="s">
        <v>87</v>
      </c>
      <c r="H70" s="2" t="s">
        <v>29</v>
      </c>
      <c r="I70" s="2" t="s">
        <v>78</v>
      </c>
      <c r="J70" s="2" t="s">
        <v>102</v>
      </c>
      <c r="K70" s="2" t="s">
        <v>32</v>
      </c>
      <c r="L70" s="2" t="s">
        <v>63</v>
      </c>
      <c r="M70" s="8">
        <v>45668</v>
      </c>
      <c r="N70" s="2" t="s">
        <v>278</v>
      </c>
      <c r="O70" s="8">
        <v>45668</v>
      </c>
      <c r="P70" s="8">
        <v>45673</v>
      </c>
      <c r="Q70" s="2" t="s">
        <v>74</v>
      </c>
      <c r="R70" s="2" t="s">
        <v>104</v>
      </c>
      <c r="S70" s="2">
        <v>903531</v>
      </c>
      <c r="T70" s="2" t="s">
        <v>117</v>
      </c>
      <c r="U70" s="2" t="s">
        <v>118</v>
      </c>
      <c r="V70" s="2" t="s">
        <v>279</v>
      </c>
      <c r="W70" s="2">
        <v>2</v>
      </c>
      <c r="X70" s="4">
        <v>0.1</v>
      </c>
      <c r="Y70" s="3">
        <v>142.65</v>
      </c>
    </row>
    <row r="71" spans="1:25" x14ac:dyDescent="0.3">
      <c r="A71" s="2" t="s">
        <v>269</v>
      </c>
      <c r="B71" s="2" t="s">
        <v>270</v>
      </c>
      <c r="C71" s="2" t="s">
        <v>271</v>
      </c>
      <c r="D71" s="8">
        <v>28117</v>
      </c>
      <c r="E71" s="3">
        <v>658.28</v>
      </c>
      <c r="F71" s="2">
        <v>2025</v>
      </c>
      <c r="G71" s="2" t="s">
        <v>87</v>
      </c>
      <c r="H71" s="2" t="s">
        <v>29</v>
      </c>
      <c r="I71" s="2" t="s">
        <v>30</v>
      </c>
      <c r="J71" s="2" t="s">
        <v>102</v>
      </c>
      <c r="K71" s="2" t="s">
        <v>32</v>
      </c>
      <c r="L71" s="2" t="s">
        <v>63</v>
      </c>
      <c r="M71" s="8">
        <v>45800</v>
      </c>
      <c r="N71" s="2" t="s">
        <v>280</v>
      </c>
      <c r="O71" s="8">
        <v>45799</v>
      </c>
      <c r="P71" s="8">
        <v>45804</v>
      </c>
      <c r="Q71" s="2" t="s">
        <v>41</v>
      </c>
      <c r="R71" s="2" t="s">
        <v>104</v>
      </c>
      <c r="S71" s="2">
        <v>145814</v>
      </c>
      <c r="T71" s="2" t="s">
        <v>75</v>
      </c>
      <c r="U71" s="2" t="s">
        <v>76</v>
      </c>
      <c r="V71" s="2" t="s">
        <v>281</v>
      </c>
      <c r="W71" s="2">
        <v>7</v>
      </c>
      <c r="X71" s="4">
        <v>0</v>
      </c>
      <c r="Y71" s="3">
        <v>197.09</v>
      </c>
    </row>
    <row r="72" spans="1:25" x14ac:dyDescent="0.3">
      <c r="A72" s="2" t="s">
        <v>282</v>
      </c>
      <c r="B72" s="2" t="s">
        <v>283</v>
      </c>
      <c r="C72" s="2" t="s">
        <v>284</v>
      </c>
      <c r="D72" s="8">
        <v>26420</v>
      </c>
      <c r="E72" s="3">
        <v>1058.56</v>
      </c>
      <c r="F72" s="2">
        <v>2023</v>
      </c>
      <c r="G72" s="2" t="s">
        <v>28</v>
      </c>
      <c r="H72" s="2" t="s">
        <v>29</v>
      </c>
      <c r="I72" s="2" t="s">
        <v>92</v>
      </c>
      <c r="J72" s="2" t="s">
        <v>62</v>
      </c>
      <c r="K72" s="2" t="s">
        <v>32</v>
      </c>
      <c r="L72" s="2" t="s">
        <v>144</v>
      </c>
      <c r="M72" s="8">
        <v>45171</v>
      </c>
      <c r="N72" s="2" t="s">
        <v>285</v>
      </c>
      <c r="O72" s="8">
        <v>45170</v>
      </c>
      <c r="P72" s="8">
        <v>45174</v>
      </c>
      <c r="Q72" s="2" t="s">
        <v>41</v>
      </c>
      <c r="R72" s="2" t="s">
        <v>286</v>
      </c>
      <c r="S72" s="2">
        <v>584106</v>
      </c>
      <c r="T72" s="2" t="s">
        <v>94</v>
      </c>
      <c r="U72" s="2" t="s">
        <v>95</v>
      </c>
      <c r="V72" s="2" t="s">
        <v>287</v>
      </c>
      <c r="W72" s="2">
        <v>8</v>
      </c>
      <c r="X72" s="4">
        <v>0</v>
      </c>
      <c r="Y72" s="3">
        <v>151.21</v>
      </c>
    </row>
    <row r="73" spans="1:25" x14ac:dyDescent="0.3">
      <c r="A73" s="2" t="s">
        <v>282</v>
      </c>
      <c r="B73" s="2" t="s">
        <v>283</v>
      </c>
      <c r="C73" s="2" t="s">
        <v>284</v>
      </c>
      <c r="D73" s="8">
        <v>26420</v>
      </c>
      <c r="E73" s="3">
        <v>1988.64</v>
      </c>
      <c r="F73" s="2">
        <v>2024</v>
      </c>
      <c r="G73" s="2" t="s">
        <v>28</v>
      </c>
      <c r="H73" s="2" t="s">
        <v>29</v>
      </c>
      <c r="I73" s="2" t="s">
        <v>43</v>
      </c>
      <c r="J73" s="2" t="s">
        <v>62</v>
      </c>
      <c r="K73" s="2" t="s">
        <v>32</v>
      </c>
      <c r="L73" s="2" t="s">
        <v>144</v>
      </c>
      <c r="M73" s="8">
        <v>45620</v>
      </c>
      <c r="N73" s="2" t="s">
        <v>288</v>
      </c>
      <c r="O73" s="8">
        <v>45619</v>
      </c>
      <c r="P73" s="8">
        <v>45624</v>
      </c>
      <c r="Q73" s="2" t="s">
        <v>35</v>
      </c>
      <c r="R73" s="2" t="s">
        <v>286</v>
      </c>
      <c r="S73" s="2">
        <v>772324</v>
      </c>
      <c r="T73" s="2" t="s">
        <v>153</v>
      </c>
      <c r="U73" s="2" t="s">
        <v>154</v>
      </c>
      <c r="V73" s="2" t="s">
        <v>289</v>
      </c>
      <c r="W73" s="2">
        <v>9</v>
      </c>
      <c r="X73" s="4">
        <v>0</v>
      </c>
      <c r="Y73" s="3">
        <v>586.78</v>
      </c>
    </row>
    <row r="74" spans="1:25" x14ac:dyDescent="0.3">
      <c r="A74" s="2" t="s">
        <v>282</v>
      </c>
      <c r="B74" s="2" t="s">
        <v>283</v>
      </c>
      <c r="C74" s="2" t="s">
        <v>284</v>
      </c>
      <c r="D74" s="8">
        <v>26420</v>
      </c>
      <c r="E74" s="3">
        <v>650.65</v>
      </c>
      <c r="F74" s="2">
        <v>2025</v>
      </c>
      <c r="G74" s="2" t="s">
        <v>48</v>
      </c>
      <c r="H74" s="2" t="s">
        <v>29</v>
      </c>
      <c r="I74" s="2" t="s">
        <v>92</v>
      </c>
      <c r="J74" s="2" t="s">
        <v>62</v>
      </c>
      <c r="K74" s="2" t="s">
        <v>32</v>
      </c>
      <c r="L74" s="2" t="s">
        <v>144</v>
      </c>
      <c r="M74" s="8">
        <v>45663</v>
      </c>
      <c r="N74" s="2" t="s">
        <v>290</v>
      </c>
      <c r="O74" s="8">
        <v>45663</v>
      </c>
      <c r="P74" s="8">
        <v>45666</v>
      </c>
      <c r="Q74" s="2" t="s">
        <v>74</v>
      </c>
      <c r="R74" s="2" t="s">
        <v>286</v>
      </c>
      <c r="S74" s="2">
        <v>571145</v>
      </c>
      <c r="T74" s="2" t="s">
        <v>94</v>
      </c>
      <c r="U74" s="2" t="s">
        <v>95</v>
      </c>
      <c r="V74" s="2" t="s">
        <v>291</v>
      </c>
      <c r="W74" s="2">
        <v>2</v>
      </c>
      <c r="X74" s="4">
        <v>0.1</v>
      </c>
      <c r="Y74" s="3">
        <v>198.68</v>
      </c>
    </row>
    <row r="75" spans="1:25" x14ac:dyDescent="0.3">
      <c r="A75" s="2" t="s">
        <v>292</v>
      </c>
      <c r="B75" s="2" t="s">
        <v>26</v>
      </c>
      <c r="C75" s="2" t="s">
        <v>142</v>
      </c>
      <c r="D75" s="8">
        <v>32868</v>
      </c>
      <c r="E75" s="3">
        <v>210.3</v>
      </c>
      <c r="F75" s="2">
        <v>2023</v>
      </c>
      <c r="G75" s="2" t="s">
        <v>48</v>
      </c>
      <c r="H75" s="2" t="s">
        <v>29</v>
      </c>
      <c r="I75" s="2" t="s">
        <v>43</v>
      </c>
      <c r="J75" s="2" t="s">
        <v>31</v>
      </c>
      <c r="K75" s="2" t="s">
        <v>32</v>
      </c>
      <c r="L75" s="2" t="s">
        <v>33</v>
      </c>
      <c r="M75" s="8">
        <v>45021</v>
      </c>
      <c r="N75" s="2" t="s">
        <v>293</v>
      </c>
      <c r="O75" s="8">
        <v>45020</v>
      </c>
      <c r="P75" s="8">
        <v>45021</v>
      </c>
      <c r="Q75" s="2" t="s">
        <v>35</v>
      </c>
      <c r="R75" s="2" t="s">
        <v>236</v>
      </c>
      <c r="S75" s="2">
        <v>434165</v>
      </c>
      <c r="T75" s="2" t="s">
        <v>45</v>
      </c>
      <c r="U75" s="2" t="s">
        <v>46</v>
      </c>
      <c r="V75" s="2" t="s">
        <v>294</v>
      </c>
      <c r="W75" s="2">
        <v>1</v>
      </c>
      <c r="X75" s="4">
        <v>0</v>
      </c>
      <c r="Y75" s="3">
        <v>25.39</v>
      </c>
    </row>
    <row r="76" spans="1:25" x14ac:dyDescent="0.3">
      <c r="A76" s="2" t="s">
        <v>292</v>
      </c>
      <c r="B76" s="2" t="s">
        <v>26</v>
      </c>
      <c r="C76" s="2" t="s">
        <v>142</v>
      </c>
      <c r="D76" s="8">
        <v>32868</v>
      </c>
      <c r="E76" s="3">
        <v>258.14999999999998</v>
      </c>
      <c r="F76" s="2">
        <v>2023</v>
      </c>
      <c r="G76" s="2" t="s">
        <v>87</v>
      </c>
      <c r="H76" s="2" t="s">
        <v>29</v>
      </c>
      <c r="I76" s="2" t="s">
        <v>78</v>
      </c>
      <c r="J76" s="2" t="s">
        <v>31</v>
      </c>
      <c r="K76" s="2" t="s">
        <v>32</v>
      </c>
      <c r="L76" s="2" t="s">
        <v>33</v>
      </c>
      <c r="M76" s="8">
        <v>45078</v>
      </c>
      <c r="N76" s="2" t="s">
        <v>295</v>
      </c>
      <c r="O76" s="8">
        <v>45077</v>
      </c>
      <c r="P76" s="8">
        <v>45081</v>
      </c>
      <c r="Q76" s="2" t="s">
        <v>41</v>
      </c>
      <c r="R76" s="2" t="s">
        <v>236</v>
      </c>
      <c r="S76" s="2">
        <v>570392</v>
      </c>
      <c r="T76" s="2" t="s">
        <v>117</v>
      </c>
      <c r="U76" s="2" t="s">
        <v>118</v>
      </c>
      <c r="V76" s="2" t="s">
        <v>296</v>
      </c>
      <c r="W76" s="2">
        <v>3</v>
      </c>
      <c r="X76" s="4">
        <v>0</v>
      </c>
      <c r="Y76" s="3">
        <v>83.96</v>
      </c>
    </row>
    <row r="77" spans="1:25" x14ac:dyDescent="0.3">
      <c r="A77" s="2" t="s">
        <v>292</v>
      </c>
      <c r="B77" s="2" t="s">
        <v>26</v>
      </c>
      <c r="C77" s="2" t="s">
        <v>142</v>
      </c>
      <c r="D77" s="8">
        <v>32868</v>
      </c>
      <c r="E77" s="3">
        <v>114.27</v>
      </c>
      <c r="F77" s="2">
        <v>2023</v>
      </c>
      <c r="G77" s="2" t="s">
        <v>28</v>
      </c>
      <c r="H77" s="2" t="s">
        <v>29</v>
      </c>
      <c r="I77" s="2" t="s">
        <v>30</v>
      </c>
      <c r="J77" s="2" t="s">
        <v>31</v>
      </c>
      <c r="K77" s="2" t="s">
        <v>32</v>
      </c>
      <c r="L77" s="2" t="s">
        <v>33</v>
      </c>
      <c r="M77" s="8">
        <v>45158</v>
      </c>
      <c r="N77" s="2" t="s">
        <v>297</v>
      </c>
      <c r="O77" s="8">
        <v>45154</v>
      </c>
      <c r="P77" s="8">
        <v>45159</v>
      </c>
      <c r="Q77" s="2" t="s">
        <v>35</v>
      </c>
      <c r="R77" s="2" t="s">
        <v>236</v>
      </c>
      <c r="S77" s="2">
        <v>913875</v>
      </c>
      <c r="T77" s="2" t="s">
        <v>75</v>
      </c>
      <c r="U77" s="2" t="s">
        <v>76</v>
      </c>
      <c r="V77" s="2" t="s">
        <v>298</v>
      </c>
      <c r="W77" s="2">
        <v>1</v>
      </c>
      <c r="X77" s="4">
        <v>0.2</v>
      </c>
      <c r="Y77" s="3">
        <v>10.84</v>
      </c>
    </row>
    <row r="78" spans="1:25" x14ac:dyDescent="0.3">
      <c r="A78" s="2" t="s">
        <v>292</v>
      </c>
      <c r="B78" s="2" t="s">
        <v>26</v>
      </c>
      <c r="C78" s="2" t="s">
        <v>142</v>
      </c>
      <c r="D78" s="8">
        <v>32868</v>
      </c>
      <c r="E78" s="3">
        <v>81.55</v>
      </c>
      <c r="F78" s="2">
        <v>2024</v>
      </c>
      <c r="G78" s="2" t="s">
        <v>48</v>
      </c>
      <c r="H78" s="2" t="s">
        <v>29</v>
      </c>
      <c r="I78" s="2" t="s">
        <v>43</v>
      </c>
      <c r="J78" s="2" t="s">
        <v>31</v>
      </c>
      <c r="K78" s="2" t="s">
        <v>32</v>
      </c>
      <c r="L78" s="2" t="s">
        <v>33</v>
      </c>
      <c r="M78" s="8">
        <v>45377</v>
      </c>
      <c r="N78" s="2" t="s">
        <v>299</v>
      </c>
      <c r="O78" s="8">
        <v>45374</v>
      </c>
      <c r="P78" s="8">
        <v>45379</v>
      </c>
      <c r="Q78" s="2" t="s">
        <v>35</v>
      </c>
      <c r="R78" s="2" t="s">
        <v>236</v>
      </c>
      <c r="S78" s="2">
        <v>977330</v>
      </c>
      <c r="T78" s="2" t="s">
        <v>45</v>
      </c>
      <c r="U78" s="2" t="s">
        <v>46</v>
      </c>
      <c r="V78" s="2" t="s">
        <v>300</v>
      </c>
      <c r="W78" s="2">
        <v>2</v>
      </c>
      <c r="X78" s="4">
        <v>0.05</v>
      </c>
      <c r="Y78" s="3">
        <v>19.71</v>
      </c>
    </row>
    <row r="79" spans="1:25" x14ac:dyDescent="0.3">
      <c r="A79" s="2" t="s">
        <v>292</v>
      </c>
      <c r="B79" s="2" t="s">
        <v>26</v>
      </c>
      <c r="C79" s="2" t="s">
        <v>142</v>
      </c>
      <c r="D79" s="8">
        <v>32868</v>
      </c>
      <c r="E79" s="3">
        <v>2264.5500000000002</v>
      </c>
      <c r="F79" s="2">
        <v>2024</v>
      </c>
      <c r="G79" s="2" t="s">
        <v>87</v>
      </c>
      <c r="H79" s="2" t="s">
        <v>29</v>
      </c>
      <c r="I79" s="2" t="s">
        <v>92</v>
      </c>
      <c r="J79" s="2" t="s">
        <v>31</v>
      </c>
      <c r="K79" s="2" t="s">
        <v>32</v>
      </c>
      <c r="L79" s="2" t="s">
        <v>33</v>
      </c>
      <c r="M79" s="8">
        <v>45388</v>
      </c>
      <c r="N79" s="2" t="s">
        <v>301</v>
      </c>
      <c r="O79" s="8">
        <v>45388</v>
      </c>
      <c r="P79" s="8">
        <v>45392</v>
      </c>
      <c r="Q79" s="2" t="s">
        <v>74</v>
      </c>
      <c r="R79" s="2" t="s">
        <v>236</v>
      </c>
      <c r="S79" s="2">
        <v>352249</v>
      </c>
      <c r="T79" s="2" t="s">
        <v>187</v>
      </c>
      <c r="U79" s="2" t="s">
        <v>188</v>
      </c>
      <c r="V79" s="2" t="s">
        <v>302</v>
      </c>
      <c r="W79" s="2">
        <v>9</v>
      </c>
      <c r="X79" s="4">
        <v>0.15</v>
      </c>
      <c r="Y79" s="3">
        <v>210.77</v>
      </c>
    </row>
    <row r="80" spans="1:25" x14ac:dyDescent="0.3">
      <c r="A80" s="2" t="s">
        <v>292</v>
      </c>
      <c r="B80" s="2" t="s">
        <v>26</v>
      </c>
      <c r="C80" s="2" t="s">
        <v>142</v>
      </c>
      <c r="D80" s="8">
        <v>32868</v>
      </c>
      <c r="E80" s="3">
        <v>542.54</v>
      </c>
      <c r="F80" s="2">
        <v>2025</v>
      </c>
      <c r="G80" s="2" t="s">
        <v>87</v>
      </c>
      <c r="H80" s="2" t="s">
        <v>29</v>
      </c>
      <c r="I80" s="2" t="s">
        <v>30</v>
      </c>
      <c r="J80" s="2" t="s">
        <v>31</v>
      </c>
      <c r="K80" s="2" t="s">
        <v>32</v>
      </c>
      <c r="L80" s="2" t="s">
        <v>33</v>
      </c>
      <c r="M80" s="8">
        <v>45767</v>
      </c>
      <c r="N80" s="2" t="s">
        <v>303</v>
      </c>
      <c r="O80" s="8">
        <v>45763</v>
      </c>
      <c r="P80" s="8">
        <v>45768</v>
      </c>
      <c r="Q80" s="2" t="s">
        <v>35</v>
      </c>
      <c r="R80" s="2" t="s">
        <v>236</v>
      </c>
      <c r="S80" s="2">
        <v>509420</v>
      </c>
      <c r="T80" s="2" t="s">
        <v>37</v>
      </c>
      <c r="U80" s="2" t="s">
        <v>38</v>
      </c>
      <c r="V80" s="2" t="s">
        <v>304</v>
      </c>
      <c r="W80" s="2">
        <v>2</v>
      </c>
      <c r="X80" s="4">
        <v>0</v>
      </c>
      <c r="Y80" s="3">
        <v>38.14</v>
      </c>
    </row>
    <row r="81" spans="1:25" x14ac:dyDescent="0.3">
      <c r="A81" s="2" t="s">
        <v>292</v>
      </c>
      <c r="B81" s="2" t="s">
        <v>26</v>
      </c>
      <c r="C81" s="2" t="s">
        <v>142</v>
      </c>
      <c r="D81" s="8">
        <v>32868</v>
      </c>
      <c r="E81" s="3">
        <v>3436.3</v>
      </c>
      <c r="F81" s="2">
        <v>2025</v>
      </c>
      <c r="G81" s="2" t="s">
        <v>28</v>
      </c>
      <c r="H81" s="2" t="s">
        <v>29</v>
      </c>
      <c r="I81" s="2" t="s">
        <v>92</v>
      </c>
      <c r="J81" s="2" t="s">
        <v>31</v>
      </c>
      <c r="K81" s="2" t="s">
        <v>32</v>
      </c>
      <c r="L81" s="2" t="s">
        <v>33</v>
      </c>
      <c r="M81" s="8">
        <v>45777</v>
      </c>
      <c r="N81" s="2" t="s">
        <v>305</v>
      </c>
      <c r="O81" s="8">
        <v>45777</v>
      </c>
      <c r="P81" s="8">
        <v>45780</v>
      </c>
      <c r="Q81" s="2" t="s">
        <v>121</v>
      </c>
      <c r="R81" s="2" t="s">
        <v>236</v>
      </c>
      <c r="S81" s="2">
        <v>868544</v>
      </c>
      <c r="T81" s="2" t="s">
        <v>187</v>
      </c>
      <c r="U81" s="2" t="s">
        <v>188</v>
      </c>
      <c r="V81" s="2" t="s">
        <v>306</v>
      </c>
      <c r="W81" s="2">
        <v>7</v>
      </c>
      <c r="X81" s="4">
        <v>0</v>
      </c>
      <c r="Y81" s="3">
        <v>942.22</v>
      </c>
    </row>
    <row r="82" spans="1:25" x14ac:dyDescent="0.3">
      <c r="A82" s="2" t="s">
        <v>307</v>
      </c>
      <c r="B82" s="2" t="s">
        <v>247</v>
      </c>
      <c r="C82" s="2" t="s">
        <v>259</v>
      </c>
      <c r="D82" s="8">
        <v>24268</v>
      </c>
      <c r="E82" s="3">
        <v>1354.03</v>
      </c>
      <c r="F82" s="2">
        <v>2023</v>
      </c>
      <c r="G82" s="2" t="s">
        <v>87</v>
      </c>
      <c r="H82" s="2" t="s">
        <v>29</v>
      </c>
      <c r="I82" s="2" t="s">
        <v>43</v>
      </c>
      <c r="J82" s="2" t="s">
        <v>143</v>
      </c>
      <c r="K82" s="2" t="s">
        <v>32</v>
      </c>
      <c r="L82" s="2" t="s">
        <v>144</v>
      </c>
      <c r="M82" s="8">
        <v>45036</v>
      </c>
      <c r="N82" s="2" t="s">
        <v>308</v>
      </c>
      <c r="O82" s="8">
        <v>45033</v>
      </c>
      <c r="P82" s="8">
        <v>45037</v>
      </c>
      <c r="Q82" s="2" t="s">
        <v>121</v>
      </c>
      <c r="R82" s="2" t="s">
        <v>309</v>
      </c>
      <c r="S82" s="2">
        <v>950916</v>
      </c>
      <c r="T82" s="2" t="s">
        <v>45</v>
      </c>
      <c r="U82" s="2" t="s">
        <v>46</v>
      </c>
      <c r="V82" s="2" t="s">
        <v>310</v>
      </c>
      <c r="W82" s="2">
        <v>6</v>
      </c>
      <c r="X82" s="4">
        <v>0.2</v>
      </c>
      <c r="Y82" s="3">
        <v>328.81</v>
      </c>
    </row>
    <row r="83" spans="1:25" x14ac:dyDescent="0.3">
      <c r="A83" s="2" t="s">
        <v>307</v>
      </c>
      <c r="B83" s="2" t="s">
        <v>247</v>
      </c>
      <c r="C83" s="2" t="s">
        <v>259</v>
      </c>
      <c r="D83" s="8">
        <v>24268</v>
      </c>
      <c r="E83" s="3">
        <v>302</v>
      </c>
      <c r="F83" s="2">
        <v>2024</v>
      </c>
      <c r="G83" s="2" t="s">
        <v>28</v>
      </c>
      <c r="H83" s="2" t="s">
        <v>29</v>
      </c>
      <c r="I83" s="2" t="s">
        <v>61</v>
      </c>
      <c r="J83" s="2" t="s">
        <v>143</v>
      </c>
      <c r="K83" s="2" t="s">
        <v>32</v>
      </c>
      <c r="L83" s="2" t="s">
        <v>144</v>
      </c>
      <c r="M83" s="8">
        <v>45522</v>
      </c>
      <c r="N83" s="2" t="s">
        <v>311</v>
      </c>
      <c r="O83" s="8">
        <v>45522</v>
      </c>
      <c r="P83" s="8">
        <v>45524</v>
      </c>
      <c r="Q83" s="2" t="s">
        <v>74</v>
      </c>
      <c r="R83" s="2" t="s">
        <v>309</v>
      </c>
      <c r="S83" s="2">
        <v>640418</v>
      </c>
      <c r="T83" s="2" t="s">
        <v>312</v>
      </c>
      <c r="U83" s="2" t="s">
        <v>313</v>
      </c>
      <c r="V83" s="2" t="s">
        <v>314</v>
      </c>
      <c r="W83" s="2">
        <v>8</v>
      </c>
      <c r="X83" s="4">
        <v>0</v>
      </c>
      <c r="Y83" s="3">
        <v>19.07</v>
      </c>
    </row>
    <row r="84" spans="1:25" x14ac:dyDescent="0.3">
      <c r="A84" s="2" t="s">
        <v>307</v>
      </c>
      <c r="B84" s="2" t="s">
        <v>247</v>
      </c>
      <c r="C84" s="2" t="s">
        <v>259</v>
      </c>
      <c r="D84" s="8">
        <v>24268</v>
      </c>
      <c r="E84" s="3">
        <v>381.58</v>
      </c>
      <c r="F84" s="2">
        <v>2025</v>
      </c>
      <c r="G84" s="2" t="s">
        <v>28</v>
      </c>
      <c r="H84" s="2" t="s">
        <v>29</v>
      </c>
      <c r="I84" s="2" t="s">
        <v>92</v>
      </c>
      <c r="J84" s="2" t="s">
        <v>143</v>
      </c>
      <c r="K84" s="2" t="s">
        <v>32</v>
      </c>
      <c r="L84" s="2" t="s">
        <v>144</v>
      </c>
      <c r="M84" s="8">
        <v>45680</v>
      </c>
      <c r="N84" s="2" t="s">
        <v>315</v>
      </c>
      <c r="O84" s="8">
        <v>45679</v>
      </c>
      <c r="P84" s="8">
        <v>45680</v>
      </c>
      <c r="Q84" s="2" t="s">
        <v>35</v>
      </c>
      <c r="R84" s="2" t="s">
        <v>309</v>
      </c>
      <c r="S84" s="2">
        <v>938171</v>
      </c>
      <c r="T84" s="2" t="s">
        <v>127</v>
      </c>
      <c r="U84" s="2" t="s">
        <v>128</v>
      </c>
      <c r="V84" s="2" t="s">
        <v>316</v>
      </c>
      <c r="W84" s="2">
        <v>1</v>
      </c>
      <c r="X84" s="4">
        <v>0</v>
      </c>
      <c r="Y84" s="3">
        <v>51.83</v>
      </c>
    </row>
    <row r="85" spans="1:25" x14ac:dyDescent="0.3">
      <c r="A85" s="2" t="s">
        <v>307</v>
      </c>
      <c r="B85" s="2" t="s">
        <v>247</v>
      </c>
      <c r="C85" s="2" t="s">
        <v>259</v>
      </c>
      <c r="D85" s="8">
        <v>24268</v>
      </c>
      <c r="E85" s="3">
        <v>3415.67</v>
      </c>
      <c r="F85" s="2">
        <v>2025</v>
      </c>
      <c r="G85" s="2" t="s">
        <v>87</v>
      </c>
      <c r="H85" s="2" t="s">
        <v>29</v>
      </c>
      <c r="I85" s="2" t="s">
        <v>43</v>
      </c>
      <c r="J85" s="2" t="s">
        <v>143</v>
      </c>
      <c r="K85" s="2" t="s">
        <v>32</v>
      </c>
      <c r="L85" s="2" t="s">
        <v>144</v>
      </c>
      <c r="M85" s="8">
        <v>45702</v>
      </c>
      <c r="N85" s="2" t="s">
        <v>317</v>
      </c>
      <c r="O85" s="8">
        <v>45701</v>
      </c>
      <c r="P85" s="8">
        <v>45703</v>
      </c>
      <c r="Q85" s="2" t="s">
        <v>41</v>
      </c>
      <c r="R85" s="2" t="s">
        <v>309</v>
      </c>
      <c r="S85" s="2">
        <v>485191</v>
      </c>
      <c r="T85" s="2" t="s">
        <v>153</v>
      </c>
      <c r="U85" s="2" t="s">
        <v>154</v>
      </c>
      <c r="V85" s="2" t="s">
        <v>318</v>
      </c>
      <c r="W85" s="2">
        <v>8</v>
      </c>
      <c r="X85" s="4">
        <v>0.05</v>
      </c>
      <c r="Y85" s="3">
        <v>518.19000000000005</v>
      </c>
    </row>
    <row r="86" spans="1:25" x14ac:dyDescent="0.3">
      <c r="A86" s="2" t="s">
        <v>307</v>
      </c>
      <c r="B86" s="2" t="s">
        <v>247</v>
      </c>
      <c r="C86" s="2" t="s">
        <v>259</v>
      </c>
      <c r="D86" s="8">
        <v>24268</v>
      </c>
      <c r="E86" s="3">
        <v>738</v>
      </c>
      <c r="F86" s="2">
        <v>2025</v>
      </c>
      <c r="G86" s="2" t="s">
        <v>28</v>
      </c>
      <c r="H86" s="2" t="s">
        <v>29</v>
      </c>
      <c r="I86" s="2" t="s">
        <v>30</v>
      </c>
      <c r="J86" s="2" t="s">
        <v>143</v>
      </c>
      <c r="K86" s="2" t="s">
        <v>32</v>
      </c>
      <c r="L86" s="2" t="s">
        <v>144</v>
      </c>
      <c r="M86" s="8">
        <v>45719</v>
      </c>
      <c r="N86" s="2" t="s">
        <v>319</v>
      </c>
      <c r="O86" s="8">
        <v>45717</v>
      </c>
      <c r="P86" s="8">
        <v>45719</v>
      </c>
      <c r="Q86" s="2" t="s">
        <v>74</v>
      </c>
      <c r="R86" s="2" t="s">
        <v>309</v>
      </c>
      <c r="S86" s="2">
        <v>207581</v>
      </c>
      <c r="T86" s="2" t="s">
        <v>37</v>
      </c>
      <c r="U86" s="2" t="s">
        <v>38</v>
      </c>
      <c r="V86" s="2" t="s">
        <v>320</v>
      </c>
      <c r="W86" s="2">
        <v>2</v>
      </c>
      <c r="X86" s="4">
        <v>0</v>
      </c>
      <c r="Y86" s="3">
        <v>132.24</v>
      </c>
    </row>
    <row r="87" spans="1:25" x14ac:dyDescent="0.3">
      <c r="A87" s="2" t="s">
        <v>321</v>
      </c>
      <c r="B87" s="2" t="s">
        <v>234</v>
      </c>
      <c r="C87" s="2" t="s">
        <v>322</v>
      </c>
      <c r="D87" s="8">
        <v>33035</v>
      </c>
      <c r="E87" s="3">
        <v>3644.8</v>
      </c>
      <c r="F87" s="2">
        <v>2024</v>
      </c>
      <c r="G87" s="2" t="s">
        <v>48</v>
      </c>
      <c r="H87" s="2" t="s">
        <v>29</v>
      </c>
      <c r="I87" s="2" t="s">
        <v>43</v>
      </c>
      <c r="J87" s="2" t="s">
        <v>143</v>
      </c>
      <c r="K87" s="2" t="s">
        <v>32</v>
      </c>
      <c r="L87" s="2" t="s">
        <v>63</v>
      </c>
      <c r="M87" s="8">
        <v>45606</v>
      </c>
      <c r="N87" s="2" t="s">
        <v>323</v>
      </c>
      <c r="O87" s="8">
        <v>45603</v>
      </c>
      <c r="P87" s="8">
        <v>45606</v>
      </c>
      <c r="Q87" s="2" t="s">
        <v>74</v>
      </c>
      <c r="R87" s="2" t="s">
        <v>309</v>
      </c>
      <c r="S87" s="2">
        <v>744718</v>
      </c>
      <c r="T87" s="2" t="s">
        <v>153</v>
      </c>
      <c r="U87" s="2" t="s">
        <v>154</v>
      </c>
      <c r="V87" s="2" t="s">
        <v>324</v>
      </c>
      <c r="W87" s="2">
        <v>10</v>
      </c>
      <c r="X87" s="4">
        <v>0</v>
      </c>
      <c r="Y87" s="3">
        <v>936.46</v>
      </c>
    </row>
    <row r="88" spans="1:25" x14ac:dyDescent="0.3">
      <c r="A88" s="2" t="s">
        <v>325</v>
      </c>
      <c r="B88" s="2" t="s">
        <v>326</v>
      </c>
      <c r="C88" s="2" t="s">
        <v>327</v>
      </c>
      <c r="D88" s="8">
        <v>34275</v>
      </c>
      <c r="E88" s="3">
        <v>1432.02</v>
      </c>
      <c r="F88" s="2">
        <v>2023</v>
      </c>
      <c r="G88" s="2" t="s">
        <v>48</v>
      </c>
      <c r="H88" s="2" t="s">
        <v>163</v>
      </c>
      <c r="I88" s="2" t="s">
        <v>43</v>
      </c>
      <c r="J88" s="2" t="s">
        <v>62</v>
      </c>
      <c r="K88" s="2" t="s">
        <v>32</v>
      </c>
      <c r="L88" s="2" t="s">
        <v>144</v>
      </c>
      <c r="M88" s="8">
        <v>44985</v>
      </c>
      <c r="N88" s="2" t="s">
        <v>328</v>
      </c>
      <c r="O88" s="8">
        <v>44985</v>
      </c>
      <c r="P88" s="8">
        <v>44989</v>
      </c>
      <c r="Q88" s="2" t="s">
        <v>35</v>
      </c>
      <c r="R88" s="2" t="s">
        <v>286</v>
      </c>
      <c r="S88" s="2">
        <v>347459</v>
      </c>
      <c r="T88" s="2" t="s">
        <v>70</v>
      </c>
      <c r="U88" s="2" t="s">
        <v>71</v>
      </c>
      <c r="V88" s="2" t="s">
        <v>329</v>
      </c>
      <c r="W88" s="2">
        <v>3</v>
      </c>
      <c r="X88" s="4">
        <v>0</v>
      </c>
      <c r="Y88" s="3">
        <v>436.19</v>
      </c>
    </row>
    <row r="89" spans="1:25" x14ac:dyDescent="0.3">
      <c r="A89" s="2" t="s">
        <v>325</v>
      </c>
      <c r="B89" s="2" t="s">
        <v>326</v>
      </c>
      <c r="C89" s="2" t="s">
        <v>327</v>
      </c>
      <c r="D89" s="8">
        <v>34275</v>
      </c>
      <c r="E89" s="3">
        <v>3330.18</v>
      </c>
      <c r="F89" s="2">
        <v>2023</v>
      </c>
      <c r="G89" s="2" t="s">
        <v>28</v>
      </c>
      <c r="H89" s="2" t="s">
        <v>163</v>
      </c>
      <c r="I89" s="2" t="s">
        <v>49</v>
      </c>
      <c r="J89" s="2" t="s">
        <v>62</v>
      </c>
      <c r="K89" s="2" t="s">
        <v>32</v>
      </c>
      <c r="L89" s="2" t="s">
        <v>144</v>
      </c>
      <c r="M89" s="8">
        <v>45005</v>
      </c>
      <c r="N89" s="2" t="s">
        <v>330</v>
      </c>
      <c r="O89" s="8">
        <v>45003</v>
      </c>
      <c r="P89" s="8">
        <v>45007</v>
      </c>
      <c r="Q89" s="2" t="s">
        <v>41</v>
      </c>
      <c r="R89" s="2" t="s">
        <v>286</v>
      </c>
      <c r="S89" s="2">
        <v>900152</v>
      </c>
      <c r="T89" s="2" t="s">
        <v>84</v>
      </c>
      <c r="U89" s="2" t="s">
        <v>85</v>
      </c>
      <c r="V89" s="2" t="s">
        <v>331</v>
      </c>
      <c r="W89" s="2">
        <v>7</v>
      </c>
      <c r="X89" s="4">
        <v>0</v>
      </c>
      <c r="Y89" s="3">
        <v>771.03</v>
      </c>
    </row>
    <row r="90" spans="1:25" x14ac:dyDescent="0.3">
      <c r="A90" s="2" t="s">
        <v>325</v>
      </c>
      <c r="B90" s="2" t="s">
        <v>326</v>
      </c>
      <c r="C90" s="2" t="s">
        <v>327</v>
      </c>
      <c r="D90" s="8">
        <v>34275</v>
      </c>
      <c r="E90" s="3">
        <v>1076.4100000000001</v>
      </c>
      <c r="F90" s="2">
        <v>2023</v>
      </c>
      <c r="G90" s="2" t="s">
        <v>87</v>
      </c>
      <c r="H90" s="2" t="s">
        <v>163</v>
      </c>
      <c r="I90" s="2" t="s">
        <v>78</v>
      </c>
      <c r="J90" s="2" t="s">
        <v>62</v>
      </c>
      <c r="K90" s="2" t="s">
        <v>32</v>
      </c>
      <c r="L90" s="2" t="s">
        <v>144</v>
      </c>
      <c r="M90" s="8">
        <v>45208</v>
      </c>
      <c r="N90" s="2" t="s">
        <v>332</v>
      </c>
      <c r="O90" s="8">
        <v>45208</v>
      </c>
      <c r="P90" s="8">
        <v>45209</v>
      </c>
      <c r="Q90" s="2" t="s">
        <v>121</v>
      </c>
      <c r="R90" s="2" t="s">
        <v>286</v>
      </c>
      <c r="S90" s="2">
        <v>623285</v>
      </c>
      <c r="T90" s="2" t="s">
        <v>89</v>
      </c>
      <c r="U90" s="2" t="s">
        <v>90</v>
      </c>
      <c r="V90" s="2" t="s">
        <v>333</v>
      </c>
      <c r="W90" s="2">
        <v>6</v>
      </c>
      <c r="X90" s="4">
        <v>0.15</v>
      </c>
      <c r="Y90" s="3">
        <v>143.82</v>
      </c>
    </row>
    <row r="91" spans="1:25" x14ac:dyDescent="0.3">
      <c r="A91" s="2" t="s">
        <v>325</v>
      </c>
      <c r="B91" s="2" t="s">
        <v>326</v>
      </c>
      <c r="C91" s="2" t="s">
        <v>327</v>
      </c>
      <c r="D91" s="8">
        <v>34275</v>
      </c>
      <c r="E91" s="3">
        <v>291.3</v>
      </c>
      <c r="F91" s="2">
        <v>2024</v>
      </c>
      <c r="G91" s="2" t="s">
        <v>28</v>
      </c>
      <c r="H91" s="2" t="s">
        <v>163</v>
      </c>
      <c r="I91" s="2" t="s">
        <v>30</v>
      </c>
      <c r="J91" s="2" t="s">
        <v>62</v>
      </c>
      <c r="K91" s="2" t="s">
        <v>32</v>
      </c>
      <c r="L91" s="2" t="s">
        <v>144</v>
      </c>
      <c r="M91" s="8">
        <v>45344</v>
      </c>
      <c r="N91" s="2" t="s">
        <v>334</v>
      </c>
      <c r="O91" s="8">
        <v>45342</v>
      </c>
      <c r="P91" s="8">
        <v>45344</v>
      </c>
      <c r="Q91" s="2" t="s">
        <v>41</v>
      </c>
      <c r="R91" s="2" t="s">
        <v>286</v>
      </c>
      <c r="S91" s="2">
        <v>309902</v>
      </c>
      <c r="T91" s="2" t="s">
        <v>37</v>
      </c>
      <c r="U91" s="2" t="s">
        <v>38</v>
      </c>
      <c r="V91" s="2" t="s">
        <v>335</v>
      </c>
      <c r="W91" s="2">
        <v>2</v>
      </c>
      <c r="X91" s="4">
        <v>0</v>
      </c>
      <c r="Y91" s="3">
        <v>76.09</v>
      </c>
    </row>
    <row r="92" spans="1:25" x14ac:dyDescent="0.3">
      <c r="A92" s="2" t="s">
        <v>325</v>
      </c>
      <c r="B92" s="2" t="s">
        <v>326</v>
      </c>
      <c r="C92" s="2" t="s">
        <v>327</v>
      </c>
      <c r="D92" s="8">
        <v>34275</v>
      </c>
      <c r="E92" s="3">
        <v>402.87</v>
      </c>
      <c r="F92" s="2">
        <v>2024</v>
      </c>
      <c r="G92" s="2" t="s">
        <v>87</v>
      </c>
      <c r="H92" s="2" t="s">
        <v>163</v>
      </c>
      <c r="I92" s="2" t="s">
        <v>78</v>
      </c>
      <c r="J92" s="2" t="s">
        <v>62</v>
      </c>
      <c r="K92" s="2" t="s">
        <v>32</v>
      </c>
      <c r="L92" s="2" t="s">
        <v>144</v>
      </c>
      <c r="M92" s="8">
        <v>45580</v>
      </c>
      <c r="N92" s="2" t="s">
        <v>336</v>
      </c>
      <c r="O92" s="8">
        <v>45579</v>
      </c>
      <c r="P92" s="8">
        <v>45580</v>
      </c>
      <c r="Q92" s="2" t="s">
        <v>74</v>
      </c>
      <c r="R92" s="2" t="s">
        <v>286</v>
      </c>
      <c r="S92" s="2">
        <v>844007</v>
      </c>
      <c r="T92" s="2" t="s">
        <v>89</v>
      </c>
      <c r="U92" s="2" t="s">
        <v>90</v>
      </c>
      <c r="V92" s="2" t="s">
        <v>337</v>
      </c>
      <c r="W92" s="2">
        <v>2</v>
      </c>
      <c r="X92" s="4">
        <v>0.15</v>
      </c>
      <c r="Y92" s="3">
        <v>73.94</v>
      </c>
    </row>
    <row r="93" spans="1:25" x14ac:dyDescent="0.3">
      <c r="A93" s="2" t="s">
        <v>325</v>
      </c>
      <c r="B93" s="2" t="s">
        <v>326</v>
      </c>
      <c r="C93" s="2" t="s">
        <v>327</v>
      </c>
      <c r="D93" s="8">
        <v>34275</v>
      </c>
      <c r="E93" s="3">
        <v>922.26</v>
      </c>
      <c r="F93" s="2">
        <v>2024</v>
      </c>
      <c r="G93" s="2" t="s">
        <v>48</v>
      </c>
      <c r="H93" s="2" t="s">
        <v>163</v>
      </c>
      <c r="I93" s="2" t="s">
        <v>78</v>
      </c>
      <c r="J93" s="2" t="s">
        <v>62</v>
      </c>
      <c r="K93" s="2" t="s">
        <v>32</v>
      </c>
      <c r="L93" s="2" t="s">
        <v>144</v>
      </c>
      <c r="M93" s="8">
        <v>45582</v>
      </c>
      <c r="N93" s="2" t="s">
        <v>338</v>
      </c>
      <c r="O93" s="8">
        <v>45581</v>
      </c>
      <c r="P93" s="8">
        <v>45584</v>
      </c>
      <c r="Q93" s="2" t="s">
        <v>121</v>
      </c>
      <c r="R93" s="2" t="s">
        <v>286</v>
      </c>
      <c r="S93" s="2">
        <v>930541</v>
      </c>
      <c r="T93" s="2" t="s">
        <v>117</v>
      </c>
      <c r="U93" s="2" t="s">
        <v>118</v>
      </c>
      <c r="V93" s="2" t="s">
        <v>339</v>
      </c>
      <c r="W93" s="2">
        <v>3</v>
      </c>
      <c r="X93" s="4">
        <v>0.15</v>
      </c>
      <c r="Y93" s="3">
        <v>222.55</v>
      </c>
    </row>
    <row r="94" spans="1:25" x14ac:dyDescent="0.3">
      <c r="A94" s="2" t="s">
        <v>325</v>
      </c>
      <c r="B94" s="2" t="s">
        <v>326</v>
      </c>
      <c r="C94" s="2" t="s">
        <v>327</v>
      </c>
      <c r="D94" s="8">
        <v>34275</v>
      </c>
      <c r="E94" s="3">
        <v>234.86</v>
      </c>
      <c r="F94" s="2">
        <v>2024</v>
      </c>
      <c r="G94" s="2" t="s">
        <v>48</v>
      </c>
      <c r="H94" s="2" t="s">
        <v>163</v>
      </c>
      <c r="I94" s="2" t="s">
        <v>61</v>
      </c>
      <c r="J94" s="2" t="s">
        <v>62</v>
      </c>
      <c r="K94" s="2" t="s">
        <v>32</v>
      </c>
      <c r="L94" s="2" t="s">
        <v>144</v>
      </c>
      <c r="M94" s="8">
        <v>45618</v>
      </c>
      <c r="N94" s="2" t="s">
        <v>340</v>
      </c>
      <c r="O94" s="8">
        <v>45614</v>
      </c>
      <c r="P94" s="8">
        <v>45618</v>
      </c>
      <c r="Q94" s="2" t="s">
        <v>35</v>
      </c>
      <c r="R94" s="2" t="s">
        <v>286</v>
      </c>
      <c r="S94" s="2">
        <v>168941</v>
      </c>
      <c r="T94" s="2" t="s">
        <v>66</v>
      </c>
      <c r="U94" s="2" t="s">
        <v>67</v>
      </c>
      <c r="V94" s="2" t="s">
        <v>341</v>
      </c>
      <c r="W94" s="2">
        <v>8</v>
      </c>
      <c r="X94" s="4">
        <v>0.1</v>
      </c>
      <c r="Y94" s="3">
        <v>52.06</v>
      </c>
    </row>
    <row r="95" spans="1:25" x14ac:dyDescent="0.3">
      <c r="A95" s="2" t="s">
        <v>325</v>
      </c>
      <c r="B95" s="2" t="s">
        <v>326</v>
      </c>
      <c r="C95" s="2" t="s">
        <v>327</v>
      </c>
      <c r="D95" s="8">
        <v>34275</v>
      </c>
      <c r="E95" s="3">
        <v>1742.91</v>
      </c>
      <c r="F95" s="2">
        <v>2025</v>
      </c>
      <c r="G95" s="2" t="s">
        <v>48</v>
      </c>
      <c r="H95" s="2" t="s">
        <v>163</v>
      </c>
      <c r="I95" s="2" t="s">
        <v>43</v>
      </c>
      <c r="J95" s="2" t="s">
        <v>62</v>
      </c>
      <c r="K95" s="2" t="s">
        <v>32</v>
      </c>
      <c r="L95" s="2" t="s">
        <v>144</v>
      </c>
      <c r="M95" s="8">
        <v>45737</v>
      </c>
      <c r="N95" s="2" t="s">
        <v>342</v>
      </c>
      <c r="O95" s="8">
        <v>45737</v>
      </c>
      <c r="P95" s="8">
        <v>45742</v>
      </c>
      <c r="Q95" s="2" t="s">
        <v>74</v>
      </c>
      <c r="R95" s="2" t="s">
        <v>286</v>
      </c>
      <c r="S95" s="2">
        <v>773540</v>
      </c>
      <c r="T95" s="2" t="s">
        <v>153</v>
      </c>
      <c r="U95" s="2" t="s">
        <v>154</v>
      </c>
      <c r="V95" s="2" t="s">
        <v>343</v>
      </c>
      <c r="W95" s="2">
        <v>8</v>
      </c>
      <c r="X95" s="4">
        <v>0.2</v>
      </c>
      <c r="Y95" s="3">
        <v>301.23</v>
      </c>
    </row>
    <row r="96" spans="1:25" x14ac:dyDescent="0.3">
      <c r="A96" s="2" t="s">
        <v>344</v>
      </c>
      <c r="B96" s="2" t="s">
        <v>59</v>
      </c>
      <c r="C96" s="2" t="s">
        <v>284</v>
      </c>
      <c r="D96" s="8">
        <v>35948</v>
      </c>
      <c r="E96" s="3">
        <v>1059.4100000000001</v>
      </c>
      <c r="F96" s="2">
        <v>2024</v>
      </c>
      <c r="G96" s="2" t="s">
        <v>48</v>
      </c>
      <c r="H96" s="2" t="s">
        <v>29</v>
      </c>
      <c r="I96" s="2" t="s">
        <v>49</v>
      </c>
      <c r="J96" s="2" t="s">
        <v>62</v>
      </c>
      <c r="K96" s="2" t="s">
        <v>32</v>
      </c>
      <c r="L96" s="2" t="s">
        <v>63</v>
      </c>
      <c r="M96" s="8">
        <v>45405</v>
      </c>
      <c r="N96" s="2" t="s">
        <v>345</v>
      </c>
      <c r="O96" s="8">
        <v>45404</v>
      </c>
      <c r="P96" s="8">
        <v>45409</v>
      </c>
      <c r="Q96" s="2" t="s">
        <v>41</v>
      </c>
      <c r="R96" s="2" t="s">
        <v>65</v>
      </c>
      <c r="S96" s="2">
        <v>627290</v>
      </c>
      <c r="T96" s="2" t="s">
        <v>51</v>
      </c>
      <c r="U96" s="2" t="s">
        <v>52</v>
      </c>
      <c r="V96" s="2" t="s">
        <v>346</v>
      </c>
      <c r="W96" s="2">
        <v>3</v>
      </c>
      <c r="X96" s="4">
        <v>0.2</v>
      </c>
      <c r="Y96" s="3">
        <v>228.19</v>
      </c>
    </row>
    <row r="97" spans="1:25" x14ac:dyDescent="0.3">
      <c r="A97" s="2" t="s">
        <v>347</v>
      </c>
      <c r="B97" s="2" t="s">
        <v>161</v>
      </c>
      <c r="C97" s="2" t="s">
        <v>348</v>
      </c>
      <c r="D97" s="8">
        <v>33303</v>
      </c>
      <c r="E97" s="3">
        <v>669.92</v>
      </c>
      <c r="F97" s="2">
        <v>2023</v>
      </c>
      <c r="G97" s="2" t="s">
        <v>48</v>
      </c>
      <c r="H97" s="2" t="s">
        <v>29</v>
      </c>
      <c r="I97" s="2" t="s">
        <v>61</v>
      </c>
      <c r="J97" s="2" t="s">
        <v>143</v>
      </c>
      <c r="K97" s="2" t="s">
        <v>32</v>
      </c>
      <c r="L97" s="2" t="s">
        <v>33</v>
      </c>
      <c r="M97" s="8">
        <v>44984</v>
      </c>
      <c r="N97" s="2" t="s">
        <v>349</v>
      </c>
      <c r="O97" s="8">
        <v>44983</v>
      </c>
      <c r="P97" s="8">
        <v>44984</v>
      </c>
      <c r="Q97" s="2" t="s">
        <v>74</v>
      </c>
      <c r="R97" s="2" t="s">
        <v>250</v>
      </c>
      <c r="S97" s="2">
        <v>231250</v>
      </c>
      <c r="T97" s="2" t="s">
        <v>204</v>
      </c>
      <c r="U97" s="2" t="s">
        <v>205</v>
      </c>
      <c r="V97" s="2" t="s">
        <v>350</v>
      </c>
      <c r="W97" s="2">
        <v>4</v>
      </c>
      <c r="X97" s="4">
        <v>0.1</v>
      </c>
      <c r="Y97" s="3">
        <v>213.35</v>
      </c>
    </row>
    <row r="98" spans="1:25" x14ac:dyDescent="0.3">
      <c r="A98" s="2" t="s">
        <v>347</v>
      </c>
      <c r="B98" s="2" t="s">
        <v>161</v>
      </c>
      <c r="C98" s="2" t="s">
        <v>348</v>
      </c>
      <c r="D98" s="8">
        <v>33303</v>
      </c>
      <c r="E98" s="3">
        <v>496.1</v>
      </c>
      <c r="F98" s="2">
        <v>2023</v>
      </c>
      <c r="G98" s="2" t="s">
        <v>48</v>
      </c>
      <c r="H98" s="2" t="s">
        <v>29</v>
      </c>
      <c r="I98" s="2" t="s">
        <v>49</v>
      </c>
      <c r="J98" s="2" t="s">
        <v>143</v>
      </c>
      <c r="K98" s="2" t="s">
        <v>32</v>
      </c>
      <c r="L98" s="2" t="s">
        <v>33</v>
      </c>
      <c r="M98" s="8">
        <v>45055</v>
      </c>
      <c r="N98" s="2" t="s">
        <v>351</v>
      </c>
      <c r="O98" s="8">
        <v>45054</v>
      </c>
      <c r="P98" s="8">
        <v>45059</v>
      </c>
      <c r="Q98" s="2" t="s">
        <v>74</v>
      </c>
      <c r="R98" s="2" t="s">
        <v>250</v>
      </c>
      <c r="S98" s="2">
        <v>983456</v>
      </c>
      <c r="T98" s="2" t="s">
        <v>84</v>
      </c>
      <c r="U98" s="2" t="s">
        <v>85</v>
      </c>
      <c r="V98" s="2" t="s">
        <v>352</v>
      </c>
      <c r="W98" s="2">
        <v>9</v>
      </c>
      <c r="X98" s="4">
        <v>0.15</v>
      </c>
      <c r="Y98" s="3">
        <v>49.9</v>
      </c>
    </row>
    <row r="99" spans="1:25" x14ac:dyDescent="0.3">
      <c r="A99" s="2" t="s">
        <v>347</v>
      </c>
      <c r="B99" s="2" t="s">
        <v>161</v>
      </c>
      <c r="C99" s="2" t="s">
        <v>348</v>
      </c>
      <c r="D99" s="8">
        <v>33303</v>
      </c>
      <c r="E99" s="3">
        <v>50.14</v>
      </c>
      <c r="F99" s="2">
        <v>2023</v>
      </c>
      <c r="G99" s="2" t="s">
        <v>87</v>
      </c>
      <c r="H99" s="2" t="s">
        <v>29</v>
      </c>
      <c r="I99" s="2" t="s">
        <v>30</v>
      </c>
      <c r="J99" s="2" t="s">
        <v>143</v>
      </c>
      <c r="K99" s="2" t="s">
        <v>32</v>
      </c>
      <c r="L99" s="2" t="s">
        <v>33</v>
      </c>
      <c r="M99" s="8">
        <v>45084</v>
      </c>
      <c r="N99" s="2" t="s">
        <v>353</v>
      </c>
      <c r="O99" s="8">
        <v>45083</v>
      </c>
      <c r="P99" s="8">
        <v>45086</v>
      </c>
      <c r="Q99" s="2" t="s">
        <v>41</v>
      </c>
      <c r="R99" s="2" t="s">
        <v>250</v>
      </c>
      <c r="S99" s="2">
        <v>748133</v>
      </c>
      <c r="T99" s="2" t="s">
        <v>75</v>
      </c>
      <c r="U99" s="2" t="s">
        <v>76</v>
      </c>
      <c r="V99" s="2" t="s">
        <v>354</v>
      </c>
      <c r="W99" s="2">
        <v>1</v>
      </c>
      <c r="X99" s="4">
        <v>0.15</v>
      </c>
      <c r="Y99" s="3">
        <v>14.1</v>
      </c>
    </row>
    <row r="100" spans="1:25" x14ac:dyDescent="0.3">
      <c r="A100" s="2" t="s">
        <v>347</v>
      </c>
      <c r="B100" s="2" t="s">
        <v>161</v>
      </c>
      <c r="C100" s="2" t="s">
        <v>348</v>
      </c>
      <c r="D100" s="8">
        <v>33303</v>
      </c>
      <c r="E100" s="3">
        <v>1431.36</v>
      </c>
      <c r="F100" s="2">
        <v>2023</v>
      </c>
      <c r="G100" s="2" t="s">
        <v>28</v>
      </c>
      <c r="H100" s="2" t="s">
        <v>29</v>
      </c>
      <c r="I100" s="2" t="s">
        <v>49</v>
      </c>
      <c r="J100" s="2" t="s">
        <v>143</v>
      </c>
      <c r="K100" s="2" t="s">
        <v>32</v>
      </c>
      <c r="L100" s="2" t="s">
        <v>33</v>
      </c>
      <c r="M100" s="8">
        <v>45097</v>
      </c>
      <c r="N100" s="2" t="s">
        <v>355</v>
      </c>
      <c r="O100" s="8">
        <v>45095</v>
      </c>
      <c r="P100" s="8">
        <v>45099</v>
      </c>
      <c r="Q100" s="2" t="s">
        <v>35</v>
      </c>
      <c r="R100" s="2" t="s">
        <v>250</v>
      </c>
      <c r="S100" s="2">
        <v>822063</v>
      </c>
      <c r="T100" s="2" t="s">
        <v>109</v>
      </c>
      <c r="U100" s="2" t="s">
        <v>110</v>
      </c>
      <c r="V100" s="2" t="s">
        <v>356</v>
      </c>
      <c r="W100" s="2">
        <v>9</v>
      </c>
      <c r="X100" s="4">
        <v>0</v>
      </c>
      <c r="Y100" s="3">
        <v>278.95</v>
      </c>
    </row>
    <row r="101" spans="1:25" x14ac:dyDescent="0.3">
      <c r="A101" s="2" t="s">
        <v>347</v>
      </c>
      <c r="B101" s="2" t="s">
        <v>161</v>
      </c>
      <c r="C101" s="2" t="s">
        <v>348</v>
      </c>
      <c r="D101" s="8">
        <v>33303</v>
      </c>
      <c r="E101" s="3">
        <v>1767.08</v>
      </c>
      <c r="F101" s="2">
        <v>2023</v>
      </c>
      <c r="G101" s="2" t="s">
        <v>87</v>
      </c>
      <c r="H101" s="2" t="s">
        <v>29</v>
      </c>
      <c r="I101" s="2" t="s">
        <v>78</v>
      </c>
      <c r="J101" s="2" t="s">
        <v>143</v>
      </c>
      <c r="K101" s="2" t="s">
        <v>32</v>
      </c>
      <c r="L101" s="2" t="s">
        <v>33</v>
      </c>
      <c r="M101" s="8">
        <v>45239</v>
      </c>
      <c r="N101" s="2" t="s">
        <v>357</v>
      </c>
      <c r="O101" s="8">
        <v>45238</v>
      </c>
      <c r="P101" s="8">
        <v>45240</v>
      </c>
      <c r="Q101" s="2" t="s">
        <v>74</v>
      </c>
      <c r="R101" s="2" t="s">
        <v>250</v>
      </c>
      <c r="S101" s="2">
        <v>869864</v>
      </c>
      <c r="T101" s="2" t="s">
        <v>89</v>
      </c>
      <c r="U101" s="2" t="s">
        <v>90</v>
      </c>
      <c r="V101" s="2" t="s">
        <v>358</v>
      </c>
      <c r="W101" s="2">
        <v>7</v>
      </c>
      <c r="X101" s="4">
        <v>0</v>
      </c>
      <c r="Y101" s="3">
        <v>268.7</v>
      </c>
    </row>
    <row r="102" spans="1:25" x14ac:dyDescent="0.3">
      <c r="A102" s="2" t="s">
        <v>347</v>
      </c>
      <c r="B102" s="2" t="s">
        <v>161</v>
      </c>
      <c r="C102" s="2" t="s">
        <v>348</v>
      </c>
      <c r="D102" s="8">
        <v>33303</v>
      </c>
      <c r="E102" s="3">
        <v>1603.14</v>
      </c>
      <c r="F102" s="2">
        <v>2024</v>
      </c>
      <c r="G102" s="2" t="s">
        <v>28</v>
      </c>
      <c r="H102" s="2" t="s">
        <v>29</v>
      </c>
      <c r="I102" s="2" t="s">
        <v>43</v>
      </c>
      <c r="J102" s="2" t="s">
        <v>143</v>
      </c>
      <c r="K102" s="2" t="s">
        <v>32</v>
      </c>
      <c r="L102" s="2" t="s">
        <v>33</v>
      </c>
      <c r="M102" s="8">
        <v>45457</v>
      </c>
      <c r="N102" s="2" t="s">
        <v>359</v>
      </c>
      <c r="O102" s="8">
        <v>45457</v>
      </c>
      <c r="P102" s="8">
        <v>45461</v>
      </c>
      <c r="Q102" s="2" t="s">
        <v>41</v>
      </c>
      <c r="R102" s="2" t="s">
        <v>250</v>
      </c>
      <c r="S102" s="2">
        <v>359961</v>
      </c>
      <c r="T102" s="2" t="s">
        <v>153</v>
      </c>
      <c r="U102" s="2" t="s">
        <v>154</v>
      </c>
      <c r="V102" s="2" t="s">
        <v>360</v>
      </c>
      <c r="W102" s="2">
        <v>6</v>
      </c>
      <c r="X102" s="4">
        <v>0</v>
      </c>
      <c r="Y102" s="3">
        <v>233.63</v>
      </c>
    </row>
    <row r="103" spans="1:25" x14ac:dyDescent="0.3">
      <c r="A103" s="2" t="s">
        <v>347</v>
      </c>
      <c r="B103" s="2" t="s">
        <v>161</v>
      </c>
      <c r="C103" s="2" t="s">
        <v>348</v>
      </c>
      <c r="D103" s="8">
        <v>33303</v>
      </c>
      <c r="E103" s="3">
        <v>1895.12</v>
      </c>
      <c r="F103" s="2">
        <v>2025</v>
      </c>
      <c r="G103" s="2" t="s">
        <v>28</v>
      </c>
      <c r="H103" s="2" t="s">
        <v>29</v>
      </c>
      <c r="I103" s="2" t="s">
        <v>61</v>
      </c>
      <c r="J103" s="2" t="s">
        <v>143</v>
      </c>
      <c r="K103" s="2" t="s">
        <v>32</v>
      </c>
      <c r="L103" s="2" t="s">
        <v>33</v>
      </c>
      <c r="M103" s="8">
        <v>45778</v>
      </c>
      <c r="N103" s="2" t="s">
        <v>361</v>
      </c>
      <c r="O103" s="8">
        <v>45778</v>
      </c>
      <c r="P103" s="8">
        <v>45780</v>
      </c>
      <c r="Q103" s="2" t="s">
        <v>74</v>
      </c>
      <c r="R103" s="2" t="s">
        <v>250</v>
      </c>
      <c r="S103" s="2">
        <v>299055</v>
      </c>
      <c r="T103" s="2" t="s">
        <v>312</v>
      </c>
      <c r="U103" s="2" t="s">
        <v>313</v>
      </c>
      <c r="V103" s="2" t="s">
        <v>362</v>
      </c>
      <c r="W103" s="2">
        <v>5</v>
      </c>
      <c r="X103" s="4">
        <v>0.2</v>
      </c>
      <c r="Y103" s="3">
        <v>444.62</v>
      </c>
    </row>
    <row r="104" spans="1:25" x14ac:dyDescent="0.3">
      <c r="A104" s="2" t="s">
        <v>363</v>
      </c>
      <c r="B104" s="2" t="s">
        <v>59</v>
      </c>
      <c r="C104" s="2" t="s">
        <v>364</v>
      </c>
      <c r="D104" s="8">
        <v>31828</v>
      </c>
      <c r="E104" s="3">
        <v>852.68</v>
      </c>
      <c r="F104" s="2">
        <v>2024</v>
      </c>
      <c r="G104" s="2" t="s">
        <v>87</v>
      </c>
      <c r="H104" s="2" t="s">
        <v>29</v>
      </c>
      <c r="I104" s="2" t="s">
        <v>43</v>
      </c>
      <c r="J104" s="2" t="s">
        <v>102</v>
      </c>
      <c r="K104" s="2" t="s">
        <v>32</v>
      </c>
      <c r="L104" s="2" t="s">
        <v>33</v>
      </c>
      <c r="M104" s="8">
        <v>45405</v>
      </c>
      <c r="N104" s="2" t="s">
        <v>365</v>
      </c>
      <c r="O104" s="8">
        <v>45405</v>
      </c>
      <c r="P104" s="8">
        <v>45407</v>
      </c>
      <c r="Q104" s="2" t="s">
        <v>74</v>
      </c>
      <c r="R104" s="2" t="s">
        <v>104</v>
      </c>
      <c r="S104" s="2">
        <v>151021</v>
      </c>
      <c r="T104" s="2" t="s">
        <v>153</v>
      </c>
      <c r="U104" s="2" t="s">
        <v>154</v>
      </c>
      <c r="V104" s="2" t="s">
        <v>366</v>
      </c>
      <c r="W104" s="2">
        <v>2</v>
      </c>
      <c r="X104" s="4">
        <v>0.1</v>
      </c>
      <c r="Y104" s="3">
        <v>159.6</v>
      </c>
    </row>
    <row r="105" spans="1:25" x14ac:dyDescent="0.3">
      <c r="A105" s="2" t="s">
        <v>363</v>
      </c>
      <c r="B105" s="2" t="s">
        <v>59</v>
      </c>
      <c r="C105" s="2" t="s">
        <v>364</v>
      </c>
      <c r="D105" s="8">
        <v>31828</v>
      </c>
      <c r="E105" s="3">
        <v>3769.92</v>
      </c>
      <c r="F105" s="2">
        <v>2024</v>
      </c>
      <c r="G105" s="2" t="s">
        <v>48</v>
      </c>
      <c r="H105" s="2" t="s">
        <v>29</v>
      </c>
      <c r="I105" s="2" t="s">
        <v>78</v>
      </c>
      <c r="J105" s="2" t="s">
        <v>102</v>
      </c>
      <c r="K105" s="2" t="s">
        <v>32</v>
      </c>
      <c r="L105" s="2" t="s">
        <v>33</v>
      </c>
      <c r="M105" s="8">
        <v>45437</v>
      </c>
      <c r="N105" s="2" t="s">
        <v>367</v>
      </c>
      <c r="O105" s="8">
        <v>45437</v>
      </c>
      <c r="P105" s="8">
        <v>45440</v>
      </c>
      <c r="Q105" s="2" t="s">
        <v>41</v>
      </c>
      <c r="R105" s="2" t="s">
        <v>104</v>
      </c>
      <c r="S105" s="2">
        <v>240440</v>
      </c>
      <c r="T105" s="2" t="s">
        <v>117</v>
      </c>
      <c r="U105" s="2" t="s">
        <v>118</v>
      </c>
      <c r="V105" s="2" t="s">
        <v>368</v>
      </c>
      <c r="W105" s="2">
        <v>10</v>
      </c>
      <c r="X105" s="4">
        <v>0.15</v>
      </c>
      <c r="Y105" s="3">
        <v>949.1</v>
      </c>
    </row>
    <row r="106" spans="1:25" x14ac:dyDescent="0.3">
      <c r="A106" s="2" t="s">
        <v>363</v>
      </c>
      <c r="B106" s="2" t="s">
        <v>59</v>
      </c>
      <c r="C106" s="2" t="s">
        <v>364</v>
      </c>
      <c r="D106" s="8">
        <v>31828</v>
      </c>
      <c r="E106" s="3">
        <v>1301.07</v>
      </c>
      <c r="F106" s="2">
        <v>2024</v>
      </c>
      <c r="G106" s="2" t="s">
        <v>28</v>
      </c>
      <c r="H106" s="2" t="s">
        <v>29</v>
      </c>
      <c r="I106" s="2" t="s">
        <v>43</v>
      </c>
      <c r="J106" s="2" t="s">
        <v>102</v>
      </c>
      <c r="K106" s="2" t="s">
        <v>32</v>
      </c>
      <c r="L106" s="2" t="s">
        <v>33</v>
      </c>
      <c r="M106" s="8">
        <v>45438</v>
      </c>
      <c r="N106" s="2" t="s">
        <v>369</v>
      </c>
      <c r="O106" s="8">
        <v>45437</v>
      </c>
      <c r="P106" s="8">
        <v>45442</v>
      </c>
      <c r="Q106" s="2" t="s">
        <v>74</v>
      </c>
      <c r="R106" s="2" t="s">
        <v>104</v>
      </c>
      <c r="S106" s="2">
        <v>177103</v>
      </c>
      <c r="T106" s="2" t="s">
        <v>70</v>
      </c>
      <c r="U106" s="2" t="s">
        <v>71</v>
      </c>
      <c r="V106" s="2" t="s">
        <v>370</v>
      </c>
      <c r="W106" s="2">
        <v>7</v>
      </c>
      <c r="X106" s="4">
        <v>0.05</v>
      </c>
      <c r="Y106" s="3">
        <v>85.02</v>
      </c>
    </row>
    <row r="107" spans="1:25" x14ac:dyDescent="0.3">
      <c r="A107" s="2" t="s">
        <v>363</v>
      </c>
      <c r="B107" s="2" t="s">
        <v>59</v>
      </c>
      <c r="C107" s="2" t="s">
        <v>364</v>
      </c>
      <c r="D107" s="8">
        <v>31828</v>
      </c>
      <c r="E107" s="3">
        <v>1249.5899999999999</v>
      </c>
      <c r="F107" s="2">
        <v>2024</v>
      </c>
      <c r="G107" s="2" t="s">
        <v>48</v>
      </c>
      <c r="H107" s="2" t="s">
        <v>29</v>
      </c>
      <c r="I107" s="2" t="s">
        <v>92</v>
      </c>
      <c r="J107" s="2" t="s">
        <v>102</v>
      </c>
      <c r="K107" s="2" t="s">
        <v>32</v>
      </c>
      <c r="L107" s="2" t="s">
        <v>33</v>
      </c>
      <c r="M107" s="8">
        <v>45454</v>
      </c>
      <c r="N107" s="2" t="s">
        <v>371</v>
      </c>
      <c r="O107" s="8">
        <v>45454</v>
      </c>
      <c r="P107" s="8">
        <v>45455</v>
      </c>
      <c r="Q107" s="2" t="s">
        <v>41</v>
      </c>
      <c r="R107" s="2" t="s">
        <v>104</v>
      </c>
      <c r="S107" s="2">
        <v>491326</v>
      </c>
      <c r="T107" s="2" t="s">
        <v>127</v>
      </c>
      <c r="U107" s="2" t="s">
        <v>128</v>
      </c>
      <c r="V107" s="2" t="s">
        <v>372</v>
      </c>
      <c r="W107" s="2">
        <v>9</v>
      </c>
      <c r="X107" s="4">
        <v>0.1</v>
      </c>
      <c r="Y107" s="3">
        <v>317.55</v>
      </c>
    </row>
    <row r="108" spans="1:25" x14ac:dyDescent="0.3">
      <c r="A108" s="2" t="s">
        <v>363</v>
      </c>
      <c r="B108" s="2" t="s">
        <v>59</v>
      </c>
      <c r="C108" s="2" t="s">
        <v>364</v>
      </c>
      <c r="D108" s="8">
        <v>31828</v>
      </c>
      <c r="E108" s="3">
        <v>311.99</v>
      </c>
      <c r="F108" s="2">
        <v>2025</v>
      </c>
      <c r="G108" s="2" t="s">
        <v>48</v>
      </c>
      <c r="H108" s="2" t="s">
        <v>29</v>
      </c>
      <c r="I108" s="2" t="s">
        <v>43</v>
      </c>
      <c r="J108" s="2" t="s">
        <v>102</v>
      </c>
      <c r="K108" s="2" t="s">
        <v>32</v>
      </c>
      <c r="L108" s="2" t="s">
        <v>33</v>
      </c>
      <c r="M108" s="8">
        <v>45827</v>
      </c>
      <c r="N108" s="2" t="s">
        <v>373</v>
      </c>
      <c r="O108" s="8">
        <v>45827</v>
      </c>
      <c r="P108" s="8">
        <v>45828</v>
      </c>
      <c r="Q108" s="2" t="s">
        <v>121</v>
      </c>
      <c r="R108" s="2" t="s">
        <v>104</v>
      </c>
      <c r="S108" s="2">
        <v>848255</v>
      </c>
      <c r="T108" s="2" t="s">
        <v>70</v>
      </c>
      <c r="U108" s="2" t="s">
        <v>71</v>
      </c>
      <c r="V108" s="2" t="s">
        <v>370</v>
      </c>
      <c r="W108" s="2">
        <v>3</v>
      </c>
      <c r="X108" s="4">
        <v>0.1</v>
      </c>
      <c r="Y108" s="3">
        <v>53.17</v>
      </c>
    </row>
    <row r="109" spans="1:25" x14ac:dyDescent="0.3">
      <c r="A109" s="2" t="s">
        <v>374</v>
      </c>
      <c r="B109" s="2" t="s">
        <v>375</v>
      </c>
      <c r="C109" s="2" t="s">
        <v>376</v>
      </c>
      <c r="D109" s="8">
        <v>26364</v>
      </c>
      <c r="E109" s="3">
        <v>1642.45</v>
      </c>
      <c r="F109" s="2">
        <v>2024</v>
      </c>
      <c r="G109" s="2" t="s">
        <v>87</v>
      </c>
      <c r="H109" s="2" t="s">
        <v>29</v>
      </c>
      <c r="I109" s="2" t="s">
        <v>61</v>
      </c>
      <c r="J109" s="2" t="s">
        <v>143</v>
      </c>
      <c r="K109" s="2" t="s">
        <v>32</v>
      </c>
      <c r="L109" s="2" t="s">
        <v>144</v>
      </c>
      <c r="M109" s="8">
        <v>45396</v>
      </c>
      <c r="N109" s="2" t="s">
        <v>377</v>
      </c>
      <c r="O109" s="8">
        <v>45394</v>
      </c>
      <c r="P109" s="8">
        <v>45397</v>
      </c>
      <c r="Q109" s="2" t="s">
        <v>41</v>
      </c>
      <c r="R109" s="2" t="s">
        <v>146</v>
      </c>
      <c r="S109" s="2">
        <v>843167</v>
      </c>
      <c r="T109" s="2" t="s">
        <v>66</v>
      </c>
      <c r="U109" s="2" t="s">
        <v>67</v>
      </c>
      <c r="V109" s="2" t="s">
        <v>378</v>
      </c>
      <c r="W109" s="2">
        <v>10</v>
      </c>
      <c r="X109" s="4">
        <v>0.05</v>
      </c>
      <c r="Y109" s="3">
        <v>570.23</v>
      </c>
    </row>
    <row r="110" spans="1:25" x14ac:dyDescent="0.3">
      <c r="A110" s="2" t="s">
        <v>374</v>
      </c>
      <c r="B110" s="2" t="s">
        <v>375</v>
      </c>
      <c r="C110" s="2" t="s">
        <v>376</v>
      </c>
      <c r="D110" s="8">
        <v>26364</v>
      </c>
      <c r="E110" s="3">
        <v>167.29</v>
      </c>
      <c r="F110" s="2">
        <v>2024</v>
      </c>
      <c r="G110" s="2" t="s">
        <v>28</v>
      </c>
      <c r="H110" s="2" t="s">
        <v>29</v>
      </c>
      <c r="I110" s="2" t="s">
        <v>30</v>
      </c>
      <c r="J110" s="2" t="s">
        <v>143</v>
      </c>
      <c r="K110" s="2" t="s">
        <v>32</v>
      </c>
      <c r="L110" s="2" t="s">
        <v>144</v>
      </c>
      <c r="M110" s="8">
        <v>45416</v>
      </c>
      <c r="N110" s="2" t="s">
        <v>379</v>
      </c>
      <c r="O110" s="8">
        <v>45412</v>
      </c>
      <c r="P110" s="8">
        <v>45416</v>
      </c>
      <c r="Q110" s="2" t="s">
        <v>35</v>
      </c>
      <c r="R110" s="2" t="s">
        <v>146</v>
      </c>
      <c r="S110" s="2">
        <v>725905</v>
      </c>
      <c r="T110" s="2" t="s">
        <v>37</v>
      </c>
      <c r="U110" s="2" t="s">
        <v>38</v>
      </c>
      <c r="V110" s="2" t="s">
        <v>380</v>
      </c>
      <c r="W110" s="2">
        <v>1</v>
      </c>
      <c r="X110" s="4">
        <v>0.15</v>
      </c>
      <c r="Y110" s="3">
        <v>13.87</v>
      </c>
    </row>
    <row r="111" spans="1:25" x14ac:dyDescent="0.3">
      <c r="A111" s="2" t="s">
        <v>374</v>
      </c>
      <c r="B111" s="2" t="s">
        <v>375</v>
      </c>
      <c r="C111" s="2" t="s">
        <v>376</v>
      </c>
      <c r="D111" s="8">
        <v>26364</v>
      </c>
      <c r="E111" s="3">
        <v>2526.71</v>
      </c>
      <c r="F111" s="2">
        <v>2024</v>
      </c>
      <c r="G111" s="2" t="s">
        <v>87</v>
      </c>
      <c r="H111" s="2" t="s">
        <v>29</v>
      </c>
      <c r="I111" s="2" t="s">
        <v>92</v>
      </c>
      <c r="J111" s="2" t="s">
        <v>143</v>
      </c>
      <c r="K111" s="2" t="s">
        <v>32</v>
      </c>
      <c r="L111" s="2" t="s">
        <v>144</v>
      </c>
      <c r="M111" s="8">
        <v>45459</v>
      </c>
      <c r="N111" s="2" t="s">
        <v>381</v>
      </c>
      <c r="O111" s="8">
        <v>45458</v>
      </c>
      <c r="P111" s="8">
        <v>45462</v>
      </c>
      <c r="Q111" s="2" t="s">
        <v>41</v>
      </c>
      <c r="R111" s="2" t="s">
        <v>146</v>
      </c>
      <c r="S111" s="2">
        <v>254954</v>
      </c>
      <c r="T111" s="2" t="s">
        <v>94</v>
      </c>
      <c r="U111" s="2" t="s">
        <v>95</v>
      </c>
      <c r="V111" s="2" t="s">
        <v>382</v>
      </c>
      <c r="W111" s="2">
        <v>10</v>
      </c>
      <c r="X111" s="4">
        <v>0.15</v>
      </c>
      <c r="Y111" s="3">
        <v>165.26</v>
      </c>
    </row>
    <row r="112" spans="1:25" x14ac:dyDescent="0.3">
      <c r="A112" s="2" t="s">
        <v>383</v>
      </c>
      <c r="B112" s="2" t="s">
        <v>384</v>
      </c>
      <c r="C112" s="2" t="s">
        <v>125</v>
      </c>
      <c r="D112" s="8">
        <v>31411</v>
      </c>
      <c r="E112" s="3">
        <v>551.51</v>
      </c>
      <c r="F112" s="2">
        <v>2023</v>
      </c>
      <c r="G112" s="2" t="s">
        <v>28</v>
      </c>
      <c r="H112" s="2" t="s">
        <v>29</v>
      </c>
      <c r="I112" s="2" t="s">
        <v>78</v>
      </c>
      <c r="J112" s="2" t="s">
        <v>62</v>
      </c>
      <c r="K112" s="2" t="s">
        <v>32</v>
      </c>
      <c r="L112" s="2" t="s">
        <v>63</v>
      </c>
      <c r="M112" s="8">
        <v>44963</v>
      </c>
      <c r="N112" s="2" t="s">
        <v>385</v>
      </c>
      <c r="O112" s="8">
        <v>44959</v>
      </c>
      <c r="P112" s="8">
        <v>44964</v>
      </c>
      <c r="Q112" s="2" t="s">
        <v>35</v>
      </c>
      <c r="R112" s="2" t="s">
        <v>386</v>
      </c>
      <c r="S112" s="2">
        <v>840058</v>
      </c>
      <c r="T112" s="2" t="s">
        <v>80</v>
      </c>
      <c r="U112" s="2" t="s">
        <v>81</v>
      </c>
      <c r="V112" s="2" t="s">
        <v>387</v>
      </c>
      <c r="W112" s="2">
        <v>7</v>
      </c>
      <c r="X112" s="4">
        <v>0.15</v>
      </c>
      <c r="Y112" s="3">
        <v>61.31</v>
      </c>
    </row>
    <row r="113" spans="1:25" x14ac:dyDescent="0.3">
      <c r="A113" s="2" t="s">
        <v>383</v>
      </c>
      <c r="B113" s="2" t="s">
        <v>384</v>
      </c>
      <c r="C113" s="2" t="s">
        <v>125</v>
      </c>
      <c r="D113" s="8">
        <v>31411</v>
      </c>
      <c r="E113" s="3">
        <v>2844.87</v>
      </c>
      <c r="F113" s="2">
        <v>2023</v>
      </c>
      <c r="G113" s="2" t="s">
        <v>28</v>
      </c>
      <c r="H113" s="2" t="s">
        <v>29</v>
      </c>
      <c r="I113" s="2" t="s">
        <v>61</v>
      </c>
      <c r="J113" s="2" t="s">
        <v>62</v>
      </c>
      <c r="K113" s="2" t="s">
        <v>32</v>
      </c>
      <c r="L113" s="2" t="s">
        <v>63</v>
      </c>
      <c r="M113" s="8">
        <v>45040</v>
      </c>
      <c r="N113" s="2" t="s">
        <v>388</v>
      </c>
      <c r="O113" s="8">
        <v>45039</v>
      </c>
      <c r="P113" s="8">
        <v>45042</v>
      </c>
      <c r="Q113" s="2" t="s">
        <v>74</v>
      </c>
      <c r="R113" s="2" t="s">
        <v>386</v>
      </c>
      <c r="S113" s="2">
        <v>672808</v>
      </c>
      <c r="T113" s="2" t="s">
        <v>66</v>
      </c>
      <c r="U113" s="2" t="s">
        <v>67</v>
      </c>
      <c r="V113" s="2" t="s">
        <v>389</v>
      </c>
      <c r="W113" s="2">
        <v>6</v>
      </c>
      <c r="X113" s="4">
        <v>0.05</v>
      </c>
      <c r="Y113" s="3">
        <v>590.72</v>
      </c>
    </row>
    <row r="114" spans="1:25" x14ac:dyDescent="0.3">
      <c r="A114" s="2" t="s">
        <v>383</v>
      </c>
      <c r="B114" s="2" t="s">
        <v>384</v>
      </c>
      <c r="C114" s="2" t="s">
        <v>125</v>
      </c>
      <c r="D114" s="8">
        <v>31411</v>
      </c>
      <c r="E114" s="3">
        <v>1564.2</v>
      </c>
      <c r="F114" s="2">
        <v>2023</v>
      </c>
      <c r="G114" s="2" t="s">
        <v>48</v>
      </c>
      <c r="H114" s="2" t="s">
        <v>29</v>
      </c>
      <c r="I114" s="2" t="s">
        <v>43</v>
      </c>
      <c r="J114" s="2" t="s">
        <v>62</v>
      </c>
      <c r="K114" s="2" t="s">
        <v>32</v>
      </c>
      <c r="L114" s="2" t="s">
        <v>63</v>
      </c>
      <c r="M114" s="8">
        <v>45124</v>
      </c>
      <c r="N114" s="2" t="s">
        <v>390</v>
      </c>
      <c r="O114" s="8">
        <v>45122</v>
      </c>
      <c r="P114" s="8">
        <v>45125</v>
      </c>
      <c r="Q114" s="2" t="s">
        <v>74</v>
      </c>
      <c r="R114" s="2" t="s">
        <v>386</v>
      </c>
      <c r="S114" s="2">
        <v>908634</v>
      </c>
      <c r="T114" s="2" t="s">
        <v>70</v>
      </c>
      <c r="U114" s="2" t="s">
        <v>71</v>
      </c>
      <c r="V114" s="2" t="s">
        <v>391</v>
      </c>
      <c r="W114" s="2">
        <v>5</v>
      </c>
      <c r="X114" s="4">
        <v>0</v>
      </c>
      <c r="Y114" s="3">
        <v>527.45000000000005</v>
      </c>
    </row>
    <row r="115" spans="1:25" x14ac:dyDescent="0.3">
      <c r="A115" s="2" t="s">
        <v>383</v>
      </c>
      <c r="B115" s="2" t="s">
        <v>384</v>
      </c>
      <c r="C115" s="2" t="s">
        <v>125</v>
      </c>
      <c r="D115" s="8">
        <v>31411</v>
      </c>
      <c r="E115" s="3">
        <v>1377.44</v>
      </c>
      <c r="F115" s="2">
        <v>2023</v>
      </c>
      <c r="G115" s="2" t="s">
        <v>48</v>
      </c>
      <c r="H115" s="2" t="s">
        <v>29</v>
      </c>
      <c r="I115" s="2" t="s">
        <v>43</v>
      </c>
      <c r="J115" s="2" t="s">
        <v>62</v>
      </c>
      <c r="K115" s="2" t="s">
        <v>32</v>
      </c>
      <c r="L115" s="2" t="s">
        <v>63</v>
      </c>
      <c r="M115" s="8">
        <v>45177</v>
      </c>
      <c r="N115" s="2" t="s">
        <v>392</v>
      </c>
      <c r="O115" s="8">
        <v>45175</v>
      </c>
      <c r="P115" s="8">
        <v>45178</v>
      </c>
      <c r="Q115" s="2" t="s">
        <v>41</v>
      </c>
      <c r="R115" s="2" t="s">
        <v>386</v>
      </c>
      <c r="S115" s="2">
        <v>513697</v>
      </c>
      <c r="T115" s="2" t="s">
        <v>70</v>
      </c>
      <c r="U115" s="2" t="s">
        <v>71</v>
      </c>
      <c r="V115" s="2" t="s">
        <v>393</v>
      </c>
      <c r="W115" s="2">
        <v>8</v>
      </c>
      <c r="X115" s="4">
        <v>0</v>
      </c>
      <c r="Y115" s="3">
        <v>300.48</v>
      </c>
    </row>
    <row r="116" spans="1:25" x14ac:dyDescent="0.3">
      <c r="A116" s="2" t="s">
        <v>383</v>
      </c>
      <c r="B116" s="2" t="s">
        <v>384</v>
      </c>
      <c r="C116" s="2" t="s">
        <v>125</v>
      </c>
      <c r="D116" s="8">
        <v>31411</v>
      </c>
      <c r="E116" s="3">
        <v>134.35</v>
      </c>
      <c r="F116" s="2">
        <v>2024</v>
      </c>
      <c r="G116" s="2" t="s">
        <v>87</v>
      </c>
      <c r="H116" s="2" t="s">
        <v>29</v>
      </c>
      <c r="I116" s="2" t="s">
        <v>43</v>
      </c>
      <c r="J116" s="2" t="s">
        <v>62</v>
      </c>
      <c r="K116" s="2" t="s">
        <v>32</v>
      </c>
      <c r="L116" s="2" t="s">
        <v>63</v>
      </c>
      <c r="M116" s="8">
        <v>45515</v>
      </c>
      <c r="N116" s="2" t="s">
        <v>394</v>
      </c>
      <c r="O116" s="8">
        <v>45513</v>
      </c>
      <c r="P116" s="8">
        <v>45517</v>
      </c>
      <c r="Q116" s="2" t="s">
        <v>41</v>
      </c>
      <c r="R116" s="2" t="s">
        <v>386</v>
      </c>
      <c r="S116" s="2">
        <v>324381</v>
      </c>
      <c r="T116" s="2" t="s">
        <v>45</v>
      </c>
      <c r="U116" s="2" t="s">
        <v>46</v>
      </c>
      <c r="V116" s="2" t="s">
        <v>395</v>
      </c>
      <c r="W116" s="2">
        <v>1</v>
      </c>
      <c r="X116" s="4">
        <v>0.15</v>
      </c>
      <c r="Y116" s="3">
        <v>9.9</v>
      </c>
    </row>
    <row r="117" spans="1:25" x14ac:dyDescent="0.3">
      <c r="A117" s="2" t="s">
        <v>383</v>
      </c>
      <c r="B117" s="2" t="s">
        <v>384</v>
      </c>
      <c r="C117" s="2" t="s">
        <v>125</v>
      </c>
      <c r="D117" s="8">
        <v>31411</v>
      </c>
      <c r="E117" s="3">
        <v>386.5</v>
      </c>
      <c r="F117" s="2">
        <v>2024</v>
      </c>
      <c r="G117" s="2" t="s">
        <v>48</v>
      </c>
      <c r="H117" s="2" t="s">
        <v>29</v>
      </c>
      <c r="I117" s="2" t="s">
        <v>61</v>
      </c>
      <c r="J117" s="2" t="s">
        <v>62</v>
      </c>
      <c r="K117" s="2" t="s">
        <v>32</v>
      </c>
      <c r="L117" s="2" t="s">
        <v>63</v>
      </c>
      <c r="M117" s="8">
        <v>45644</v>
      </c>
      <c r="N117" s="2" t="s">
        <v>396</v>
      </c>
      <c r="O117" s="8">
        <v>45644</v>
      </c>
      <c r="P117" s="8">
        <v>45646</v>
      </c>
      <c r="Q117" s="2" t="s">
        <v>121</v>
      </c>
      <c r="R117" s="2" t="s">
        <v>386</v>
      </c>
      <c r="S117" s="2">
        <v>768933</v>
      </c>
      <c r="T117" s="2" t="s">
        <v>204</v>
      </c>
      <c r="U117" s="2" t="s">
        <v>205</v>
      </c>
      <c r="V117" s="2" t="s">
        <v>397</v>
      </c>
      <c r="W117" s="2">
        <v>5</v>
      </c>
      <c r="X117" s="4">
        <v>0.1</v>
      </c>
      <c r="Y117" s="3">
        <v>105.23</v>
      </c>
    </row>
    <row r="118" spans="1:25" x14ac:dyDescent="0.3">
      <c r="A118" s="2" t="s">
        <v>398</v>
      </c>
      <c r="B118" s="2" t="s">
        <v>399</v>
      </c>
      <c r="C118" s="2" t="s">
        <v>271</v>
      </c>
      <c r="D118" s="8">
        <v>35551</v>
      </c>
      <c r="E118" s="3">
        <v>693.94</v>
      </c>
      <c r="F118" s="2">
        <v>2023</v>
      </c>
      <c r="G118" s="2" t="s">
        <v>28</v>
      </c>
      <c r="H118" s="2" t="s">
        <v>29</v>
      </c>
      <c r="I118" s="2" t="s">
        <v>43</v>
      </c>
      <c r="J118" s="2" t="s">
        <v>102</v>
      </c>
      <c r="K118" s="2" t="s">
        <v>32</v>
      </c>
      <c r="L118" s="2" t="s">
        <v>63</v>
      </c>
      <c r="M118" s="8">
        <v>45030</v>
      </c>
      <c r="N118" s="2" t="s">
        <v>400</v>
      </c>
      <c r="O118" s="8">
        <v>45029</v>
      </c>
      <c r="P118" s="8">
        <v>45034</v>
      </c>
      <c r="Q118" s="2" t="s">
        <v>41</v>
      </c>
      <c r="R118" s="2" t="s">
        <v>186</v>
      </c>
      <c r="S118" s="2">
        <v>600641</v>
      </c>
      <c r="T118" s="2" t="s">
        <v>70</v>
      </c>
      <c r="U118" s="2" t="s">
        <v>71</v>
      </c>
      <c r="V118" s="2" t="s">
        <v>401</v>
      </c>
      <c r="W118" s="2">
        <v>2</v>
      </c>
      <c r="X118" s="4">
        <v>0</v>
      </c>
      <c r="Y118" s="3">
        <v>35.78</v>
      </c>
    </row>
    <row r="119" spans="1:25" x14ac:dyDescent="0.3">
      <c r="A119" s="2" t="s">
        <v>398</v>
      </c>
      <c r="B119" s="2" t="s">
        <v>399</v>
      </c>
      <c r="C119" s="2" t="s">
        <v>271</v>
      </c>
      <c r="D119" s="8">
        <v>35551</v>
      </c>
      <c r="E119" s="3">
        <v>740.18</v>
      </c>
      <c r="F119" s="2">
        <v>2024</v>
      </c>
      <c r="G119" s="2" t="s">
        <v>87</v>
      </c>
      <c r="H119" s="2" t="s">
        <v>29</v>
      </c>
      <c r="I119" s="2" t="s">
        <v>49</v>
      </c>
      <c r="J119" s="2" t="s">
        <v>102</v>
      </c>
      <c r="K119" s="2" t="s">
        <v>32</v>
      </c>
      <c r="L119" s="2" t="s">
        <v>63</v>
      </c>
      <c r="M119" s="8">
        <v>45350</v>
      </c>
      <c r="N119" s="2" t="s">
        <v>402</v>
      </c>
      <c r="O119" s="8">
        <v>45350</v>
      </c>
      <c r="P119" s="8">
        <v>45351</v>
      </c>
      <c r="Q119" s="2" t="s">
        <v>35</v>
      </c>
      <c r="R119" s="2" t="s">
        <v>186</v>
      </c>
      <c r="S119" s="2">
        <v>283568</v>
      </c>
      <c r="T119" s="2" t="s">
        <v>109</v>
      </c>
      <c r="U119" s="2" t="s">
        <v>110</v>
      </c>
      <c r="V119" s="2" t="s">
        <v>403</v>
      </c>
      <c r="W119" s="2">
        <v>5</v>
      </c>
      <c r="X119" s="4">
        <v>0.15</v>
      </c>
      <c r="Y119" s="3">
        <v>50.15</v>
      </c>
    </row>
    <row r="120" spans="1:25" x14ac:dyDescent="0.3">
      <c r="A120" s="2" t="s">
        <v>404</v>
      </c>
      <c r="B120" s="2" t="s">
        <v>405</v>
      </c>
      <c r="C120" s="2" t="s">
        <v>27</v>
      </c>
      <c r="D120" s="8">
        <v>28551</v>
      </c>
      <c r="E120" s="3">
        <v>2204.1999999999998</v>
      </c>
      <c r="F120" s="2">
        <v>2023</v>
      </c>
      <c r="G120" s="2" t="s">
        <v>28</v>
      </c>
      <c r="H120" s="2" t="s">
        <v>29</v>
      </c>
      <c r="I120" s="2" t="s">
        <v>92</v>
      </c>
      <c r="J120" s="2" t="s">
        <v>143</v>
      </c>
      <c r="K120" s="2" t="s">
        <v>32</v>
      </c>
      <c r="L120" s="2" t="s">
        <v>144</v>
      </c>
      <c r="M120" s="8">
        <v>44964</v>
      </c>
      <c r="N120" s="2" t="s">
        <v>406</v>
      </c>
      <c r="O120" s="8">
        <v>44964</v>
      </c>
      <c r="P120" s="8">
        <v>44969</v>
      </c>
      <c r="Q120" s="2" t="s">
        <v>74</v>
      </c>
      <c r="R120" s="2" t="s">
        <v>146</v>
      </c>
      <c r="S120" s="2">
        <v>576419</v>
      </c>
      <c r="T120" s="2" t="s">
        <v>127</v>
      </c>
      <c r="U120" s="2" t="s">
        <v>128</v>
      </c>
      <c r="V120" s="2" t="s">
        <v>407</v>
      </c>
      <c r="W120" s="2">
        <v>5</v>
      </c>
      <c r="X120" s="4">
        <v>0</v>
      </c>
      <c r="Y120" s="3">
        <v>307.52</v>
      </c>
    </row>
    <row r="121" spans="1:25" x14ac:dyDescent="0.3">
      <c r="A121" s="2" t="s">
        <v>404</v>
      </c>
      <c r="B121" s="2" t="s">
        <v>405</v>
      </c>
      <c r="C121" s="2" t="s">
        <v>27</v>
      </c>
      <c r="D121" s="8">
        <v>28551</v>
      </c>
      <c r="E121" s="3">
        <v>3574.72</v>
      </c>
      <c r="F121" s="2">
        <v>2023</v>
      </c>
      <c r="G121" s="2" t="s">
        <v>48</v>
      </c>
      <c r="H121" s="2" t="s">
        <v>29</v>
      </c>
      <c r="I121" s="2" t="s">
        <v>49</v>
      </c>
      <c r="J121" s="2" t="s">
        <v>143</v>
      </c>
      <c r="K121" s="2" t="s">
        <v>32</v>
      </c>
      <c r="L121" s="2" t="s">
        <v>144</v>
      </c>
      <c r="M121" s="8">
        <v>45109</v>
      </c>
      <c r="N121" s="2" t="s">
        <v>408</v>
      </c>
      <c r="O121" s="8">
        <v>45107</v>
      </c>
      <c r="P121" s="8">
        <v>45111</v>
      </c>
      <c r="Q121" s="2" t="s">
        <v>35</v>
      </c>
      <c r="R121" s="2" t="s">
        <v>146</v>
      </c>
      <c r="S121" s="2">
        <v>446747</v>
      </c>
      <c r="T121" s="2" t="s">
        <v>51</v>
      </c>
      <c r="U121" s="2" t="s">
        <v>52</v>
      </c>
      <c r="V121" s="2" t="s">
        <v>409</v>
      </c>
      <c r="W121" s="2">
        <v>8</v>
      </c>
      <c r="X121" s="4">
        <v>0</v>
      </c>
      <c r="Y121" s="3">
        <v>1091.43</v>
      </c>
    </row>
    <row r="122" spans="1:25" x14ac:dyDescent="0.3">
      <c r="A122" s="2" t="s">
        <v>404</v>
      </c>
      <c r="B122" s="2" t="s">
        <v>405</v>
      </c>
      <c r="C122" s="2" t="s">
        <v>27</v>
      </c>
      <c r="D122" s="8">
        <v>28551</v>
      </c>
      <c r="E122" s="3">
        <v>1824.65</v>
      </c>
      <c r="F122" s="2">
        <v>2025</v>
      </c>
      <c r="G122" s="2" t="s">
        <v>48</v>
      </c>
      <c r="H122" s="2" t="s">
        <v>29</v>
      </c>
      <c r="I122" s="2" t="s">
        <v>61</v>
      </c>
      <c r="J122" s="2" t="s">
        <v>143</v>
      </c>
      <c r="K122" s="2" t="s">
        <v>32</v>
      </c>
      <c r="L122" s="2" t="s">
        <v>144</v>
      </c>
      <c r="M122" s="8">
        <v>45785</v>
      </c>
      <c r="N122" s="2" t="s">
        <v>410</v>
      </c>
      <c r="O122" s="8">
        <v>45784</v>
      </c>
      <c r="P122" s="8">
        <v>45787</v>
      </c>
      <c r="Q122" s="2" t="s">
        <v>41</v>
      </c>
      <c r="R122" s="2" t="s">
        <v>146</v>
      </c>
      <c r="S122" s="2">
        <v>967161</v>
      </c>
      <c r="T122" s="2" t="s">
        <v>113</v>
      </c>
      <c r="U122" s="2" t="s">
        <v>114</v>
      </c>
      <c r="V122" s="2" t="s">
        <v>411</v>
      </c>
      <c r="W122" s="2">
        <v>5</v>
      </c>
      <c r="X122" s="4">
        <v>0</v>
      </c>
      <c r="Y122" s="3">
        <v>494.45</v>
      </c>
    </row>
    <row r="123" spans="1:25" x14ac:dyDescent="0.3">
      <c r="A123" s="2" t="s">
        <v>412</v>
      </c>
      <c r="B123" s="2" t="s">
        <v>399</v>
      </c>
      <c r="C123" s="2" t="s">
        <v>60</v>
      </c>
      <c r="D123" s="8">
        <v>35534</v>
      </c>
      <c r="E123" s="3">
        <v>747.54</v>
      </c>
      <c r="F123" s="2">
        <v>2023</v>
      </c>
      <c r="G123" s="2" t="s">
        <v>28</v>
      </c>
      <c r="H123" s="2" t="s">
        <v>29</v>
      </c>
      <c r="I123" s="2" t="s">
        <v>49</v>
      </c>
      <c r="J123" s="2" t="s">
        <v>31</v>
      </c>
      <c r="K123" s="2" t="s">
        <v>32</v>
      </c>
      <c r="L123" s="2" t="s">
        <v>63</v>
      </c>
      <c r="M123" s="8">
        <v>45016</v>
      </c>
      <c r="N123" s="2" t="s">
        <v>413</v>
      </c>
      <c r="O123" s="8">
        <v>45015</v>
      </c>
      <c r="P123" s="8">
        <v>45019</v>
      </c>
      <c r="Q123" s="2" t="s">
        <v>74</v>
      </c>
      <c r="R123" s="2" t="s">
        <v>36</v>
      </c>
      <c r="S123" s="2">
        <v>445637</v>
      </c>
      <c r="T123" s="2" t="s">
        <v>109</v>
      </c>
      <c r="U123" s="2" t="s">
        <v>110</v>
      </c>
      <c r="V123" s="2" t="s">
        <v>414</v>
      </c>
      <c r="W123" s="2">
        <v>3</v>
      </c>
      <c r="X123" s="4">
        <v>0</v>
      </c>
      <c r="Y123" s="3">
        <v>38.909999999999997</v>
      </c>
    </row>
    <row r="124" spans="1:25" x14ac:dyDescent="0.3">
      <c r="A124" s="2" t="s">
        <v>412</v>
      </c>
      <c r="B124" s="2" t="s">
        <v>399</v>
      </c>
      <c r="C124" s="2" t="s">
        <v>60</v>
      </c>
      <c r="D124" s="8">
        <v>35534</v>
      </c>
      <c r="E124" s="3">
        <v>216.66</v>
      </c>
      <c r="F124" s="2">
        <v>2023</v>
      </c>
      <c r="G124" s="2" t="s">
        <v>87</v>
      </c>
      <c r="H124" s="2" t="s">
        <v>29</v>
      </c>
      <c r="I124" s="2" t="s">
        <v>43</v>
      </c>
      <c r="J124" s="2" t="s">
        <v>31</v>
      </c>
      <c r="K124" s="2" t="s">
        <v>32</v>
      </c>
      <c r="L124" s="2" t="s">
        <v>63</v>
      </c>
      <c r="M124" s="8">
        <v>45262</v>
      </c>
      <c r="N124" s="2" t="s">
        <v>415</v>
      </c>
      <c r="O124" s="8">
        <v>45262</v>
      </c>
      <c r="P124" s="8">
        <v>45264</v>
      </c>
      <c r="Q124" s="2" t="s">
        <v>35</v>
      </c>
      <c r="R124" s="2" t="s">
        <v>36</v>
      </c>
      <c r="S124" s="2">
        <v>588002</v>
      </c>
      <c r="T124" s="2" t="s">
        <v>70</v>
      </c>
      <c r="U124" s="2" t="s">
        <v>71</v>
      </c>
      <c r="V124" s="2" t="s">
        <v>416</v>
      </c>
      <c r="W124" s="2">
        <v>10</v>
      </c>
      <c r="X124" s="4">
        <v>0.15</v>
      </c>
      <c r="Y124" s="3">
        <v>34.200000000000003</v>
      </c>
    </row>
    <row r="125" spans="1:25" x14ac:dyDescent="0.3">
      <c r="A125" s="2" t="s">
        <v>412</v>
      </c>
      <c r="B125" s="2" t="s">
        <v>399</v>
      </c>
      <c r="C125" s="2" t="s">
        <v>60</v>
      </c>
      <c r="D125" s="8">
        <v>35534</v>
      </c>
      <c r="E125" s="3">
        <v>3542.64</v>
      </c>
      <c r="F125" s="2">
        <v>2024</v>
      </c>
      <c r="G125" s="2" t="s">
        <v>28</v>
      </c>
      <c r="H125" s="2" t="s">
        <v>29</v>
      </c>
      <c r="I125" s="2" t="s">
        <v>43</v>
      </c>
      <c r="J125" s="2" t="s">
        <v>31</v>
      </c>
      <c r="K125" s="2" t="s">
        <v>32</v>
      </c>
      <c r="L125" s="2" t="s">
        <v>63</v>
      </c>
      <c r="M125" s="8">
        <v>45338</v>
      </c>
      <c r="N125" s="2" t="s">
        <v>417</v>
      </c>
      <c r="O125" s="8">
        <v>45337</v>
      </c>
      <c r="P125" s="8">
        <v>45338</v>
      </c>
      <c r="Q125" s="2" t="s">
        <v>121</v>
      </c>
      <c r="R125" s="2" t="s">
        <v>36</v>
      </c>
      <c r="S125" s="2">
        <v>329772</v>
      </c>
      <c r="T125" s="2" t="s">
        <v>45</v>
      </c>
      <c r="U125" s="2" t="s">
        <v>46</v>
      </c>
      <c r="V125" s="2" t="s">
        <v>418</v>
      </c>
      <c r="W125" s="2">
        <v>9</v>
      </c>
      <c r="X125" s="4">
        <v>0.15</v>
      </c>
      <c r="Y125" s="3">
        <v>995.31</v>
      </c>
    </row>
    <row r="126" spans="1:25" x14ac:dyDescent="0.3">
      <c r="A126" s="2" t="s">
        <v>419</v>
      </c>
      <c r="B126" s="2" t="s">
        <v>183</v>
      </c>
      <c r="C126" s="2" t="s">
        <v>248</v>
      </c>
      <c r="D126" s="8">
        <v>33987</v>
      </c>
      <c r="E126" s="3">
        <v>2915.71</v>
      </c>
      <c r="F126" s="2">
        <v>2023</v>
      </c>
      <c r="G126" s="2" t="s">
        <v>87</v>
      </c>
      <c r="H126" s="2" t="s">
        <v>163</v>
      </c>
      <c r="I126" s="2" t="s">
        <v>49</v>
      </c>
      <c r="J126" s="2" t="s">
        <v>143</v>
      </c>
      <c r="K126" s="2" t="s">
        <v>32</v>
      </c>
      <c r="L126" s="2" t="s">
        <v>33</v>
      </c>
      <c r="M126" s="8">
        <v>45085</v>
      </c>
      <c r="N126" s="2" t="s">
        <v>420</v>
      </c>
      <c r="O126" s="8">
        <v>45083</v>
      </c>
      <c r="P126" s="8">
        <v>45085</v>
      </c>
      <c r="Q126" s="2" t="s">
        <v>35</v>
      </c>
      <c r="R126" s="2" t="s">
        <v>421</v>
      </c>
      <c r="S126" s="2">
        <v>651033</v>
      </c>
      <c r="T126" s="2" t="s">
        <v>51</v>
      </c>
      <c r="U126" s="2" t="s">
        <v>52</v>
      </c>
      <c r="V126" s="2" t="s">
        <v>422</v>
      </c>
      <c r="W126" s="2">
        <v>9</v>
      </c>
      <c r="X126" s="4">
        <v>0.2</v>
      </c>
      <c r="Y126" s="3">
        <v>336.83</v>
      </c>
    </row>
    <row r="127" spans="1:25" x14ac:dyDescent="0.3">
      <c r="A127" s="2" t="s">
        <v>419</v>
      </c>
      <c r="B127" s="2" t="s">
        <v>183</v>
      </c>
      <c r="C127" s="2" t="s">
        <v>248</v>
      </c>
      <c r="D127" s="8">
        <v>33987</v>
      </c>
      <c r="E127" s="3">
        <v>590.88</v>
      </c>
      <c r="F127" s="2">
        <v>2024</v>
      </c>
      <c r="G127" s="2" t="s">
        <v>87</v>
      </c>
      <c r="H127" s="2" t="s">
        <v>163</v>
      </c>
      <c r="I127" s="2" t="s">
        <v>92</v>
      </c>
      <c r="J127" s="2" t="s">
        <v>143</v>
      </c>
      <c r="K127" s="2" t="s">
        <v>32</v>
      </c>
      <c r="L127" s="2" t="s">
        <v>33</v>
      </c>
      <c r="M127" s="8">
        <v>45310</v>
      </c>
      <c r="N127" s="2" t="s">
        <v>423</v>
      </c>
      <c r="O127" s="8">
        <v>45309</v>
      </c>
      <c r="P127" s="8">
        <v>45314</v>
      </c>
      <c r="Q127" s="2" t="s">
        <v>121</v>
      </c>
      <c r="R127" s="2" t="s">
        <v>421</v>
      </c>
      <c r="S127" s="2">
        <v>272529</v>
      </c>
      <c r="T127" s="2" t="s">
        <v>94</v>
      </c>
      <c r="U127" s="2" t="s">
        <v>95</v>
      </c>
      <c r="V127" s="2" t="s">
        <v>424</v>
      </c>
      <c r="W127" s="2">
        <v>10</v>
      </c>
      <c r="X127" s="4">
        <v>0.2</v>
      </c>
      <c r="Y127" s="3">
        <v>126.62</v>
      </c>
    </row>
    <row r="128" spans="1:25" x14ac:dyDescent="0.3">
      <c r="A128" s="2" t="s">
        <v>419</v>
      </c>
      <c r="B128" s="2" t="s">
        <v>183</v>
      </c>
      <c r="C128" s="2" t="s">
        <v>248</v>
      </c>
      <c r="D128" s="8">
        <v>33987</v>
      </c>
      <c r="E128" s="3">
        <v>589.12</v>
      </c>
      <c r="F128" s="2">
        <v>2024</v>
      </c>
      <c r="G128" s="2" t="s">
        <v>48</v>
      </c>
      <c r="H128" s="2" t="s">
        <v>163</v>
      </c>
      <c r="I128" s="2" t="s">
        <v>43</v>
      </c>
      <c r="J128" s="2" t="s">
        <v>143</v>
      </c>
      <c r="K128" s="2" t="s">
        <v>32</v>
      </c>
      <c r="L128" s="2" t="s">
        <v>33</v>
      </c>
      <c r="M128" s="8">
        <v>45353</v>
      </c>
      <c r="N128" s="2" t="s">
        <v>425</v>
      </c>
      <c r="O128" s="8">
        <v>45352</v>
      </c>
      <c r="P128" s="8">
        <v>45353</v>
      </c>
      <c r="Q128" s="2" t="s">
        <v>41</v>
      </c>
      <c r="R128" s="2" t="s">
        <v>421</v>
      </c>
      <c r="S128" s="2">
        <v>238353</v>
      </c>
      <c r="T128" s="2" t="s">
        <v>70</v>
      </c>
      <c r="U128" s="2" t="s">
        <v>71</v>
      </c>
      <c r="V128" s="2" t="s">
        <v>426</v>
      </c>
      <c r="W128" s="2">
        <v>2</v>
      </c>
      <c r="X128" s="4">
        <v>0.15</v>
      </c>
      <c r="Y128" s="3">
        <v>132.52000000000001</v>
      </c>
    </row>
    <row r="129" spans="1:25" x14ac:dyDescent="0.3">
      <c r="A129" s="2" t="s">
        <v>419</v>
      </c>
      <c r="B129" s="2" t="s">
        <v>183</v>
      </c>
      <c r="C129" s="2" t="s">
        <v>248</v>
      </c>
      <c r="D129" s="8">
        <v>33987</v>
      </c>
      <c r="E129" s="3">
        <v>453.25</v>
      </c>
      <c r="F129" s="2">
        <v>2024</v>
      </c>
      <c r="G129" s="2" t="s">
        <v>28</v>
      </c>
      <c r="H129" s="2" t="s">
        <v>163</v>
      </c>
      <c r="I129" s="2" t="s">
        <v>30</v>
      </c>
      <c r="J129" s="2" t="s">
        <v>143</v>
      </c>
      <c r="K129" s="2" t="s">
        <v>32</v>
      </c>
      <c r="L129" s="2" t="s">
        <v>33</v>
      </c>
      <c r="M129" s="8">
        <v>45392</v>
      </c>
      <c r="N129" s="2" t="s">
        <v>427</v>
      </c>
      <c r="O129" s="8">
        <v>45392</v>
      </c>
      <c r="P129" s="8">
        <v>45395</v>
      </c>
      <c r="Q129" s="2" t="s">
        <v>74</v>
      </c>
      <c r="R129" s="2" t="s">
        <v>421</v>
      </c>
      <c r="S129" s="2">
        <v>956113</v>
      </c>
      <c r="T129" s="2" t="s">
        <v>37</v>
      </c>
      <c r="U129" s="2" t="s">
        <v>38</v>
      </c>
      <c r="V129" s="2" t="s">
        <v>428</v>
      </c>
      <c r="W129" s="2">
        <v>10</v>
      </c>
      <c r="X129" s="4">
        <v>0.05</v>
      </c>
      <c r="Y129" s="3">
        <v>114.14</v>
      </c>
    </row>
    <row r="130" spans="1:25" x14ac:dyDescent="0.3">
      <c r="A130" s="2" t="s">
        <v>419</v>
      </c>
      <c r="B130" s="2" t="s">
        <v>183</v>
      </c>
      <c r="C130" s="2" t="s">
        <v>248</v>
      </c>
      <c r="D130" s="8">
        <v>33987</v>
      </c>
      <c r="E130" s="3">
        <v>83.48</v>
      </c>
      <c r="F130" s="2">
        <v>2024</v>
      </c>
      <c r="G130" s="2" t="s">
        <v>48</v>
      </c>
      <c r="H130" s="2" t="s">
        <v>163</v>
      </c>
      <c r="I130" s="2" t="s">
        <v>78</v>
      </c>
      <c r="J130" s="2" t="s">
        <v>143</v>
      </c>
      <c r="K130" s="2" t="s">
        <v>32</v>
      </c>
      <c r="L130" s="2" t="s">
        <v>33</v>
      </c>
      <c r="M130" s="8">
        <v>45416</v>
      </c>
      <c r="N130" s="2" t="s">
        <v>429</v>
      </c>
      <c r="O130" s="8">
        <v>45416</v>
      </c>
      <c r="P130" s="8">
        <v>45421</v>
      </c>
      <c r="Q130" s="2" t="s">
        <v>41</v>
      </c>
      <c r="R130" s="2" t="s">
        <v>421</v>
      </c>
      <c r="S130" s="2">
        <v>133276</v>
      </c>
      <c r="T130" s="2" t="s">
        <v>89</v>
      </c>
      <c r="U130" s="2" t="s">
        <v>90</v>
      </c>
      <c r="V130" s="2" t="s">
        <v>430</v>
      </c>
      <c r="W130" s="2">
        <v>2</v>
      </c>
      <c r="X130" s="4">
        <v>0</v>
      </c>
      <c r="Y130" s="3">
        <v>21.71</v>
      </c>
    </row>
    <row r="131" spans="1:25" x14ac:dyDescent="0.3">
      <c r="A131" s="2" t="s">
        <v>419</v>
      </c>
      <c r="B131" s="2" t="s">
        <v>183</v>
      </c>
      <c r="C131" s="2" t="s">
        <v>248</v>
      </c>
      <c r="D131" s="8">
        <v>33987</v>
      </c>
      <c r="E131" s="3">
        <v>988.38</v>
      </c>
      <c r="F131" s="2">
        <v>2024</v>
      </c>
      <c r="G131" s="2" t="s">
        <v>28</v>
      </c>
      <c r="H131" s="2" t="s">
        <v>163</v>
      </c>
      <c r="I131" s="2" t="s">
        <v>43</v>
      </c>
      <c r="J131" s="2" t="s">
        <v>143</v>
      </c>
      <c r="K131" s="2" t="s">
        <v>32</v>
      </c>
      <c r="L131" s="2" t="s">
        <v>33</v>
      </c>
      <c r="M131" s="8">
        <v>45549</v>
      </c>
      <c r="N131" s="2" t="s">
        <v>431</v>
      </c>
      <c r="O131" s="8">
        <v>45547</v>
      </c>
      <c r="P131" s="8">
        <v>45551</v>
      </c>
      <c r="Q131" s="2" t="s">
        <v>41</v>
      </c>
      <c r="R131" s="2" t="s">
        <v>421</v>
      </c>
      <c r="S131" s="2">
        <v>495833</v>
      </c>
      <c r="T131" s="2" t="s">
        <v>153</v>
      </c>
      <c r="U131" s="2" t="s">
        <v>154</v>
      </c>
      <c r="V131" s="2" t="s">
        <v>432</v>
      </c>
      <c r="W131" s="2">
        <v>3</v>
      </c>
      <c r="X131" s="4">
        <v>0.15</v>
      </c>
      <c r="Y131" s="3">
        <v>240.93</v>
      </c>
    </row>
    <row r="132" spans="1:25" x14ac:dyDescent="0.3">
      <c r="A132" s="2" t="s">
        <v>419</v>
      </c>
      <c r="B132" s="2" t="s">
        <v>183</v>
      </c>
      <c r="C132" s="2" t="s">
        <v>248</v>
      </c>
      <c r="D132" s="8">
        <v>33987</v>
      </c>
      <c r="E132" s="3">
        <v>603.65</v>
      </c>
      <c r="F132" s="2">
        <v>2025</v>
      </c>
      <c r="G132" s="2" t="s">
        <v>28</v>
      </c>
      <c r="H132" s="2" t="s">
        <v>163</v>
      </c>
      <c r="I132" s="2" t="s">
        <v>92</v>
      </c>
      <c r="J132" s="2" t="s">
        <v>143</v>
      </c>
      <c r="K132" s="2" t="s">
        <v>32</v>
      </c>
      <c r="L132" s="2" t="s">
        <v>33</v>
      </c>
      <c r="M132" s="8">
        <v>45694</v>
      </c>
      <c r="N132" s="2" t="s">
        <v>433</v>
      </c>
      <c r="O132" s="8">
        <v>45692</v>
      </c>
      <c r="P132" s="8">
        <v>45694</v>
      </c>
      <c r="Q132" s="2" t="s">
        <v>121</v>
      </c>
      <c r="R132" s="2" t="s">
        <v>421</v>
      </c>
      <c r="S132" s="2">
        <v>863214</v>
      </c>
      <c r="T132" s="2" t="s">
        <v>187</v>
      </c>
      <c r="U132" s="2" t="s">
        <v>188</v>
      </c>
      <c r="V132" s="2" t="s">
        <v>434</v>
      </c>
      <c r="W132" s="2">
        <v>9</v>
      </c>
      <c r="X132" s="4">
        <v>0.2</v>
      </c>
      <c r="Y132" s="3">
        <v>93.16</v>
      </c>
    </row>
    <row r="133" spans="1:25" x14ac:dyDescent="0.3">
      <c r="A133" s="2" t="s">
        <v>435</v>
      </c>
      <c r="B133" s="2" t="s">
        <v>436</v>
      </c>
      <c r="C133" s="2" t="s">
        <v>437</v>
      </c>
      <c r="D133" s="8">
        <v>26389</v>
      </c>
      <c r="E133" s="3">
        <v>2906.47</v>
      </c>
      <c r="F133" s="2">
        <v>2023</v>
      </c>
      <c r="G133" s="2" t="s">
        <v>48</v>
      </c>
      <c r="H133" s="2" t="s">
        <v>29</v>
      </c>
      <c r="I133" s="2" t="s">
        <v>30</v>
      </c>
      <c r="J133" s="2" t="s">
        <v>62</v>
      </c>
      <c r="K133" s="2" t="s">
        <v>32</v>
      </c>
      <c r="L133" s="2" t="s">
        <v>63</v>
      </c>
      <c r="M133" s="8">
        <v>44931</v>
      </c>
      <c r="N133" s="2" t="s">
        <v>438</v>
      </c>
      <c r="O133" s="8">
        <v>44930</v>
      </c>
      <c r="P133" s="8">
        <v>44932</v>
      </c>
      <c r="Q133" s="2" t="s">
        <v>35</v>
      </c>
      <c r="R133" s="2" t="s">
        <v>65</v>
      </c>
      <c r="S133" s="2">
        <v>133782</v>
      </c>
      <c r="T133" s="2" t="s">
        <v>37</v>
      </c>
      <c r="U133" s="2" t="s">
        <v>38</v>
      </c>
      <c r="V133" s="2" t="s">
        <v>439</v>
      </c>
      <c r="W133" s="2">
        <v>7</v>
      </c>
      <c r="X133" s="4">
        <v>0</v>
      </c>
      <c r="Y133" s="3">
        <v>546.96</v>
      </c>
    </row>
    <row r="134" spans="1:25" x14ac:dyDescent="0.3">
      <c r="A134" s="2" t="s">
        <v>435</v>
      </c>
      <c r="B134" s="2" t="s">
        <v>436</v>
      </c>
      <c r="C134" s="2" t="s">
        <v>437</v>
      </c>
      <c r="D134" s="8">
        <v>26389</v>
      </c>
      <c r="E134" s="3">
        <v>135.52000000000001</v>
      </c>
      <c r="F134" s="2">
        <v>2023</v>
      </c>
      <c r="G134" s="2" t="s">
        <v>87</v>
      </c>
      <c r="H134" s="2" t="s">
        <v>29</v>
      </c>
      <c r="I134" s="2" t="s">
        <v>49</v>
      </c>
      <c r="J134" s="2" t="s">
        <v>62</v>
      </c>
      <c r="K134" s="2" t="s">
        <v>32</v>
      </c>
      <c r="L134" s="2" t="s">
        <v>63</v>
      </c>
      <c r="M134" s="8">
        <v>44951</v>
      </c>
      <c r="N134" s="2" t="s">
        <v>440</v>
      </c>
      <c r="O134" s="8">
        <v>44950</v>
      </c>
      <c r="P134" s="8">
        <v>44951</v>
      </c>
      <c r="Q134" s="2" t="s">
        <v>35</v>
      </c>
      <c r="R134" s="2" t="s">
        <v>65</v>
      </c>
      <c r="S134" s="2">
        <v>356622</v>
      </c>
      <c r="T134" s="2" t="s">
        <v>84</v>
      </c>
      <c r="U134" s="2" t="s">
        <v>85</v>
      </c>
      <c r="V134" s="2" t="s">
        <v>352</v>
      </c>
      <c r="W134" s="2">
        <v>1</v>
      </c>
      <c r="X134" s="4">
        <v>0</v>
      </c>
      <c r="Y134" s="3">
        <v>10.88</v>
      </c>
    </row>
    <row r="135" spans="1:25" x14ac:dyDescent="0.3">
      <c r="A135" s="2" t="s">
        <v>435</v>
      </c>
      <c r="B135" s="2" t="s">
        <v>436</v>
      </c>
      <c r="C135" s="2" t="s">
        <v>437</v>
      </c>
      <c r="D135" s="8">
        <v>26389</v>
      </c>
      <c r="E135" s="3">
        <v>1059.8399999999999</v>
      </c>
      <c r="F135" s="2">
        <v>2023</v>
      </c>
      <c r="G135" s="2" t="s">
        <v>87</v>
      </c>
      <c r="H135" s="2" t="s">
        <v>29</v>
      </c>
      <c r="I135" s="2" t="s">
        <v>49</v>
      </c>
      <c r="J135" s="2" t="s">
        <v>62</v>
      </c>
      <c r="K135" s="2" t="s">
        <v>32</v>
      </c>
      <c r="L135" s="2" t="s">
        <v>63</v>
      </c>
      <c r="M135" s="8">
        <v>45232</v>
      </c>
      <c r="N135" s="2" t="s">
        <v>441</v>
      </c>
      <c r="O135" s="8">
        <v>45232</v>
      </c>
      <c r="P135" s="8">
        <v>45233</v>
      </c>
      <c r="Q135" s="2" t="s">
        <v>74</v>
      </c>
      <c r="R135" s="2" t="s">
        <v>65</v>
      </c>
      <c r="S135" s="2">
        <v>345536</v>
      </c>
      <c r="T135" s="2" t="s">
        <v>109</v>
      </c>
      <c r="U135" s="2" t="s">
        <v>110</v>
      </c>
      <c r="V135" s="2" t="s">
        <v>442</v>
      </c>
      <c r="W135" s="2">
        <v>8</v>
      </c>
      <c r="X135" s="4">
        <v>0</v>
      </c>
      <c r="Y135" s="3">
        <v>292.85000000000002</v>
      </c>
    </row>
    <row r="136" spans="1:25" x14ac:dyDescent="0.3">
      <c r="A136" s="2" t="s">
        <v>435</v>
      </c>
      <c r="B136" s="2" t="s">
        <v>436</v>
      </c>
      <c r="C136" s="2" t="s">
        <v>437</v>
      </c>
      <c r="D136" s="8">
        <v>26389</v>
      </c>
      <c r="E136" s="3">
        <v>2609.5</v>
      </c>
      <c r="F136" s="2">
        <v>2024</v>
      </c>
      <c r="G136" s="2" t="s">
        <v>48</v>
      </c>
      <c r="H136" s="2" t="s">
        <v>29</v>
      </c>
      <c r="I136" s="2" t="s">
        <v>49</v>
      </c>
      <c r="J136" s="2" t="s">
        <v>62</v>
      </c>
      <c r="K136" s="2" t="s">
        <v>32</v>
      </c>
      <c r="L136" s="2" t="s">
        <v>63</v>
      </c>
      <c r="M136" s="8">
        <v>45402</v>
      </c>
      <c r="N136" s="2" t="s">
        <v>443</v>
      </c>
      <c r="O136" s="8">
        <v>45401</v>
      </c>
      <c r="P136" s="8">
        <v>45403</v>
      </c>
      <c r="Q136" s="2" t="s">
        <v>121</v>
      </c>
      <c r="R136" s="2" t="s">
        <v>65</v>
      </c>
      <c r="S136" s="2">
        <v>533649</v>
      </c>
      <c r="T136" s="2" t="s">
        <v>51</v>
      </c>
      <c r="U136" s="2" t="s">
        <v>52</v>
      </c>
      <c r="V136" s="2" t="s">
        <v>444</v>
      </c>
      <c r="W136" s="2">
        <v>10</v>
      </c>
      <c r="X136" s="4">
        <v>0.15</v>
      </c>
      <c r="Y136" s="3">
        <v>771.15</v>
      </c>
    </row>
    <row r="137" spans="1:25" x14ac:dyDescent="0.3">
      <c r="A137" s="2" t="s">
        <v>435</v>
      </c>
      <c r="B137" s="2" t="s">
        <v>436</v>
      </c>
      <c r="C137" s="2" t="s">
        <v>437</v>
      </c>
      <c r="D137" s="8">
        <v>26389</v>
      </c>
      <c r="E137" s="3">
        <v>3635.97</v>
      </c>
      <c r="F137" s="2">
        <v>2024</v>
      </c>
      <c r="G137" s="2" t="s">
        <v>28</v>
      </c>
      <c r="H137" s="2" t="s">
        <v>29</v>
      </c>
      <c r="I137" s="2" t="s">
        <v>43</v>
      </c>
      <c r="J137" s="2" t="s">
        <v>62</v>
      </c>
      <c r="K137" s="2" t="s">
        <v>32</v>
      </c>
      <c r="L137" s="2" t="s">
        <v>63</v>
      </c>
      <c r="M137" s="8">
        <v>45620</v>
      </c>
      <c r="N137" s="2" t="s">
        <v>445</v>
      </c>
      <c r="O137" s="8">
        <v>45616</v>
      </c>
      <c r="P137" s="8">
        <v>45620</v>
      </c>
      <c r="Q137" s="2" t="s">
        <v>35</v>
      </c>
      <c r="R137" s="2" t="s">
        <v>65</v>
      </c>
      <c r="S137" s="2">
        <v>461145</v>
      </c>
      <c r="T137" s="2" t="s">
        <v>153</v>
      </c>
      <c r="U137" s="2" t="s">
        <v>154</v>
      </c>
      <c r="V137" s="2" t="s">
        <v>446</v>
      </c>
      <c r="W137" s="2">
        <v>9</v>
      </c>
      <c r="X137" s="4">
        <v>0.15</v>
      </c>
      <c r="Y137" s="3">
        <v>1176.1400000000001</v>
      </c>
    </row>
    <row r="138" spans="1:25" x14ac:dyDescent="0.3">
      <c r="A138" s="2" t="s">
        <v>435</v>
      </c>
      <c r="B138" s="2" t="s">
        <v>436</v>
      </c>
      <c r="C138" s="2" t="s">
        <v>437</v>
      </c>
      <c r="D138" s="8">
        <v>26389</v>
      </c>
      <c r="E138" s="3">
        <v>1479.06</v>
      </c>
      <c r="F138" s="2">
        <v>2025</v>
      </c>
      <c r="G138" s="2" t="s">
        <v>48</v>
      </c>
      <c r="H138" s="2" t="s">
        <v>29</v>
      </c>
      <c r="I138" s="2" t="s">
        <v>49</v>
      </c>
      <c r="J138" s="2" t="s">
        <v>62</v>
      </c>
      <c r="K138" s="2" t="s">
        <v>32</v>
      </c>
      <c r="L138" s="2" t="s">
        <v>63</v>
      </c>
      <c r="M138" s="8">
        <v>45666</v>
      </c>
      <c r="N138" s="2" t="s">
        <v>447</v>
      </c>
      <c r="O138" s="8">
        <v>45663</v>
      </c>
      <c r="P138" s="8">
        <v>45666</v>
      </c>
      <c r="Q138" s="2" t="s">
        <v>41</v>
      </c>
      <c r="R138" s="2" t="s">
        <v>65</v>
      </c>
      <c r="S138" s="2">
        <v>352673</v>
      </c>
      <c r="T138" s="2" t="s">
        <v>51</v>
      </c>
      <c r="U138" s="2" t="s">
        <v>52</v>
      </c>
      <c r="V138" s="2" t="s">
        <v>448</v>
      </c>
      <c r="W138" s="2">
        <v>9</v>
      </c>
      <c r="X138" s="4">
        <v>0.05</v>
      </c>
      <c r="Y138" s="3">
        <v>255.1</v>
      </c>
    </row>
    <row r="139" spans="1:25" x14ac:dyDescent="0.3">
      <c r="A139" s="2" t="s">
        <v>435</v>
      </c>
      <c r="B139" s="2" t="s">
        <v>436</v>
      </c>
      <c r="C139" s="2" t="s">
        <v>437</v>
      </c>
      <c r="D139" s="8">
        <v>26389</v>
      </c>
      <c r="E139" s="3">
        <v>1220.31</v>
      </c>
      <c r="F139" s="2">
        <v>2025</v>
      </c>
      <c r="G139" s="2" t="s">
        <v>87</v>
      </c>
      <c r="H139" s="2" t="s">
        <v>29</v>
      </c>
      <c r="I139" s="2" t="s">
        <v>61</v>
      </c>
      <c r="J139" s="2" t="s">
        <v>62</v>
      </c>
      <c r="K139" s="2" t="s">
        <v>32</v>
      </c>
      <c r="L139" s="2" t="s">
        <v>63</v>
      </c>
      <c r="M139" s="8">
        <v>45705</v>
      </c>
      <c r="N139" s="2" t="s">
        <v>449</v>
      </c>
      <c r="O139" s="8">
        <v>45701</v>
      </c>
      <c r="P139" s="8">
        <v>45705</v>
      </c>
      <c r="Q139" s="2" t="s">
        <v>121</v>
      </c>
      <c r="R139" s="2" t="s">
        <v>65</v>
      </c>
      <c r="S139" s="2">
        <v>507286</v>
      </c>
      <c r="T139" s="2" t="s">
        <v>204</v>
      </c>
      <c r="U139" s="2" t="s">
        <v>205</v>
      </c>
      <c r="V139" s="2" t="s">
        <v>450</v>
      </c>
      <c r="W139" s="2">
        <v>3</v>
      </c>
      <c r="X139" s="4">
        <v>0</v>
      </c>
      <c r="Y139" s="3">
        <v>266.89999999999998</v>
      </c>
    </row>
    <row r="140" spans="1:25" x14ac:dyDescent="0.3">
      <c r="A140" s="2" t="s">
        <v>435</v>
      </c>
      <c r="B140" s="2" t="s">
        <v>436</v>
      </c>
      <c r="C140" s="2" t="s">
        <v>437</v>
      </c>
      <c r="D140" s="8">
        <v>26389</v>
      </c>
      <c r="E140" s="3">
        <v>1883.39</v>
      </c>
      <c r="F140" s="2">
        <v>2025</v>
      </c>
      <c r="G140" s="2" t="s">
        <v>48</v>
      </c>
      <c r="H140" s="2" t="s">
        <v>29</v>
      </c>
      <c r="I140" s="2" t="s">
        <v>61</v>
      </c>
      <c r="J140" s="2" t="s">
        <v>62</v>
      </c>
      <c r="K140" s="2" t="s">
        <v>32</v>
      </c>
      <c r="L140" s="2" t="s">
        <v>63</v>
      </c>
      <c r="M140" s="8">
        <v>45781</v>
      </c>
      <c r="N140" s="2" t="s">
        <v>451</v>
      </c>
      <c r="O140" s="8">
        <v>45781</v>
      </c>
      <c r="P140" s="8">
        <v>45782</v>
      </c>
      <c r="Q140" s="2" t="s">
        <v>74</v>
      </c>
      <c r="R140" s="2" t="s">
        <v>65</v>
      </c>
      <c r="S140" s="2">
        <v>495489</v>
      </c>
      <c r="T140" s="2" t="s">
        <v>204</v>
      </c>
      <c r="U140" s="2" t="s">
        <v>205</v>
      </c>
      <c r="V140" s="2" t="s">
        <v>452</v>
      </c>
      <c r="W140" s="2">
        <v>6</v>
      </c>
      <c r="X140" s="4">
        <v>0.05</v>
      </c>
      <c r="Y140" s="3">
        <v>572.80999999999995</v>
      </c>
    </row>
    <row r="141" spans="1:25" x14ac:dyDescent="0.3">
      <c r="A141" s="2" t="s">
        <v>453</v>
      </c>
      <c r="B141" s="2" t="s">
        <v>454</v>
      </c>
      <c r="C141" s="2" t="s">
        <v>455</v>
      </c>
      <c r="D141" s="8">
        <v>24062</v>
      </c>
      <c r="E141" s="3">
        <v>1117.53</v>
      </c>
      <c r="F141" s="2">
        <v>2023</v>
      </c>
      <c r="G141" s="2" t="s">
        <v>48</v>
      </c>
      <c r="H141" s="2" t="s">
        <v>29</v>
      </c>
      <c r="I141" s="2" t="s">
        <v>30</v>
      </c>
      <c r="J141" s="2" t="s">
        <v>102</v>
      </c>
      <c r="K141" s="2" t="s">
        <v>32</v>
      </c>
      <c r="L141" s="2" t="s">
        <v>144</v>
      </c>
      <c r="M141" s="8">
        <v>44969</v>
      </c>
      <c r="N141" s="2" t="s">
        <v>456</v>
      </c>
      <c r="O141" s="8">
        <v>44967</v>
      </c>
      <c r="P141" s="8">
        <v>44970</v>
      </c>
      <c r="Q141" s="2" t="s">
        <v>121</v>
      </c>
      <c r="R141" s="2" t="s">
        <v>186</v>
      </c>
      <c r="S141" s="2">
        <v>299254</v>
      </c>
      <c r="T141" s="2" t="s">
        <v>55</v>
      </c>
      <c r="U141" s="2" t="s">
        <v>56</v>
      </c>
      <c r="V141" s="2" t="s">
        <v>457</v>
      </c>
      <c r="W141" s="2">
        <v>9</v>
      </c>
      <c r="X141" s="4">
        <v>0</v>
      </c>
      <c r="Y141" s="3">
        <v>347.38</v>
      </c>
    </row>
    <row r="142" spans="1:25" x14ac:dyDescent="0.3">
      <c r="A142" s="2" t="s">
        <v>453</v>
      </c>
      <c r="B142" s="2" t="s">
        <v>454</v>
      </c>
      <c r="C142" s="2" t="s">
        <v>455</v>
      </c>
      <c r="D142" s="8">
        <v>24062</v>
      </c>
      <c r="E142" s="3">
        <v>3120.72</v>
      </c>
      <c r="F142" s="2">
        <v>2023</v>
      </c>
      <c r="G142" s="2" t="s">
        <v>48</v>
      </c>
      <c r="H142" s="2" t="s">
        <v>29</v>
      </c>
      <c r="I142" s="2" t="s">
        <v>49</v>
      </c>
      <c r="J142" s="2" t="s">
        <v>102</v>
      </c>
      <c r="K142" s="2" t="s">
        <v>32</v>
      </c>
      <c r="L142" s="2" t="s">
        <v>144</v>
      </c>
      <c r="M142" s="8">
        <v>45002</v>
      </c>
      <c r="N142" s="2" t="s">
        <v>458</v>
      </c>
      <c r="O142" s="8">
        <v>45001</v>
      </c>
      <c r="P142" s="8">
        <v>45003</v>
      </c>
      <c r="Q142" s="2" t="s">
        <v>74</v>
      </c>
      <c r="R142" s="2" t="s">
        <v>186</v>
      </c>
      <c r="S142" s="2">
        <v>913185</v>
      </c>
      <c r="T142" s="2" t="s">
        <v>109</v>
      </c>
      <c r="U142" s="2" t="s">
        <v>110</v>
      </c>
      <c r="V142" s="2" t="s">
        <v>459</v>
      </c>
      <c r="W142" s="2">
        <v>8</v>
      </c>
      <c r="X142" s="4">
        <v>0.15</v>
      </c>
      <c r="Y142" s="3">
        <v>721.89</v>
      </c>
    </row>
    <row r="143" spans="1:25" x14ac:dyDescent="0.3">
      <c r="A143" s="2" t="s">
        <v>453</v>
      </c>
      <c r="B143" s="2" t="s">
        <v>454</v>
      </c>
      <c r="C143" s="2" t="s">
        <v>455</v>
      </c>
      <c r="D143" s="8">
        <v>24062</v>
      </c>
      <c r="E143" s="3">
        <v>2982.51</v>
      </c>
      <c r="F143" s="2">
        <v>2023</v>
      </c>
      <c r="G143" s="2" t="s">
        <v>28</v>
      </c>
      <c r="H143" s="2" t="s">
        <v>29</v>
      </c>
      <c r="I143" s="2" t="s">
        <v>43</v>
      </c>
      <c r="J143" s="2" t="s">
        <v>102</v>
      </c>
      <c r="K143" s="2" t="s">
        <v>32</v>
      </c>
      <c r="L143" s="2" t="s">
        <v>144</v>
      </c>
      <c r="M143" s="8">
        <v>45122</v>
      </c>
      <c r="N143" s="2" t="s">
        <v>460</v>
      </c>
      <c r="O143" s="8">
        <v>45119</v>
      </c>
      <c r="P143" s="8">
        <v>45124</v>
      </c>
      <c r="Q143" s="2" t="s">
        <v>35</v>
      </c>
      <c r="R143" s="2" t="s">
        <v>186</v>
      </c>
      <c r="S143" s="2">
        <v>941814</v>
      </c>
      <c r="T143" s="2" t="s">
        <v>153</v>
      </c>
      <c r="U143" s="2" t="s">
        <v>154</v>
      </c>
      <c r="V143" s="2" t="s">
        <v>461</v>
      </c>
      <c r="W143" s="2">
        <v>9</v>
      </c>
      <c r="X143" s="4">
        <v>0</v>
      </c>
      <c r="Y143" s="3">
        <v>383.16</v>
      </c>
    </row>
    <row r="144" spans="1:25" x14ac:dyDescent="0.3">
      <c r="A144" s="2" t="s">
        <v>453</v>
      </c>
      <c r="B144" s="2" t="s">
        <v>454</v>
      </c>
      <c r="C144" s="2" t="s">
        <v>455</v>
      </c>
      <c r="D144" s="8">
        <v>24062</v>
      </c>
      <c r="E144" s="3">
        <v>2753.28</v>
      </c>
      <c r="F144" s="2">
        <v>2024</v>
      </c>
      <c r="G144" s="2" t="s">
        <v>87</v>
      </c>
      <c r="H144" s="2" t="s">
        <v>29</v>
      </c>
      <c r="I144" s="2" t="s">
        <v>49</v>
      </c>
      <c r="J144" s="2" t="s">
        <v>102</v>
      </c>
      <c r="K144" s="2" t="s">
        <v>32</v>
      </c>
      <c r="L144" s="2" t="s">
        <v>144</v>
      </c>
      <c r="M144" s="8">
        <v>45544</v>
      </c>
      <c r="N144" s="2" t="s">
        <v>462</v>
      </c>
      <c r="O144" s="8">
        <v>45544</v>
      </c>
      <c r="P144" s="8">
        <v>45545</v>
      </c>
      <c r="Q144" s="2" t="s">
        <v>121</v>
      </c>
      <c r="R144" s="2" t="s">
        <v>186</v>
      </c>
      <c r="S144" s="2">
        <v>117007</v>
      </c>
      <c r="T144" s="2" t="s">
        <v>84</v>
      </c>
      <c r="U144" s="2" t="s">
        <v>85</v>
      </c>
      <c r="V144" s="2" t="s">
        <v>463</v>
      </c>
      <c r="W144" s="2">
        <v>6</v>
      </c>
      <c r="X144" s="4">
        <v>0</v>
      </c>
      <c r="Y144" s="3">
        <v>396.13</v>
      </c>
    </row>
    <row r="145" spans="1:25" x14ac:dyDescent="0.3">
      <c r="A145" s="2" t="s">
        <v>453</v>
      </c>
      <c r="B145" s="2" t="s">
        <v>454</v>
      </c>
      <c r="C145" s="2" t="s">
        <v>455</v>
      </c>
      <c r="D145" s="8">
        <v>24062</v>
      </c>
      <c r="E145" s="3">
        <v>3656.1</v>
      </c>
      <c r="F145" s="2">
        <v>2025</v>
      </c>
      <c r="G145" s="2" t="s">
        <v>28</v>
      </c>
      <c r="H145" s="2" t="s">
        <v>29</v>
      </c>
      <c r="I145" s="2" t="s">
        <v>43</v>
      </c>
      <c r="J145" s="2" t="s">
        <v>102</v>
      </c>
      <c r="K145" s="2" t="s">
        <v>32</v>
      </c>
      <c r="L145" s="2" t="s">
        <v>144</v>
      </c>
      <c r="M145" s="8">
        <v>45822</v>
      </c>
      <c r="N145" s="2" t="s">
        <v>464</v>
      </c>
      <c r="O145" s="8">
        <v>45821</v>
      </c>
      <c r="P145" s="8">
        <v>45824</v>
      </c>
      <c r="Q145" s="2" t="s">
        <v>121</v>
      </c>
      <c r="R145" s="2" t="s">
        <v>186</v>
      </c>
      <c r="S145" s="2">
        <v>623555</v>
      </c>
      <c r="T145" s="2" t="s">
        <v>70</v>
      </c>
      <c r="U145" s="2" t="s">
        <v>71</v>
      </c>
      <c r="V145" s="2" t="s">
        <v>465</v>
      </c>
      <c r="W145" s="2">
        <v>10</v>
      </c>
      <c r="X145" s="4">
        <v>0</v>
      </c>
      <c r="Y145" s="3">
        <v>349.97</v>
      </c>
    </row>
    <row r="146" spans="1:25" x14ac:dyDescent="0.3">
      <c r="A146" s="2" t="s">
        <v>466</v>
      </c>
      <c r="B146" s="2" t="s">
        <v>467</v>
      </c>
      <c r="C146" s="2" t="s">
        <v>101</v>
      </c>
      <c r="D146" s="8">
        <v>27689</v>
      </c>
      <c r="E146" s="3">
        <v>1115.19</v>
      </c>
      <c r="F146" s="2">
        <v>2023</v>
      </c>
      <c r="G146" s="2" t="s">
        <v>48</v>
      </c>
      <c r="H146" s="2" t="s">
        <v>29</v>
      </c>
      <c r="I146" s="2" t="s">
        <v>92</v>
      </c>
      <c r="J146" s="2" t="s">
        <v>227</v>
      </c>
      <c r="K146" s="2" t="s">
        <v>32</v>
      </c>
      <c r="L146" s="2" t="s">
        <v>33</v>
      </c>
      <c r="M146" s="8">
        <v>45193</v>
      </c>
      <c r="N146" s="2" t="s">
        <v>468</v>
      </c>
      <c r="O146" s="8">
        <v>45190</v>
      </c>
      <c r="P146" s="8">
        <v>45195</v>
      </c>
      <c r="Q146" s="2" t="s">
        <v>35</v>
      </c>
      <c r="R146" s="2" t="s">
        <v>229</v>
      </c>
      <c r="S146" s="2">
        <v>649395</v>
      </c>
      <c r="T146" s="2" t="s">
        <v>127</v>
      </c>
      <c r="U146" s="2" t="s">
        <v>128</v>
      </c>
      <c r="V146" s="2" t="s">
        <v>469</v>
      </c>
      <c r="W146" s="2">
        <v>3</v>
      </c>
      <c r="X146" s="4">
        <v>0</v>
      </c>
      <c r="Y146" s="3">
        <v>112.39</v>
      </c>
    </row>
    <row r="147" spans="1:25" x14ac:dyDescent="0.3">
      <c r="A147" s="2" t="s">
        <v>466</v>
      </c>
      <c r="B147" s="2" t="s">
        <v>467</v>
      </c>
      <c r="C147" s="2" t="s">
        <v>101</v>
      </c>
      <c r="D147" s="8">
        <v>27689</v>
      </c>
      <c r="E147" s="3">
        <v>367.54</v>
      </c>
      <c r="F147" s="2">
        <v>2023</v>
      </c>
      <c r="G147" s="2" t="s">
        <v>87</v>
      </c>
      <c r="H147" s="2" t="s">
        <v>29</v>
      </c>
      <c r="I147" s="2" t="s">
        <v>78</v>
      </c>
      <c r="J147" s="2" t="s">
        <v>227</v>
      </c>
      <c r="K147" s="2" t="s">
        <v>32</v>
      </c>
      <c r="L147" s="2" t="s">
        <v>33</v>
      </c>
      <c r="M147" s="8">
        <v>45272</v>
      </c>
      <c r="N147" s="2" t="s">
        <v>470</v>
      </c>
      <c r="O147" s="8">
        <v>45272</v>
      </c>
      <c r="P147" s="8">
        <v>45274</v>
      </c>
      <c r="Q147" s="2" t="s">
        <v>121</v>
      </c>
      <c r="R147" s="2" t="s">
        <v>229</v>
      </c>
      <c r="S147" s="2">
        <v>109585</v>
      </c>
      <c r="T147" s="2" t="s">
        <v>135</v>
      </c>
      <c r="U147" s="2" t="s">
        <v>136</v>
      </c>
      <c r="V147" s="2" t="s">
        <v>471</v>
      </c>
      <c r="W147" s="2">
        <v>1</v>
      </c>
      <c r="X147" s="4">
        <v>0.05</v>
      </c>
      <c r="Y147" s="3">
        <v>33.54</v>
      </c>
    </row>
    <row r="148" spans="1:25" x14ac:dyDescent="0.3">
      <c r="A148" s="2" t="s">
        <v>466</v>
      </c>
      <c r="B148" s="2" t="s">
        <v>467</v>
      </c>
      <c r="C148" s="2" t="s">
        <v>101</v>
      </c>
      <c r="D148" s="8">
        <v>27689</v>
      </c>
      <c r="E148" s="3">
        <v>269.08</v>
      </c>
      <c r="F148" s="2">
        <v>2024</v>
      </c>
      <c r="G148" s="2" t="s">
        <v>48</v>
      </c>
      <c r="H148" s="2" t="s">
        <v>29</v>
      </c>
      <c r="I148" s="2" t="s">
        <v>61</v>
      </c>
      <c r="J148" s="2" t="s">
        <v>227</v>
      </c>
      <c r="K148" s="2" t="s">
        <v>32</v>
      </c>
      <c r="L148" s="2" t="s">
        <v>33</v>
      </c>
      <c r="M148" s="8">
        <v>45631</v>
      </c>
      <c r="N148" s="2" t="s">
        <v>472</v>
      </c>
      <c r="O148" s="8">
        <v>45628</v>
      </c>
      <c r="P148" s="8">
        <v>45632</v>
      </c>
      <c r="Q148" s="2" t="s">
        <v>35</v>
      </c>
      <c r="R148" s="2" t="s">
        <v>229</v>
      </c>
      <c r="S148" s="2">
        <v>658065</v>
      </c>
      <c r="T148" s="2" t="s">
        <v>113</v>
      </c>
      <c r="U148" s="2" t="s">
        <v>114</v>
      </c>
      <c r="V148" s="2" t="s">
        <v>473</v>
      </c>
      <c r="W148" s="2">
        <v>1</v>
      </c>
      <c r="X148" s="4">
        <v>0.15</v>
      </c>
      <c r="Y148" s="3">
        <v>88.84</v>
      </c>
    </row>
    <row r="149" spans="1:25" x14ac:dyDescent="0.3">
      <c r="A149" s="2" t="s">
        <v>466</v>
      </c>
      <c r="B149" s="2" t="s">
        <v>467</v>
      </c>
      <c r="C149" s="2" t="s">
        <v>101</v>
      </c>
      <c r="D149" s="8">
        <v>27689</v>
      </c>
      <c r="E149" s="3">
        <v>274.12</v>
      </c>
      <c r="F149" s="2">
        <v>2025</v>
      </c>
      <c r="G149" s="2" t="s">
        <v>87</v>
      </c>
      <c r="H149" s="2" t="s">
        <v>29</v>
      </c>
      <c r="I149" s="2" t="s">
        <v>30</v>
      </c>
      <c r="J149" s="2" t="s">
        <v>227</v>
      </c>
      <c r="K149" s="2" t="s">
        <v>32</v>
      </c>
      <c r="L149" s="2" t="s">
        <v>33</v>
      </c>
      <c r="M149" s="8">
        <v>45708</v>
      </c>
      <c r="N149" s="2" t="s">
        <v>474</v>
      </c>
      <c r="O149" s="8">
        <v>45708</v>
      </c>
      <c r="P149" s="8">
        <v>45711</v>
      </c>
      <c r="Q149" s="2" t="s">
        <v>41</v>
      </c>
      <c r="R149" s="2" t="s">
        <v>229</v>
      </c>
      <c r="S149" s="2">
        <v>945328</v>
      </c>
      <c r="T149" s="2" t="s">
        <v>37</v>
      </c>
      <c r="U149" s="2" t="s">
        <v>38</v>
      </c>
      <c r="V149" s="2" t="s">
        <v>475</v>
      </c>
      <c r="W149" s="2">
        <v>1</v>
      </c>
      <c r="X149" s="4">
        <v>0</v>
      </c>
      <c r="Y149" s="3">
        <v>57.76</v>
      </c>
    </row>
    <row r="150" spans="1:25" x14ac:dyDescent="0.3">
      <c r="A150" s="2" t="s">
        <v>476</v>
      </c>
      <c r="B150" s="2" t="s">
        <v>283</v>
      </c>
      <c r="C150" s="2" t="s">
        <v>455</v>
      </c>
      <c r="D150" s="8">
        <v>37112</v>
      </c>
      <c r="E150" s="3">
        <v>845.42</v>
      </c>
      <c r="F150" s="2">
        <v>2023</v>
      </c>
      <c r="G150" s="2" t="s">
        <v>87</v>
      </c>
      <c r="H150" s="2" t="s">
        <v>29</v>
      </c>
      <c r="I150" s="2" t="s">
        <v>30</v>
      </c>
      <c r="J150" s="2" t="s">
        <v>102</v>
      </c>
      <c r="K150" s="2" t="s">
        <v>32</v>
      </c>
      <c r="L150" s="2" t="s">
        <v>33</v>
      </c>
      <c r="M150" s="8">
        <v>45028</v>
      </c>
      <c r="N150" s="2" t="s">
        <v>477</v>
      </c>
      <c r="O150" s="8">
        <v>45025</v>
      </c>
      <c r="P150" s="8">
        <v>45029</v>
      </c>
      <c r="Q150" s="2" t="s">
        <v>121</v>
      </c>
      <c r="R150" s="2" t="s">
        <v>104</v>
      </c>
      <c r="S150" s="2">
        <v>831105</v>
      </c>
      <c r="T150" s="2" t="s">
        <v>55</v>
      </c>
      <c r="U150" s="2" t="s">
        <v>56</v>
      </c>
      <c r="V150" s="2" t="s">
        <v>478</v>
      </c>
      <c r="W150" s="2">
        <v>6</v>
      </c>
      <c r="X150" s="4">
        <v>0.05</v>
      </c>
      <c r="Y150" s="3">
        <v>62.31</v>
      </c>
    </row>
    <row r="151" spans="1:25" x14ac:dyDescent="0.3">
      <c r="A151" s="2" t="s">
        <v>476</v>
      </c>
      <c r="B151" s="2" t="s">
        <v>283</v>
      </c>
      <c r="C151" s="2" t="s">
        <v>455</v>
      </c>
      <c r="D151" s="8">
        <v>37112</v>
      </c>
      <c r="E151" s="3">
        <v>534.05999999999995</v>
      </c>
      <c r="F151" s="2">
        <v>2023</v>
      </c>
      <c r="G151" s="2" t="s">
        <v>28</v>
      </c>
      <c r="H151" s="2" t="s">
        <v>29</v>
      </c>
      <c r="I151" s="2" t="s">
        <v>61</v>
      </c>
      <c r="J151" s="2" t="s">
        <v>102</v>
      </c>
      <c r="K151" s="2" t="s">
        <v>32</v>
      </c>
      <c r="L151" s="2" t="s">
        <v>33</v>
      </c>
      <c r="M151" s="8">
        <v>45036</v>
      </c>
      <c r="N151" s="2" t="s">
        <v>479</v>
      </c>
      <c r="O151" s="8">
        <v>45036</v>
      </c>
      <c r="P151" s="8">
        <v>45037</v>
      </c>
      <c r="Q151" s="2" t="s">
        <v>41</v>
      </c>
      <c r="R151" s="2" t="s">
        <v>104</v>
      </c>
      <c r="S151" s="2">
        <v>495490</v>
      </c>
      <c r="T151" s="2" t="s">
        <v>204</v>
      </c>
      <c r="U151" s="2" t="s">
        <v>205</v>
      </c>
      <c r="V151" s="2" t="s">
        <v>480</v>
      </c>
      <c r="W151" s="2">
        <v>2</v>
      </c>
      <c r="X151" s="4">
        <v>0.2</v>
      </c>
      <c r="Y151" s="3">
        <v>130.83000000000001</v>
      </c>
    </row>
    <row r="152" spans="1:25" x14ac:dyDescent="0.3">
      <c r="A152" s="2" t="s">
        <v>476</v>
      </c>
      <c r="B152" s="2" t="s">
        <v>283</v>
      </c>
      <c r="C152" s="2" t="s">
        <v>455</v>
      </c>
      <c r="D152" s="8">
        <v>37112</v>
      </c>
      <c r="E152" s="3">
        <v>357.37</v>
      </c>
      <c r="F152" s="2">
        <v>2023</v>
      </c>
      <c r="G152" s="2" t="s">
        <v>87</v>
      </c>
      <c r="H152" s="2" t="s">
        <v>29</v>
      </c>
      <c r="I152" s="2" t="s">
        <v>30</v>
      </c>
      <c r="J152" s="2" t="s">
        <v>102</v>
      </c>
      <c r="K152" s="2" t="s">
        <v>32</v>
      </c>
      <c r="L152" s="2" t="s">
        <v>33</v>
      </c>
      <c r="M152" s="8">
        <v>45081</v>
      </c>
      <c r="N152" s="2" t="s">
        <v>481</v>
      </c>
      <c r="O152" s="8">
        <v>45079</v>
      </c>
      <c r="P152" s="8">
        <v>45083</v>
      </c>
      <c r="Q152" s="2" t="s">
        <v>35</v>
      </c>
      <c r="R152" s="2" t="s">
        <v>104</v>
      </c>
      <c r="S152" s="2">
        <v>653815</v>
      </c>
      <c r="T152" s="2" t="s">
        <v>37</v>
      </c>
      <c r="U152" s="2" t="s">
        <v>38</v>
      </c>
      <c r="V152" s="2" t="s">
        <v>482</v>
      </c>
      <c r="W152" s="2">
        <v>1</v>
      </c>
      <c r="X152" s="4">
        <v>0</v>
      </c>
      <c r="Y152" s="3">
        <v>71.459999999999994</v>
      </c>
    </row>
    <row r="153" spans="1:25" x14ac:dyDescent="0.3">
      <c r="A153" s="2" t="s">
        <v>476</v>
      </c>
      <c r="B153" s="2" t="s">
        <v>283</v>
      </c>
      <c r="C153" s="2" t="s">
        <v>455</v>
      </c>
      <c r="D153" s="8">
        <v>37112</v>
      </c>
      <c r="E153" s="3">
        <v>2482.4</v>
      </c>
      <c r="F153" s="2">
        <v>2023</v>
      </c>
      <c r="G153" s="2" t="s">
        <v>48</v>
      </c>
      <c r="H153" s="2" t="s">
        <v>29</v>
      </c>
      <c r="I153" s="2" t="s">
        <v>78</v>
      </c>
      <c r="J153" s="2" t="s">
        <v>102</v>
      </c>
      <c r="K153" s="2" t="s">
        <v>32</v>
      </c>
      <c r="L153" s="2" t="s">
        <v>33</v>
      </c>
      <c r="M153" s="8">
        <v>45110</v>
      </c>
      <c r="N153" s="2" t="s">
        <v>483</v>
      </c>
      <c r="O153" s="8">
        <v>45110</v>
      </c>
      <c r="P153" s="8">
        <v>45113</v>
      </c>
      <c r="Q153" s="2" t="s">
        <v>74</v>
      </c>
      <c r="R153" s="2" t="s">
        <v>104</v>
      </c>
      <c r="S153" s="2">
        <v>116418</v>
      </c>
      <c r="T153" s="2" t="s">
        <v>89</v>
      </c>
      <c r="U153" s="2" t="s">
        <v>90</v>
      </c>
      <c r="V153" s="2" t="s">
        <v>484</v>
      </c>
      <c r="W153" s="2">
        <v>10</v>
      </c>
      <c r="X153" s="4">
        <v>0</v>
      </c>
      <c r="Y153" s="3">
        <v>812.36</v>
      </c>
    </row>
    <row r="154" spans="1:25" x14ac:dyDescent="0.3">
      <c r="A154" s="2" t="s">
        <v>476</v>
      </c>
      <c r="B154" s="2" t="s">
        <v>283</v>
      </c>
      <c r="C154" s="2" t="s">
        <v>455</v>
      </c>
      <c r="D154" s="8">
        <v>37112</v>
      </c>
      <c r="E154" s="3">
        <v>3261.02</v>
      </c>
      <c r="F154" s="2">
        <v>2023</v>
      </c>
      <c r="G154" s="2" t="s">
        <v>28</v>
      </c>
      <c r="H154" s="2" t="s">
        <v>29</v>
      </c>
      <c r="I154" s="2" t="s">
        <v>61</v>
      </c>
      <c r="J154" s="2" t="s">
        <v>102</v>
      </c>
      <c r="K154" s="2" t="s">
        <v>32</v>
      </c>
      <c r="L154" s="2" t="s">
        <v>33</v>
      </c>
      <c r="M154" s="8">
        <v>45125</v>
      </c>
      <c r="N154" s="2" t="s">
        <v>485</v>
      </c>
      <c r="O154" s="8">
        <v>45123</v>
      </c>
      <c r="P154" s="8">
        <v>45125</v>
      </c>
      <c r="Q154" s="2" t="s">
        <v>74</v>
      </c>
      <c r="R154" s="2" t="s">
        <v>104</v>
      </c>
      <c r="S154" s="2">
        <v>502491</v>
      </c>
      <c r="T154" s="2" t="s">
        <v>66</v>
      </c>
      <c r="U154" s="2" t="s">
        <v>67</v>
      </c>
      <c r="V154" s="2" t="s">
        <v>486</v>
      </c>
      <c r="W154" s="2">
        <v>7</v>
      </c>
      <c r="X154" s="4">
        <v>0</v>
      </c>
      <c r="Y154" s="3">
        <v>321.98</v>
      </c>
    </row>
    <row r="155" spans="1:25" x14ac:dyDescent="0.3">
      <c r="A155" s="2" t="s">
        <v>476</v>
      </c>
      <c r="B155" s="2" t="s">
        <v>283</v>
      </c>
      <c r="C155" s="2" t="s">
        <v>455</v>
      </c>
      <c r="D155" s="8">
        <v>37112</v>
      </c>
      <c r="E155" s="3">
        <v>520.76</v>
      </c>
      <c r="F155" s="2">
        <v>2023</v>
      </c>
      <c r="G155" s="2" t="s">
        <v>48</v>
      </c>
      <c r="H155" s="2" t="s">
        <v>29</v>
      </c>
      <c r="I155" s="2" t="s">
        <v>49</v>
      </c>
      <c r="J155" s="2" t="s">
        <v>102</v>
      </c>
      <c r="K155" s="2" t="s">
        <v>32</v>
      </c>
      <c r="L155" s="2" t="s">
        <v>33</v>
      </c>
      <c r="M155" s="8">
        <v>45174</v>
      </c>
      <c r="N155" s="2" t="s">
        <v>487</v>
      </c>
      <c r="O155" s="8">
        <v>45173</v>
      </c>
      <c r="P155" s="8">
        <v>45177</v>
      </c>
      <c r="Q155" s="2" t="s">
        <v>74</v>
      </c>
      <c r="R155" s="2" t="s">
        <v>104</v>
      </c>
      <c r="S155" s="2">
        <v>734565</v>
      </c>
      <c r="T155" s="2" t="s">
        <v>109</v>
      </c>
      <c r="U155" s="2" t="s">
        <v>110</v>
      </c>
      <c r="V155" s="2" t="s">
        <v>488</v>
      </c>
      <c r="W155" s="2">
        <v>2</v>
      </c>
      <c r="X155" s="4">
        <v>0</v>
      </c>
      <c r="Y155" s="3">
        <v>34.43</v>
      </c>
    </row>
    <row r="156" spans="1:25" x14ac:dyDescent="0.3">
      <c r="A156" s="2" t="s">
        <v>476</v>
      </c>
      <c r="B156" s="2" t="s">
        <v>283</v>
      </c>
      <c r="C156" s="2" t="s">
        <v>455</v>
      </c>
      <c r="D156" s="8">
        <v>37112</v>
      </c>
      <c r="E156" s="3">
        <v>205.32</v>
      </c>
      <c r="F156" s="2">
        <v>2024</v>
      </c>
      <c r="G156" s="2" t="s">
        <v>48</v>
      </c>
      <c r="H156" s="2" t="s">
        <v>29</v>
      </c>
      <c r="I156" s="2" t="s">
        <v>30</v>
      </c>
      <c r="J156" s="2" t="s">
        <v>102</v>
      </c>
      <c r="K156" s="2" t="s">
        <v>32</v>
      </c>
      <c r="L156" s="2" t="s">
        <v>33</v>
      </c>
      <c r="M156" s="8">
        <v>45466</v>
      </c>
      <c r="N156" s="2" t="s">
        <v>489</v>
      </c>
      <c r="O156" s="8">
        <v>45463</v>
      </c>
      <c r="P156" s="8">
        <v>45467</v>
      </c>
      <c r="Q156" s="2" t="s">
        <v>74</v>
      </c>
      <c r="R156" s="2" t="s">
        <v>104</v>
      </c>
      <c r="S156" s="2">
        <v>679902</v>
      </c>
      <c r="T156" s="2" t="s">
        <v>55</v>
      </c>
      <c r="U156" s="2" t="s">
        <v>56</v>
      </c>
      <c r="V156" s="2" t="s">
        <v>490</v>
      </c>
      <c r="W156" s="2">
        <v>6</v>
      </c>
      <c r="X156" s="4">
        <v>0</v>
      </c>
      <c r="Y156" s="3">
        <v>58.53</v>
      </c>
    </row>
    <row r="157" spans="1:25" x14ac:dyDescent="0.3">
      <c r="A157" s="2" t="s">
        <v>491</v>
      </c>
      <c r="B157" s="2" t="s">
        <v>492</v>
      </c>
      <c r="C157" s="2" t="s">
        <v>455</v>
      </c>
      <c r="D157" s="8">
        <v>32750</v>
      </c>
      <c r="E157" s="3">
        <v>1449.16</v>
      </c>
      <c r="F157" s="2">
        <v>2023</v>
      </c>
      <c r="G157" s="2" t="s">
        <v>87</v>
      </c>
      <c r="H157" s="2" t="s">
        <v>163</v>
      </c>
      <c r="I157" s="2" t="s">
        <v>30</v>
      </c>
      <c r="J157" s="2" t="s">
        <v>31</v>
      </c>
      <c r="K157" s="2" t="s">
        <v>32</v>
      </c>
      <c r="L157" s="2" t="s">
        <v>63</v>
      </c>
      <c r="M157" s="8">
        <v>45015</v>
      </c>
      <c r="N157" s="2" t="s">
        <v>493</v>
      </c>
      <c r="O157" s="8">
        <v>45014</v>
      </c>
      <c r="P157" s="8">
        <v>45018</v>
      </c>
      <c r="Q157" s="2" t="s">
        <v>41</v>
      </c>
      <c r="R157" s="2" t="s">
        <v>261</v>
      </c>
      <c r="S157" s="2">
        <v>432061</v>
      </c>
      <c r="T157" s="2" t="s">
        <v>37</v>
      </c>
      <c r="U157" s="2" t="s">
        <v>38</v>
      </c>
      <c r="V157" s="2" t="s">
        <v>494</v>
      </c>
      <c r="W157" s="2">
        <v>4</v>
      </c>
      <c r="X157" s="4">
        <v>0</v>
      </c>
      <c r="Y157" s="3">
        <v>188.96</v>
      </c>
    </row>
    <row r="158" spans="1:25" x14ac:dyDescent="0.3">
      <c r="A158" s="2" t="s">
        <v>491</v>
      </c>
      <c r="B158" s="2" t="s">
        <v>492</v>
      </c>
      <c r="C158" s="2" t="s">
        <v>455</v>
      </c>
      <c r="D158" s="8">
        <v>32750</v>
      </c>
      <c r="E158" s="3">
        <v>448.99</v>
      </c>
      <c r="F158" s="2">
        <v>2023</v>
      </c>
      <c r="G158" s="2" t="s">
        <v>48</v>
      </c>
      <c r="H158" s="2" t="s">
        <v>163</v>
      </c>
      <c r="I158" s="2" t="s">
        <v>43</v>
      </c>
      <c r="J158" s="2" t="s">
        <v>31</v>
      </c>
      <c r="K158" s="2" t="s">
        <v>32</v>
      </c>
      <c r="L158" s="2" t="s">
        <v>63</v>
      </c>
      <c r="M158" s="8">
        <v>45117</v>
      </c>
      <c r="N158" s="2" t="s">
        <v>495</v>
      </c>
      <c r="O158" s="8">
        <v>45117</v>
      </c>
      <c r="P158" s="8">
        <v>45120</v>
      </c>
      <c r="Q158" s="2" t="s">
        <v>35</v>
      </c>
      <c r="R158" s="2" t="s">
        <v>261</v>
      </c>
      <c r="S158" s="2">
        <v>296494</v>
      </c>
      <c r="T158" s="2" t="s">
        <v>45</v>
      </c>
      <c r="U158" s="2" t="s">
        <v>46</v>
      </c>
      <c r="V158" s="2" t="s">
        <v>496</v>
      </c>
      <c r="W158" s="2">
        <v>1</v>
      </c>
      <c r="X158" s="4">
        <v>0.05</v>
      </c>
      <c r="Y158" s="3">
        <v>70.930000000000007</v>
      </c>
    </row>
    <row r="159" spans="1:25" x14ac:dyDescent="0.3">
      <c r="A159" s="2" t="s">
        <v>491</v>
      </c>
      <c r="B159" s="2" t="s">
        <v>492</v>
      </c>
      <c r="C159" s="2" t="s">
        <v>455</v>
      </c>
      <c r="D159" s="8">
        <v>32750</v>
      </c>
      <c r="E159" s="3">
        <v>2393.73</v>
      </c>
      <c r="F159" s="2">
        <v>2024</v>
      </c>
      <c r="G159" s="2" t="s">
        <v>87</v>
      </c>
      <c r="H159" s="2" t="s">
        <v>163</v>
      </c>
      <c r="I159" s="2" t="s">
        <v>92</v>
      </c>
      <c r="J159" s="2" t="s">
        <v>31</v>
      </c>
      <c r="K159" s="2" t="s">
        <v>32</v>
      </c>
      <c r="L159" s="2" t="s">
        <v>63</v>
      </c>
      <c r="M159" s="8">
        <v>45316</v>
      </c>
      <c r="N159" s="2" t="s">
        <v>497</v>
      </c>
      <c r="O159" s="8">
        <v>45316</v>
      </c>
      <c r="P159" s="8">
        <v>45319</v>
      </c>
      <c r="Q159" s="2" t="s">
        <v>74</v>
      </c>
      <c r="R159" s="2" t="s">
        <v>261</v>
      </c>
      <c r="S159" s="2">
        <v>503951</v>
      </c>
      <c r="T159" s="2" t="s">
        <v>127</v>
      </c>
      <c r="U159" s="2" t="s">
        <v>128</v>
      </c>
      <c r="V159" s="2" t="s">
        <v>498</v>
      </c>
      <c r="W159" s="2">
        <v>9</v>
      </c>
      <c r="X159" s="4">
        <v>0</v>
      </c>
      <c r="Y159" s="3">
        <v>138.55000000000001</v>
      </c>
    </row>
    <row r="160" spans="1:25" x14ac:dyDescent="0.3">
      <c r="A160" s="2" t="s">
        <v>491</v>
      </c>
      <c r="B160" s="2" t="s">
        <v>492</v>
      </c>
      <c r="C160" s="2" t="s">
        <v>455</v>
      </c>
      <c r="D160" s="8">
        <v>32750</v>
      </c>
      <c r="E160" s="3">
        <v>2344.3000000000002</v>
      </c>
      <c r="F160" s="2">
        <v>2024</v>
      </c>
      <c r="G160" s="2" t="s">
        <v>87</v>
      </c>
      <c r="H160" s="2" t="s">
        <v>163</v>
      </c>
      <c r="I160" s="2" t="s">
        <v>78</v>
      </c>
      <c r="J160" s="2" t="s">
        <v>31</v>
      </c>
      <c r="K160" s="2" t="s">
        <v>32</v>
      </c>
      <c r="L160" s="2" t="s">
        <v>63</v>
      </c>
      <c r="M160" s="8">
        <v>45371</v>
      </c>
      <c r="N160" s="2" t="s">
        <v>499</v>
      </c>
      <c r="O160" s="8">
        <v>45369</v>
      </c>
      <c r="P160" s="8">
        <v>45371</v>
      </c>
      <c r="Q160" s="2" t="s">
        <v>121</v>
      </c>
      <c r="R160" s="2" t="s">
        <v>261</v>
      </c>
      <c r="S160" s="2">
        <v>818605</v>
      </c>
      <c r="T160" s="2" t="s">
        <v>117</v>
      </c>
      <c r="U160" s="2" t="s">
        <v>118</v>
      </c>
      <c r="V160" s="2" t="s">
        <v>500</v>
      </c>
      <c r="W160" s="2">
        <v>7</v>
      </c>
      <c r="X160" s="4">
        <v>0.15</v>
      </c>
      <c r="Y160" s="3">
        <v>750.97</v>
      </c>
    </row>
    <row r="161" spans="1:25" x14ac:dyDescent="0.3">
      <c r="A161" s="2" t="s">
        <v>491</v>
      </c>
      <c r="B161" s="2" t="s">
        <v>492</v>
      </c>
      <c r="C161" s="2" t="s">
        <v>455</v>
      </c>
      <c r="D161" s="8">
        <v>32750</v>
      </c>
      <c r="E161" s="3">
        <v>781.56</v>
      </c>
      <c r="F161" s="2">
        <v>2024</v>
      </c>
      <c r="G161" s="2" t="s">
        <v>28</v>
      </c>
      <c r="H161" s="2" t="s">
        <v>163</v>
      </c>
      <c r="I161" s="2" t="s">
        <v>92</v>
      </c>
      <c r="J161" s="2" t="s">
        <v>31</v>
      </c>
      <c r="K161" s="2" t="s">
        <v>32</v>
      </c>
      <c r="L161" s="2" t="s">
        <v>63</v>
      </c>
      <c r="M161" s="8">
        <v>45527</v>
      </c>
      <c r="N161" s="2" t="s">
        <v>501</v>
      </c>
      <c r="O161" s="8">
        <v>45526</v>
      </c>
      <c r="P161" s="8">
        <v>45528</v>
      </c>
      <c r="Q161" s="2" t="s">
        <v>41</v>
      </c>
      <c r="R161" s="2" t="s">
        <v>261</v>
      </c>
      <c r="S161" s="2">
        <v>414313</v>
      </c>
      <c r="T161" s="2" t="s">
        <v>147</v>
      </c>
      <c r="U161" s="2" t="s">
        <v>148</v>
      </c>
      <c r="V161" s="2" t="s">
        <v>502</v>
      </c>
      <c r="W161" s="2">
        <v>5</v>
      </c>
      <c r="X161" s="4">
        <v>0.05</v>
      </c>
      <c r="Y161" s="3">
        <v>73.3</v>
      </c>
    </row>
    <row r="162" spans="1:25" x14ac:dyDescent="0.3">
      <c r="A162" s="2" t="s">
        <v>491</v>
      </c>
      <c r="B162" s="2" t="s">
        <v>492</v>
      </c>
      <c r="C162" s="2" t="s">
        <v>455</v>
      </c>
      <c r="D162" s="8">
        <v>32750</v>
      </c>
      <c r="E162" s="3">
        <v>2011.23</v>
      </c>
      <c r="F162" s="2">
        <v>2024</v>
      </c>
      <c r="G162" s="2" t="s">
        <v>48</v>
      </c>
      <c r="H162" s="2" t="s">
        <v>163</v>
      </c>
      <c r="I162" s="2" t="s">
        <v>92</v>
      </c>
      <c r="J162" s="2" t="s">
        <v>31</v>
      </c>
      <c r="K162" s="2" t="s">
        <v>32</v>
      </c>
      <c r="L162" s="2" t="s">
        <v>63</v>
      </c>
      <c r="M162" s="8">
        <v>45607</v>
      </c>
      <c r="N162" s="2" t="s">
        <v>503</v>
      </c>
      <c r="O162" s="8">
        <v>45603</v>
      </c>
      <c r="P162" s="8">
        <v>45608</v>
      </c>
      <c r="Q162" s="2" t="s">
        <v>41</v>
      </c>
      <c r="R162" s="2" t="s">
        <v>261</v>
      </c>
      <c r="S162" s="2">
        <v>212168</v>
      </c>
      <c r="T162" s="2" t="s">
        <v>187</v>
      </c>
      <c r="U162" s="2" t="s">
        <v>188</v>
      </c>
      <c r="V162" s="2" t="s">
        <v>504</v>
      </c>
      <c r="W162" s="2">
        <v>5</v>
      </c>
      <c r="X162" s="4">
        <v>0.15</v>
      </c>
      <c r="Y162" s="3">
        <v>477.69</v>
      </c>
    </row>
    <row r="163" spans="1:25" x14ac:dyDescent="0.3">
      <c r="A163" s="2" t="s">
        <v>491</v>
      </c>
      <c r="B163" s="2" t="s">
        <v>492</v>
      </c>
      <c r="C163" s="2" t="s">
        <v>455</v>
      </c>
      <c r="D163" s="8">
        <v>32750</v>
      </c>
      <c r="E163" s="3">
        <v>1130.5999999999999</v>
      </c>
      <c r="F163" s="2">
        <v>2024</v>
      </c>
      <c r="G163" s="2" t="s">
        <v>28</v>
      </c>
      <c r="H163" s="2" t="s">
        <v>163</v>
      </c>
      <c r="I163" s="2" t="s">
        <v>61</v>
      </c>
      <c r="J163" s="2" t="s">
        <v>31</v>
      </c>
      <c r="K163" s="2" t="s">
        <v>32</v>
      </c>
      <c r="L163" s="2" t="s">
        <v>63</v>
      </c>
      <c r="M163" s="8">
        <v>45626</v>
      </c>
      <c r="N163" s="2" t="s">
        <v>505</v>
      </c>
      <c r="O163" s="8">
        <v>45623</v>
      </c>
      <c r="P163" s="8">
        <v>45626</v>
      </c>
      <c r="Q163" s="2" t="s">
        <v>41</v>
      </c>
      <c r="R163" s="2" t="s">
        <v>261</v>
      </c>
      <c r="S163" s="2">
        <v>955088</v>
      </c>
      <c r="T163" s="2" t="s">
        <v>204</v>
      </c>
      <c r="U163" s="2" t="s">
        <v>205</v>
      </c>
      <c r="V163" s="2" t="s">
        <v>506</v>
      </c>
      <c r="W163" s="2">
        <v>7</v>
      </c>
      <c r="X163" s="4">
        <v>0.1</v>
      </c>
      <c r="Y163" s="3">
        <v>185.38</v>
      </c>
    </row>
    <row r="164" spans="1:25" x14ac:dyDescent="0.3">
      <c r="A164" s="2" t="s">
        <v>507</v>
      </c>
      <c r="B164" s="2" t="s">
        <v>195</v>
      </c>
      <c r="C164" s="2" t="s">
        <v>348</v>
      </c>
      <c r="D164" s="8">
        <v>27213</v>
      </c>
      <c r="E164" s="3">
        <v>600.04</v>
      </c>
      <c r="F164" s="2">
        <v>2023</v>
      </c>
      <c r="G164" s="2" t="s">
        <v>87</v>
      </c>
      <c r="H164" s="2" t="s">
        <v>29</v>
      </c>
      <c r="I164" s="2" t="s">
        <v>49</v>
      </c>
      <c r="J164" s="2" t="s">
        <v>62</v>
      </c>
      <c r="K164" s="2" t="s">
        <v>32</v>
      </c>
      <c r="L164" s="2" t="s">
        <v>63</v>
      </c>
      <c r="M164" s="8">
        <v>45069</v>
      </c>
      <c r="N164" s="2" t="s">
        <v>508</v>
      </c>
      <c r="O164" s="8">
        <v>45066</v>
      </c>
      <c r="P164" s="8">
        <v>45069</v>
      </c>
      <c r="Q164" s="2" t="s">
        <v>121</v>
      </c>
      <c r="R164" s="2" t="s">
        <v>65</v>
      </c>
      <c r="S164" s="2">
        <v>441716</v>
      </c>
      <c r="T164" s="2" t="s">
        <v>109</v>
      </c>
      <c r="U164" s="2" t="s">
        <v>110</v>
      </c>
      <c r="V164" s="2" t="s">
        <v>509</v>
      </c>
      <c r="W164" s="2">
        <v>6</v>
      </c>
      <c r="X164" s="4">
        <v>0.05</v>
      </c>
      <c r="Y164" s="3">
        <v>204.38</v>
      </c>
    </row>
    <row r="165" spans="1:25" x14ac:dyDescent="0.3">
      <c r="A165" s="2" t="s">
        <v>507</v>
      </c>
      <c r="B165" s="2" t="s">
        <v>195</v>
      </c>
      <c r="C165" s="2" t="s">
        <v>348</v>
      </c>
      <c r="D165" s="8">
        <v>27213</v>
      </c>
      <c r="E165" s="3">
        <v>1229.82</v>
      </c>
      <c r="F165" s="2">
        <v>2023</v>
      </c>
      <c r="G165" s="2" t="s">
        <v>87</v>
      </c>
      <c r="H165" s="2" t="s">
        <v>29</v>
      </c>
      <c r="I165" s="2" t="s">
        <v>92</v>
      </c>
      <c r="J165" s="2" t="s">
        <v>62</v>
      </c>
      <c r="K165" s="2" t="s">
        <v>32</v>
      </c>
      <c r="L165" s="2" t="s">
        <v>63</v>
      </c>
      <c r="M165" s="8">
        <v>45235</v>
      </c>
      <c r="N165" s="2" t="s">
        <v>510</v>
      </c>
      <c r="O165" s="8">
        <v>45234</v>
      </c>
      <c r="P165" s="8">
        <v>45239</v>
      </c>
      <c r="Q165" s="2" t="s">
        <v>35</v>
      </c>
      <c r="R165" s="2" t="s">
        <v>65</v>
      </c>
      <c r="S165" s="2">
        <v>862538</v>
      </c>
      <c r="T165" s="2" t="s">
        <v>94</v>
      </c>
      <c r="U165" s="2" t="s">
        <v>95</v>
      </c>
      <c r="V165" s="2" t="s">
        <v>511</v>
      </c>
      <c r="W165" s="2">
        <v>7</v>
      </c>
      <c r="X165" s="4">
        <v>0.1</v>
      </c>
      <c r="Y165" s="3">
        <v>135.21</v>
      </c>
    </row>
    <row r="166" spans="1:25" x14ac:dyDescent="0.3">
      <c r="A166" s="2" t="s">
        <v>507</v>
      </c>
      <c r="B166" s="2" t="s">
        <v>195</v>
      </c>
      <c r="C166" s="2" t="s">
        <v>348</v>
      </c>
      <c r="D166" s="8">
        <v>27213</v>
      </c>
      <c r="E166" s="3">
        <v>2095.1</v>
      </c>
      <c r="F166" s="2">
        <v>2023</v>
      </c>
      <c r="G166" s="2" t="s">
        <v>48</v>
      </c>
      <c r="H166" s="2" t="s">
        <v>29</v>
      </c>
      <c r="I166" s="2" t="s">
        <v>92</v>
      </c>
      <c r="J166" s="2" t="s">
        <v>62</v>
      </c>
      <c r="K166" s="2" t="s">
        <v>32</v>
      </c>
      <c r="L166" s="2" t="s">
        <v>63</v>
      </c>
      <c r="M166" s="8">
        <v>45258</v>
      </c>
      <c r="N166" s="2" t="s">
        <v>512</v>
      </c>
      <c r="O166" s="8">
        <v>45255</v>
      </c>
      <c r="P166" s="8">
        <v>45259</v>
      </c>
      <c r="Q166" s="2" t="s">
        <v>74</v>
      </c>
      <c r="R166" s="2" t="s">
        <v>65</v>
      </c>
      <c r="S166" s="2">
        <v>353777</v>
      </c>
      <c r="T166" s="2" t="s">
        <v>147</v>
      </c>
      <c r="U166" s="2" t="s">
        <v>148</v>
      </c>
      <c r="V166" s="2" t="s">
        <v>513</v>
      </c>
      <c r="W166" s="2">
        <v>5</v>
      </c>
      <c r="X166" s="4">
        <v>0</v>
      </c>
      <c r="Y166" s="3">
        <v>619.5</v>
      </c>
    </row>
    <row r="167" spans="1:25" x14ac:dyDescent="0.3">
      <c r="A167" s="2" t="s">
        <v>507</v>
      </c>
      <c r="B167" s="2" t="s">
        <v>195</v>
      </c>
      <c r="C167" s="2" t="s">
        <v>348</v>
      </c>
      <c r="D167" s="8">
        <v>27213</v>
      </c>
      <c r="E167" s="3">
        <v>2791.32</v>
      </c>
      <c r="F167" s="2">
        <v>2024</v>
      </c>
      <c r="G167" s="2" t="s">
        <v>87</v>
      </c>
      <c r="H167" s="2" t="s">
        <v>29</v>
      </c>
      <c r="I167" s="2" t="s">
        <v>43</v>
      </c>
      <c r="J167" s="2" t="s">
        <v>62</v>
      </c>
      <c r="K167" s="2" t="s">
        <v>32</v>
      </c>
      <c r="L167" s="2" t="s">
        <v>63</v>
      </c>
      <c r="M167" s="8">
        <v>45538</v>
      </c>
      <c r="N167" s="2" t="s">
        <v>514</v>
      </c>
      <c r="O167" s="8">
        <v>45535</v>
      </c>
      <c r="P167" s="8">
        <v>45540</v>
      </c>
      <c r="Q167" s="2" t="s">
        <v>41</v>
      </c>
      <c r="R167" s="2" t="s">
        <v>65</v>
      </c>
      <c r="S167" s="2">
        <v>660324</v>
      </c>
      <c r="T167" s="2" t="s">
        <v>70</v>
      </c>
      <c r="U167" s="2" t="s">
        <v>71</v>
      </c>
      <c r="V167" s="2" t="s">
        <v>515</v>
      </c>
      <c r="W167" s="2">
        <v>7</v>
      </c>
      <c r="X167" s="4">
        <v>0</v>
      </c>
      <c r="Y167" s="3">
        <v>515.61</v>
      </c>
    </row>
    <row r="168" spans="1:25" x14ac:dyDescent="0.3">
      <c r="A168" s="2" t="s">
        <v>507</v>
      </c>
      <c r="B168" s="2" t="s">
        <v>195</v>
      </c>
      <c r="C168" s="2" t="s">
        <v>348</v>
      </c>
      <c r="D168" s="8">
        <v>27213</v>
      </c>
      <c r="E168" s="3">
        <v>338.85</v>
      </c>
      <c r="F168" s="2">
        <v>2024</v>
      </c>
      <c r="G168" s="2" t="s">
        <v>87</v>
      </c>
      <c r="H168" s="2" t="s">
        <v>29</v>
      </c>
      <c r="I168" s="2" t="s">
        <v>30</v>
      </c>
      <c r="J168" s="2" t="s">
        <v>62</v>
      </c>
      <c r="K168" s="2" t="s">
        <v>32</v>
      </c>
      <c r="L168" s="2" t="s">
        <v>63</v>
      </c>
      <c r="M168" s="8">
        <v>45548</v>
      </c>
      <c r="N168" s="2" t="s">
        <v>516</v>
      </c>
      <c r="O168" s="8">
        <v>45544</v>
      </c>
      <c r="P168" s="8">
        <v>45549</v>
      </c>
      <c r="Q168" s="2" t="s">
        <v>35</v>
      </c>
      <c r="R168" s="2" t="s">
        <v>65</v>
      </c>
      <c r="S168" s="2">
        <v>214682</v>
      </c>
      <c r="T168" s="2" t="s">
        <v>55</v>
      </c>
      <c r="U168" s="2" t="s">
        <v>56</v>
      </c>
      <c r="V168" s="2" t="s">
        <v>517</v>
      </c>
      <c r="W168" s="2">
        <v>9</v>
      </c>
      <c r="X168" s="4">
        <v>0</v>
      </c>
      <c r="Y168" s="3">
        <v>88.27</v>
      </c>
    </row>
    <row r="169" spans="1:25" x14ac:dyDescent="0.3">
      <c r="A169" s="2" t="s">
        <v>507</v>
      </c>
      <c r="B169" s="2" t="s">
        <v>195</v>
      </c>
      <c r="C169" s="2" t="s">
        <v>348</v>
      </c>
      <c r="D169" s="8">
        <v>27213</v>
      </c>
      <c r="E169" s="3">
        <v>350.71</v>
      </c>
      <c r="F169" s="2">
        <v>2024</v>
      </c>
      <c r="G169" s="2" t="s">
        <v>28</v>
      </c>
      <c r="H169" s="2" t="s">
        <v>29</v>
      </c>
      <c r="I169" s="2" t="s">
        <v>61</v>
      </c>
      <c r="J169" s="2" t="s">
        <v>62</v>
      </c>
      <c r="K169" s="2" t="s">
        <v>32</v>
      </c>
      <c r="L169" s="2" t="s">
        <v>63</v>
      </c>
      <c r="M169" s="8">
        <v>45595</v>
      </c>
      <c r="N169" s="2" t="s">
        <v>518</v>
      </c>
      <c r="O169" s="8">
        <v>45593</v>
      </c>
      <c r="P169" s="8">
        <v>45597</v>
      </c>
      <c r="Q169" s="2" t="s">
        <v>35</v>
      </c>
      <c r="R169" s="2" t="s">
        <v>65</v>
      </c>
      <c r="S169" s="2">
        <v>111060</v>
      </c>
      <c r="T169" s="2" t="s">
        <v>204</v>
      </c>
      <c r="U169" s="2" t="s">
        <v>205</v>
      </c>
      <c r="V169" s="2" t="s">
        <v>519</v>
      </c>
      <c r="W169" s="2">
        <v>10</v>
      </c>
      <c r="X169" s="4">
        <v>0.15</v>
      </c>
      <c r="Y169" s="3">
        <v>88.81</v>
      </c>
    </row>
    <row r="170" spans="1:25" x14ac:dyDescent="0.3">
      <c r="A170" s="2" t="s">
        <v>520</v>
      </c>
      <c r="B170" s="2" t="s">
        <v>521</v>
      </c>
      <c r="C170" s="2" t="s">
        <v>327</v>
      </c>
      <c r="D170" s="8">
        <v>34747</v>
      </c>
      <c r="E170" s="3">
        <v>2419.0700000000002</v>
      </c>
      <c r="F170" s="2">
        <v>2023</v>
      </c>
      <c r="G170" s="2" t="s">
        <v>28</v>
      </c>
      <c r="H170" s="2" t="s">
        <v>29</v>
      </c>
      <c r="I170" s="2" t="s">
        <v>30</v>
      </c>
      <c r="J170" s="2" t="s">
        <v>143</v>
      </c>
      <c r="K170" s="2" t="s">
        <v>32</v>
      </c>
      <c r="L170" s="2" t="s">
        <v>63</v>
      </c>
      <c r="M170" s="8">
        <v>45157</v>
      </c>
      <c r="N170" s="2" t="s">
        <v>522</v>
      </c>
      <c r="O170" s="8">
        <v>45154</v>
      </c>
      <c r="P170" s="8">
        <v>45157</v>
      </c>
      <c r="Q170" s="2" t="s">
        <v>121</v>
      </c>
      <c r="R170" s="2" t="s">
        <v>523</v>
      </c>
      <c r="S170" s="2">
        <v>461724</v>
      </c>
      <c r="T170" s="2" t="s">
        <v>55</v>
      </c>
      <c r="U170" s="2" t="s">
        <v>56</v>
      </c>
      <c r="V170" s="2" t="s">
        <v>524</v>
      </c>
      <c r="W170" s="2">
        <v>9</v>
      </c>
      <c r="X170" s="4">
        <v>0.1</v>
      </c>
      <c r="Y170" s="3">
        <v>281.36</v>
      </c>
    </row>
    <row r="171" spans="1:25" x14ac:dyDescent="0.3">
      <c r="A171" s="2" t="s">
        <v>525</v>
      </c>
      <c r="B171" s="2" t="s">
        <v>526</v>
      </c>
      <c r="C171" s="2" t="s">
        <v>27</v>
      </c>
      <c r="D171" s="8">
        <v>27804</v>
      </c>
      <c r="E171" s="3">
        <v>1431.36</v>
      </c>
      <c r="F171" s="2">
        <v>2023</v>
      </c>
      <c r="G171" s="2" t="s">
        <v>48</v>
      </c>
      <c r="H171" s="2" t="s">
        <v>29</v>
      </c>
      <c r="I171" s="2" t="s">
        <v>61</v>
      </c>
      <c r="J171" s="2" t="s">
        <v>31</v>
      </c>
      <c r="K171" s="2" t="s">
        <v>32</v>
      </c>
      <c r="L171" s="2" t="s">
        <v>144</v>
      </c>
      <c r="M171" s="8">
        <v>45017</v>
      </c>
      <c r="N171" s="2" t="s">
        <v>527</v>
      </c>
      <c r="O171" s="8">
        <v>45014</v>
      </c>
      <c r="P171" s="8">
        <v>45017</v>
      </c>
      <c r="Q171" s="2" t="s">
        <v>41</v>
      </c>
      <c r="R171" s="2" t="s">
        <v>236</v>
      </c>
      <c r="S171" s="2">
        <v>857065</v>
      </c>
      <c r="T171" s="2" t="s">
        <v>204</v>
      </c>
      <c r="U171" s="2" t="s">
        <v>205</v>
      </c>
      <c r="V171" s="2" t="s">
        <v>528</v>
      </c>
      <c r="W171" s="2">
        <v>6</v>
      </c>
      <c r="X171" s="4">
        <v>0</v>
      </c>
      <c r="Y171" s="3">
        <v>295.33999999999997</v>
      </c>
    </row>
    <row r="172" spans="1:25" x14ac:dyDescent="0.3">
      <c r="A172" s="2" t="s">
        <v>525</v>
      </c>
      <c r="B172" s="2" t="s">
        <v>526</v>
      </c>
      <c r="C172" s="2" t="s">
        <v>27</v>
      </c>
      <c r="D172" s="8">
        <v>27804</v>
      </c>
      <c r="E172" s="3">
        <v>262.61</v>
      </c>
      <c r="F172" s="2">
        <v>2023</v>
      </c>
      <c r="G172" s="2" t="s">
        <v>87</v>
      </c>
      <c r="H172" s="2" t="s">
        <v>29</v>
      </c>
      <c r="I172" s="2" t="s">
        <v>49</v>
      </c>
      <c r="J172" s="2" t="s">
        <v>31</v>
      </c>
      <c r="K172" s="2" t="s">
        <v>32</v>
      </c>
      <c r="L172" s="2" t="s">
        <v>144</v>
      </c>
      <c r="M172" s="8">
        <v>45035</v>
      </c>
      <c r="N172" s="2" t="s">
        <v>529</v>
      </c>
      <c r="O172" s="8">
        <v>45034</v>
      </c>
      <c r="P172" s="8">
        <v>45035</v>
      </c>
      <c r="Q172" s="2" t="s">
        <v>35</v>
      </c>
      <c r="R172" s="2" t="s">
        <v>236</v>
      </c>
      <c r="S172" s="2">
        <v>810032</v>
      </c>
      <c r="T172" s="2" t="s">
        <v>84</v>
      </c>
      <c r="U172" s="2" t="s">
        <v>85</v>
      </c>
      <c r="V172" s="2" t="s">
        <v>530</v>
      </c>
      <c r="W172" s="2">
        <v>2</v>
      </c>
      <c r="X172" s="4">
        <v>0.2</v>
      </c>
      <c r="Y172" s="3">
        <v>69.13</v>
      </c>
    </row>
    <row r="173" spans="1:25" x14ac:dyDescent="0.3">
      <c r="A173" s="2" t="s">
        <v>525</v>
      </c>
      <c r="B173" s="2" t="s">
        <v>526</v>
      </c>
      <c r="C173" s="2" t="s">
        <v>27</v>
      </c>
      <c r="D173" s="8">
        <v>27804</v>
      </c>
      <c r="E173" s="3">
        <v>854.76</v>
      </c>
      <c r="F173" s="2">
        <v>2023</v>
      </c>
      <c r="G173" s="2" t="s">
        <v>28</v>
      </c>
      <c r="H173" s="2" t="s">
        <v>29</v>
      </c>
      <c r="I173" s="2" t="s">
        <v>61</v>
      </c>
      <c r="J173" s="2" t="s">
        <v>31</v>
      </c>
      <c r="K173" s="2" t="s">
        <v>32</v>
      </c>
      <c r="L173" s="2" t="s">
        <v>144</v>
      </c>
      <c r="M173" s="8">
        <v>45046</v>
      </c>
      <c r="N173" s="2" t="s">
        <v>531</v>
      </c>
      <c r="O173" s="8">
        <v>45045</v>
      </c>
      <c r="P173" s="8">
        <v>45049</v>
      </c>
      <c r="Q173" s="2" t="s">
        <v>121</v>
      </c>
      <c r="R173" s="2" t="s">
        <v>236</v>
      </c>
      <c r="S173" s="2">
        <v>295440</v>
      </c>
      <c r="T173" s="2" t="s">
        <v>66</v>
      </c>
      <c r="U173" s="2" t="s">
        <v>67</v>
      </c>
      <c r="V173" s="2" t="s">
        <v>532</v>
      </c>
      <c r="W173" s="2">
        <v>3</v>
      </c>
      <c r="X173" s="4">
        <v>0</v>
      </c>
      <c r="Y173" s="3">
        <v>186.3</v>
      </c>
    </row>
    <row r="174" spans="1:25" x14ac:dyDescent="0.3">
      <c r="A174" s="2" t="s">
        <v>525</v>
      </c>
      <c r="B174" s="2" t="s">
        <v>526</v>
      </c>
      <c r="C174" s="2" t="s">
        <v>27</v>
      </c>
      <c r="D174" s="8">
        <v>27804</v>
      </c>
      <c r="E174" s="3">
        <v>214.26</v>
      </c>
      <c r="F174" s="2">
        <v>2023</v>
      </c>
      <c r="G174" s="2" t="s">
        <v>28</v>
      </c>
      <c r="H174" s="2" t="s">
        <v>29</v>
      </c>
      <c r="I174" s="2" t="s">
        <v>49</v>
      </c>
      <c r="J174" s="2" t="s">
        <v>31</v>
      </c>
      <c r="K174" s="2" t="s">
        <v>32</v>
      </c>
      <c r="L174" s="2" t="s">
        <v>144</v>
      </c>
      <c r="M174" s="8">
        <v>45233</v>
      </c>
      <c r="N174" s="2" t="s">
        <v>533</v>
      </c>
      <c r="O174" s="8">
        <v>45229</v>
      </c>
      <c r="P174" s="8">
        <v>45233</v>
      </c>
      <c r="Q174" s="2" t="s">
        <v>41</v>
      </c>
      <c r="R174" s="2" t="s">
        <v>236</v>
      </c>
      <c r="S174" s="2">
        <v>104666</v>
      </c>
      <c r="T174" s="2" t="s">
        <v>51</v>
      </c>
      <c r="U174" s="2" t="s">
        <v>52</v>
      </c>
      <c r="V174" s="2" t="s">
        <v>534</v>
      </c>
      <c r="W174" s="2">
        <v>7</v>
      </c>
      <c r="X174" s="4">
        <v>0.1</v>
      </c>
      <c r="Y174" s="3">
        <v>67.48</v>
      </c>
    </row>
    <row r="175" spans="1:25" x14ac:dyDescent="0.3">
      <c r="A175" s="2" t="s">
        <v>525</v>
      </c>
      <c r="B175" s="2" t="s">
        <v>526</v>
      </c>
      <c r="C175" s="2" t="s">
        <v>27</v>
      </c>
      <c r="D175" s="8">
        <v>27804</v>
      </c>
      <c r="E175" s="3">
        <v>1524.48</v>
      </c>
      <c r="F175" s="2">
        <v>2024</v>
      </c>
      <c r="G175" s="2" t="s">
        <v>87</v>
      </c>
      <c r="H175" s="2" t="s">
        <v>29</v>
      </c>
      <c r="I175" s="2" t="s">
        <v>49</v>
      </c>
      <c r="J175" s="2" t="s">
        <v>31</v>
      </c>
      <c r="K175" s="2" t="s">
        <v>32</v>
      </c>
      <c r="L175" s="2" t="s">
        <v>144</v>
      </c>
      <c r="M175" s="8">
        <v>45352</v>
      </c>
      <c r="N175" s="2" t="s">
        <v>535</v>
      </c>
      <c r="O175" s="8">
        <v>45352</v>
      </c>
      <c r="P175" s="8">
        <v>45357</v>
      </c>
      <c r="Q175" s="2" t="s">
        <v>121</v>
      </c>
      <c r="R175" s="2" t="s">
        <v>236</v>
      </c>
      <c r="S175" s="2">
        <v>483561</v>
      </c>
      <c r="T175" s="2" t="s">
        <v>109</v>
      </c>
      <c r="U175" s="2" t="s">
        <v>110</v>
      </c>
      <c r="V175" s="2" t="s">
        <v>536</v>
      </c>
      <c r="W175" s="2">
        <v>5</v>
      </c>
      <c r="X175" s="4">
        <v>0.2</v>
      </c>
      <c r="Y175" s="3">
        <v>440.27</v>
      </c>
    </row>
    <row r="176" spans="1:25" x14ac:dyDescent="0.3">
      <c r="A176" s="2" t="s">
        <v>525</v>
      </c>
      <c r="B176" s="2" t="s">
        <v>526</v>
      </c>
      <c r="C176" s="2" t="s">
        <v>27</v>
      </c>
      <c r="D176" s="8">
        <v>27804</v>
      </c>
      <c r="E176" s="3">
        <v>233.49</v>
      </c>
      <c r="F176" s="2">
        <v>2024</v>
      </c>
      <c r="G176" s="2" t="s">
        <v>87</v>
      </c>
      <c r="H176" s="2" t="s">
        <v>29</v>
      </c>
      <c r="I176" s="2" t="s">
        <v>43</v>
      </c>
      <c r="J176" s="2" t="s">
        <v>31</v>
      </c>
      <c r="K176" s="2" t="s">
        <v>32</v>
      </c>
      <c r="L176" s="2" t="s">
        <v>144</v>
      </c>
      <c r="M176" s="8">
        <v>45424</v>
      </c>
      <c r="N176" s="2" t="s">
        <v>537</v>
      </c>
      <c r="O176" s="8">
        <v>45421</v>
      </c>
      <c r="P176" s="8">
        <v>45424</v>
      </c>
      <c r="Q176" s="2" t="s">
        <v>41</v>
      </c>
      <c r="R176" s="2" t="s">
        <v>236</v>
      </c>
      <c r="S176" s="2">
        <v>715519</v>
      </c>
      <c r="T176" s="2" t="s">
        <v>45</v>
      </c>
      <c r="U176" s="2" t="s">
        <v>46</v>
      </c>
      <c r="V176" s="2" t="s">
        <v>538</v>
      </c>
      <c r="W176" s="2">
        <v>2</v>
      </c>
      <c r="X176" s="4">
        <v>0.2</v>
      </c>
      <c r="Y176" s="3">
        <v>45.96</v>
      </c>
    </row>
    <row r="177" spans="1:25" x14ac:dyDescent="0.3">
      <c r="A177" s="2" t="s">
        <v>525</v>
      </c>
      <c r="B177" s="2" t="s">
        <v>526</v>
      </c>
      <c r="C177" s="2" t="s">
        <v>27</v>
      </c>
      <c r="D177" s="8">
        <v>27804</v>
      </c>
      <c r="E177" s="3">
        <v>2024.51</v>
      </c>
      <c r="F177" s="2">
        <v>2025</v>
      </c>
      <c r="G177" s="2" t="s">
        <v>87</v>
      </c>
      <c r="H177" s="2" t="s">
        <v>29</v>
      </c>
      <c r="I177" s="2" t="s">
        <v>78</v>
      </c>
      <c r="J177" s="2" t="s">
        <v>31</v>
      </c>
      <c r="K177" s="2" t="s">
        <v>32</v>
      </c>
      <c r="L177" s="2" t="s">
        <v>144</v>
      </c>
      <c r="M177" s="8">
        <v>45674</v>
      </c>
      <c r="N177" s="2" t="s">
        <v>539</v>
      </c>
      <c r="O177" s="8">
        <v>45674</v>
      </c>
      <c r="P177" s="8">
        <v>45677</v>
      </c>
      <c r="Q177" s="2" t="s">
        <v>121</v>
      </c>
      <c r="R177" s="2" t="s">
        <v>236</v>
      </c>
      <c r="S177" s="2">
        <v>428399</v>
      </c>
      <c r="T177" s="2" t="s">
        <v>117</v>
      </c>
      <c r="U177" s="2" t="s">
        <v>118</v>
      </c>
      <c r="V177" s="2" t="s">
        <v>540</v>
      </c>
      <c r="W177" s="2">
        <v>8</v>
      </c>
      <c r="X177" s="4">
        <v>0.2</v>
      </c>
      <c r="Y177" s="3">
        <v>510.33</v>
      </c>
    </row>
    <row r="178" spans="1:25" x14ac:dyDescent="0.3">
      <c r="A178" s="2" t="s">
        <v>525</v>
      </c>
      <c r="B178" s="2" t="s">
        <v>526</v>
      </c>
      <c r="C178" s="2" t="s">
        <v>27</v>
      </c>
      <c r="D178" s="8">
        <v>27804</v>
      </c>
      <c r="E178" s="3">
        <v>183.36</v>
      </c>
      <c r="F178" s="2">
        <v>2025</v>
      </c>
      <c r="G178" s="2" t="s">
        <v>87</v>
      </c>
      <c r="H178" s="2" t="s">
        <v>29</v>
      </c>
      <c r="I178" s="2" t="s">
        <v>78</v>
      </c>
      <c r="J178" s="2" t="s">
        <v>31</v>
      </c>
      <c r="K178" s="2" t="s">
        <v>32</v>
      </c>
      <c r="L178" s="2" t="s">
        <v>144</v>
      </c>
      <c r="M178" s="8">
        <v>45781</v>
      </c>
      <c r="N178" s="2" t="s">
        <v>541</v>
      </c>
      <c r="O178" s="8">
        <v>45778</v>
      </c>
      <c r="P178" s="8">
        <v>45782</v>
      </c>
      <c r="Q178" s="2" t="s">
        <v>121</v>
      </c>
      <c r="R178" s="2" t="s">
        <v>236</v>
      </c>
      <c r="S178" s="2">
        <v>702727</v>
      </c>
      <c r="T178" s="2" t="s">
        <v>89</v>
      </c>
      <c r="U178" s="2" t="s">
        <v>90</v>
      </c>
      <c r="V178" s="2" t="s">
        <v>542</v>
      </c>
      <c r="W178" s="2">
        <v>2</v>
      </c>
      <c r="X178" s="4">
        <v>0.15</v>
      </c>
      <c r="Y178" s="3">
        <v>16.940000000000001</v>
      </c>
    </row>
    <row r="179" spans="1:25" x14ac:dyDescent="0.3">
      <c r="A179" s="2" t="s">
        <v>543</v>
      </c>
      <c r="B179" s="2" t="s">
        <v>544</v>
      </c>
      <c r="C179" s="2" t="s">
        <v>545</v>
      </c>
      <c r="D179" s="8">
        <v>32818</v>
      </c>
      <c r="E179" s="3">
        <v>816.13</v>
      </c>
      <c r="F179" s="2">
        <v>2023</v>
      </c>
      <c r="G179" s="2" t="s">
        <v>28</v>
      </c>
      <c r="H179" s="2" t="s">
        <v>29</v>
      </c>
      <c r="I179" s="2" t="s">
        <v>30</v>
      </c>
      <c r="J179" s="2" t="s">
        <v>31</v>
      </c>
      <c r="K179" s="2" t="s">
        <v>32</v>
      </c>
      <c r="L179" s="2" t="s">
        <v>33</v>
      </c>
      <c r="M179" s="8">
        <v>45118</v>
      </c>
      <c r="N179" s="2" t="s">
        <v>546</v>
      </c>
      <c r="O179" s="8">
        <v>45117</v>
      </c>
      <c r="P179" s="8">
        <v>45119</v>
      </c>
      <c r="Q179" s="2" t="s">
        <v>35</v>
      </c>
      <c r="R179" s="2" t="s">
        <v>236</v>
      </c>
      <c r="S179" s="2">
        <v>476479</v>
      </c>
      <c r="T179" s="2" t="s">
        <v>55</v>
      </c>
      <c r="U179" s="2" t="s">
        <v>56</v>
      </c>
      <c r="V179" s="2" t="s">
        <v>547</v>
      </c>
      <c r="W179" s="2">
        <v>3</v>
      </c>
      <c r="X179" s="4">
        <v>0.05</v>
      </c>
      <c r="Y179" s="3">
        <v>111.52</v>
      </c>
    </row>
    <row r="180" spans="1:25" x14ac:dyDescent="0.3">
      <c r="A180" s="2" t="s">
        <v>543</v>
      </c>
      <c r="B180" s="2" t="s">
        <v>544</v>
      </c>
      <c r="C180" s="2" t="s">
        <v>545</v>
      </c>
      <c r="D180" s="8">
        <v>32818</v>
      </c>
      <c r="E180" s="3">
        <v>1480.68</v>
      </c>
      <c r="F180" s="2">
        <v>2024</v>
      </c>
      <c r="G180" s="2" t="s">
        <v>87</v>
      </c>
      <c r="H180" s="2" t="s">
        <v>29</v>
      </c>
      <c r="I180" s="2" t="s">
        <v>78</v>
      </c>
      <c r="J180" s="2" t="s">
        <v>31</v>
      </c>
      <c r="K180" s="2" t="s">
        <v>32</v>
      </c>
      <c r="L180" s="2" t="s">
        <v>33</v>
      </c>
      <c r="M180" s="8">
        <v>45428</v>
      </c>
      <c r="N180" s="2" t="s">
        <v>548</v>
      </c>
      <c r="O180" s="8">
        <v>45425</v>
      </c>
      <c r="P180" s="8">
        <v>45429</v>
      </c>
      <c r="Q180" s="2" t="s">
        <v>41</v>
      </c>
      <c r="R180" s="2" t="s">
        <v>236</v>
      </c>
      <c r="S180" s="2">
        <v>535820</v>
      </c>
      <c r="T180" s="2" t="s">
        <v>80</v>
      </c>
      <c r="U180" s="2" t="s">
        <v>81</v>
      </c>
      <c r="V180" s="2" t="s">
        <v>549</v>
      </c>
      <c r="W180" s="2">
        <v>4</v>
      </c>
      <c r="X180" s="4">
        <v>0.1</v>
      </c>
      <c r="Y180" s="3">
        <v>298.55</v>
      </c>
    </row>
    <row r="181" spans="1:25" x14ac:dyDescent="0.3">
      <c r="A181" s="2" t="s">
        <v>543</v>
      </c>
      <c r="B181" s="2" t="s">
        <v>544</v>
      </c>
      <c r="C181" s="2" t="s">
        <v>545</v>
      </c>
      <c r="D181" s="8">
        <v>32818</v>
      </c>
      <c r="E181" s="3">
        <v>179.04</v>
      </c>
      <c r="F181" s="2">
        <v>2024</v>
      </c>
      <c r="G181" s="2" t="s">
        <v>48</v>
      </c>
      <c r="H181" s="2" t="s">
        <v>29</v>
      </c>
      <c r="I181" s="2" t="s">
        <v>49</v>
      </c>
      <c r="J181" s="2" t="s">
        <v>31</v>
      </c>
      <c r="K181" s="2" t="s">
        <v>32</v>
      </c>
      <c r="L181" s="2" t="s">
        <v>33</v>
      </c>
      <c r="M181" s="8">
        <v>45578</v>
      </c>
      <c r="N181" s="2" t="s">
        <v>550</v>
      </c>
      <c r="O181" s="8">
        <v>45577</v>
      </c>
      <c r="P181" s="8">
        <v>45579</v>
      </c>
      <c r="Q181" s="2" t="s">
        <v>74</v>
      </c>
      <c r="R181" s="2" t="s">
        <v>236</v>
      </c>
      <c r="S181" s="2">
        <v>335765</v>
      </c>
      <c r="T181" s="2" t="s">
        <v>84</v>
      </c>
      <c r="U181" s="2" t="s">
        <v>85</v>
      </c>
      <c r="V181" s="2" t="s">
        <v>551</v>
      </c>
      <c r="W181" s="2">
        <v>3</v>
      </c>
      <c r="X181" s="4">
        <v>0</v>
      </c>
      <c r="Y181" s="3">
        <v>51.7</v>
      </c>
    </row>
    <row r="182" spans="1:25" x14ac:dyDescent="0.3">
      <c r="A182" s="2" t="s">
        <v>552</v>
      </c>
      <c r="B182" s="2" t="s">
        <v>234</v>
      </c>
      <c r="C182" s="2" t="s">
        <v>142</v>
      </c>
      <c r="D182" s="8">
        <v>34082</v>
      </c>
      <c r="E182" s="3">
        <v>669.06</v>
      </c>
      <c r="F182" s="2">
        <v>2023</v>
      </c>
      <c r="G182" s="2" t="s">
        <v>87</v>
      </c>
      <c r="H182" s="2" t="s">
        <v>163</v>
      </c>
      <c r="I182" s="2" t="s">
        <v>49</v>
      </c>
      <c r="J182" s="2" t="s">
        <v>102</v>
      </c>
      <c r="K182" s="2" t="s">
        <v>32</v>
      </c>
      <c r="L182" s="2" t="s">
        <v>33</v>
      </c>
      <c r="M182" s="8">
        <v>45101</v>
      </c>
      <c r="N182" s="2" t="s">
        <v>553</v>
      </c>
      <c r="O182" s="8">
        <v>45099</v>
      </c>
      <c r="P182" s="8">
        <v>45104</v>
      </c>
      <c r="Q182" s="2" t="s">
        <v>35</v>
      </c>
      <c r="R182" s="2" t="s">
        <v>197</v>
      </c>
      <c r="S182" s="2">
        <v>896922</v>
      </c>
      <c r="T182" s="2" t="s">
        <v>84</v>
      </c>
      <c r="U182" s="2" t="s">
        <v>85</v>
      </c>
      <c r="V182" s="2" t="s">
        <v>554</v>
      </c>
      <c r="W182" s="2">
        <v>9</v>
      </c>
      <c r="X182" s="4">
        <v>0</v>
      </c>
      <c r="Y182" s="3">
        <v>87.22</v>
      </c>
    </row>
    <row r="183" spans="1:25" x14ac:dyDescent="0.3">
      <c r="A183" s="2" t="s">
        <v>552</v>
      </c>
      <c r="B183" s="2" t="s">
        <v>234</v>
      </c>
      <c r="C183" s="2" t="s">
        <v>142</v>
      </c>
      <c r="D183" s="8">
        <v>34082</v>
      </c>
      <c r="E183" s="3">
        <v>1980.36</v>
      </c>
      <c r="F183" s="2">
        <v>2024</v>
      </c>
      <c r="G183" s="2" t="s">
        <v>48</v>
      </c>
      <c r="H183" s="2" t="s">
        <v>163</v>
      </c>
      <c r="I183" s="2" t="s">
        <v>49</v>
      </c>
      <c r="J183" s="2" t="s">
        <v>102</v>
      </c>
      <c r="K183" s="2" t="s">
        <v>32</v>
      </c>
      <c r="L183" s="2" t="s">
        <v>33</v>
      </c>
      <c r="M183" s="8">
        <v>45396</v>
      </c>
      <c r="N183" s="2" t="s">
        <v>555</v>
      </c>
      <c r="O183" s="8">
        <v>45395</v>
      </c>
      <c r="P183" s="8">
        <v>45397</v>
      </c>
      <c r="Q183" s="2" t="s">
        <v>41</v>
      </c>
      <c r="R183" s="2" t="s">
        <v>197</v>
      </c>
      <c r="S183" s="2">
        <v>375581</v>
      </c>
      <c r="T183" s="2" t="s">
        <v>84</v>
      </c>
      <c r="U183" s="2" t="s">
        <v>85</v>
      </c>
      <c r="V183" s="2" t="s">
        <v>556</v>
      </c>
      <c r="W183" s="2">
        <v>4</v>
      </c>
      <c r="X183" s="4">
        <v>0</v>
      </c>
      <c r="Y183" s="3">
        <v>536.27</v>
      </c>
    </row>
    <row r="184" spans="1:25" x14ac:dyDescent="0.3">
      <c r="A184" s="2" t="s">
        <v>552</v>
      </c>
      <c r="B184" s="2" t="s">
        <v>234</v>
      </c>
      <c r="C184" s="2" t="s">
        <v>142</v>
      </c>
      <c r="D184" s="8">
        <v>34082</v>
      </c>
      <c r="E184" s="3">
        <v>784.6</v>
      </c>
      <c r="F184" s="2">
        <v>2024</v>
      </c>
      <c r="G184" s="2" t="s">
        <v>28</v>
      </c>
      <c r="H184" s="2" t="s">
        <v>163</v>
      </c>
      <c r="I184" s="2" t="s">
        <v>43</v>
      </c>
      <c r="J184" s="2" t="s">
        <v>102</v>
      </c>
      <c r="K184" s="2" t="s">
        <v>32</v>
      </c>
      <c r="L184" s="2" t="s">
        <v>33</v>
      </c>
      <c r="M184" s="8">
        <v>45511</v>
      </c>
      <c r="N184" s="2" t="s">
        <v>557</v>
      </c>
      <c r="O184" s="8">
        <v>45506</v>
      </c>
      <c r="P184" s="8">
        <v>45511</v>
      </c>
      <c r="Q184" s="2" t="s">
        <v>41</v>
      </c>
      <c r="R184" s="2" t="s">
        <v>197</v>
      </c>
      <c r="S184" s="2">
        <v>274044</v>
      </c>
      <c r="T184" s="2" t="s">
        <v>45</v>
      </c>
      <c r="U184" s="2" t="s">
        <v>46</v>
      </c>
      <c r="V184" s="2" t="s">
        <v>558</v>
      </c>
      <c r="W184" s="2">
        <v>2</v>
      </c>
      <c r="X184" s="4">
        <v>0</v>
      </c>
      <c r="Y184" s="3">
        <v>88.63</v>
      </c>
    </row>
    <row r="185" spans="1:25" x14ac:dyDescent="0.3">
      <c r="A185" s="2" t="s">
        <v>552</v>
      </c>
      <c r="B185" s="2" t="s">
        <v>234</v>
      </c>
      <c r="C185" s="2" t="s">
        <v>142</v>
      </c>
      <c r="D185" s="8">
        <v>34082</v>
      </c>
      <c r="E185" s="3">
        <v>1313.57</v>
      </c>
      <c r="F185" s="2">
        <v>2025</v>
      </c>
      <c r="G185" s="2" t="s">
        <v>87</v>
      </c>
      <c r="H185" s="2" t="s">
        <v>163</v>
      </c>
      <c r="I185" s="2" t="s">
        <v>30</v>
      </c>
      <c r="J185" s="2" t="s">
        <v>102</v>
      </c>
      <c r="K185" s="2" t="s">
        <v>32</v>
      </c>
      <c r="L185" s="2" t="s">
        <v>33</v>
      </c>
      <c r="M185" s="8">
        <v>45728</v>
      </c>
      <c r="N185" s="2" t="s">
        <v>559</v>
      </c>
      <c r="O185" s="8">
        <v>45726</v>
      </c>
      <c r="P185" s="8">
        <v>45729</v>
      </c>
      <c r="Q185" s="2" t="s">
        <v>121</v>
      </c>
      <c r="R185" s="2" t="s">
        <v>197</v>
      </c>
      <c r="S185" s="2">
        <v>439375</v>
      </c>
      <c r="T185" s="2" t="s">
        <v>75</v>
      </c>
      <c r="U185" s="2" t="s">
        <v>76</v>
      </c>
      <c r="V185" s="2" t="s">
        <v>560</v>
      </c>
      <c r="W185" s="2">
        <v>4</v>
      </c>
      <c r="X185" s="4">
        <v>0.2</v>
      </c>
      <c r="Y185" s="3">
        <v>89.07</v>
      </c>
    </row>
    <row r="186" spans="1:25" x14ac:dyDescent="0.3">
      <c r="A186" s="2" t="s">
        <v>561</v>
      </c>
      <c r="B186" s="2" t="s">
        <v>562</v>
      </c>
      <c r="C186" s="2" t="s">
        <v>248</v>
      </c>
      <c r="D186" s="8">
        <v>29156</v>
      </c>
      <c r="E186" s="3">
        <v>3227.07</v>
      </c>
      <c r="F186" s="2">
        <v>2023</v>
      </c>
      <c r="G186" s="2" t="s">
        <v>48</v>
      </c>
      <c r="H186" s="2" t="s">
        <v>29</v>
      </c>
      <c r="I186" s="2" t="s">
        <v>78</v>
      </c>
      <c r="J186" s="2" t="s">
        <v>102</v>
      </c>
      <c r="K186" s="2" t="s">
        <v>32</v>
      </c>
      <c r="L186" s="2" t="s">
        <v>144</v>
      </c>
      <c r="M186" s="8">
        <v>45202</v>
      </c>
      <c r="N186" s="2" t="s">
        <v>563</v>
      </c>
      <c r="O186" s="8">
        <v>45200</v>
      </c>
      <c r="P186" s="8">
        <v>45202</v>
      </c>
      <c r="Q186" s="2" t="s">
        <v>121</v>
      </c>
      <c r="R186" s="2" t="s">
        <v>104</v>
      </c>
      <c r="S186" s="2">
        <v>253347</v>
      </c>
      <c r="T186" s="2" t="s">
        <v>89</v>
      </c>
      <c r="U186" s="2" t="s">
        <v>90</v>
      </c>
      <c r="V186" s="2" t="s">
        <v>564</v>
      </c>
      <c r="W186" s="2">
        <v>7</v>
      </c>
      <c r="X186" s="4">
        <v>0</v>
      </c>
      <c r="Y186" s="3">
        <v>1000.76</v>
      </c>
    </row>
    <row r="187" spans="1:25" x14ac:dyDescent="0.3">
      <c r="A187" s="2" t="s">
        <v>561</v>
      </c>
      <c r="B187" s="2" t="s">
        <v>562</v>
      </c>
      <c r="C187" s="2" t="s">
        <v>248</v>
      </c>
      <c r="D187" s="8">
        <v>29156</v>
      </c>
      <c r="E187" s="3">
        <v>1310.73</v>
      </c>
      <c r="F187" s="2">
        <v>2023</v>
      </c>
      <c r="G187" s="2" t="s">
        <v>87</v>
      </c>
      <c r="H187" s="2" t="s">
        <v>29</v>
      </c>
      <c r="I187" s="2" t="s">
        <v>49</v>
      </c>
      <c r="J187" s="2" t="s">
        <v>102</v>
      </c>
      <c r="K187" s="2" t="s">
        <v>32</v>
      </c>
      <c r="L187" s="2" t="s">
        <v>144</v>
      </c>
      <c r="M187" s="8">
        <v>45225</v>
      </c>
      <c r="N187" s="2" t="s">
        <v>565</v>
      </c>
      <c r="O187" s="8">
        <v>45223</v>
      </c>
      <c r="P187" s="8">
        <v>45225</v>
      </c>
      <c r="Q187" s="2" t="s">
        <v>74</v>
      </c>
      <c r="R187" s="2" t="s">
        <v>104</v>
      </c>
      <c r="S187" s="2">
        <v>758309</v>
      </c>
      <c r="T187" s="2" t="s">
        <v>84</v>
      </c>
      <c r="U187" s="2" t="s">
        <v>85</v>
      </c>
      <c r="V187" s="2" t="s">
        <v>566</v>
      </c>
      <c r="W187" s="2">
        <v>4</v>
      </c>
      <c r="X187" s="4">
        <v>0.15</v>
      </c>
      <c r="Y187" s="3">
        <v>219.95</v>
      </c>
    </row>
    <row r="188" spans="1:25" x14ac:dyDescent="0.3">
      <c r="A188" s="2" t="s">
        <v>561</v>
      </c>
      <c r="B188" s="2" t="s">
        <v>562</v>
      </c>
      <c r="C188" s="2" t="s">
        <v>248</v>
      </c>
      <c r="D188" s="8">
        <v>29156</v>
      </c>
      <c r="E188" s="3">
        <v>518.62</v>
      </c>
      <c r="F188" s="2">
        <v>2023</v>
      </c>
      <c r="G188" s="2" t="s">
        <v>28</v>
      </c>
      <c r="H188" s="2" t="s">
        <v>29</v>
      </c>
      <c r="I188" s="2" t="s">
        <v>92</v>
      </c>
      <c r="J188" s="2" t="s">
        <v>102</v>
      </c>
      <c r="K188" s="2" t="s">
        <v>32</v>
      </c>
      <c r="L188" s="2" t="s">
        <v>144</v>
      </c>
      <c r="M188" s="8">
        <v>45231</v>
      </c>
      <c r="N188" s="2" t="s">
        <v>567</v>
      </c>
      <c r="O188" s="8">
        <v>45226</v>
      </c>
      <c r="P188" s="8">
        <v>45231</v>
      </c>
      <c r="Q188" s="2" t="s">
        <v>74</v>
      </c>
      <c r="R188" s="2" t="s">
        <v>104</v>
      </c>
      <c r="S188" s="2">
        <v>576782</v>
      </c>
      <c r="T188" s="2" t="s">
        <v>127</v>
      </c>
      <c r="U188" s="2" t="s">
        <v>128</v>
      </c>
      <c r="V188" s="2" t="s">
        <v>568</v>
      </c>
      <c r="W188" s="2">
        <v>2</v>
      </c>
      <c r="X188" s="4">
        <v>0.2</v>
      </c>
      <c r="Y188" s="3">
        <v>40.42</v>
      </c>
    </row>
    <row r="189" spans="1:25" x14ac:dyDescent="0.3">
      <c r="A189" s="2" t="s">
        <v>561</v>
      </c>
      <c r="B189" s="2" t="s">
        <v>562</v>
      </c>
      <c r="C189" s="2" t="s">
        <v>248</v>
      </c>
      <c r="D189" s="8">
        <v>29156</v>
      </c>
      <c r="E189" s="3">
        <v>349.66</v>
      </c>
      <c r="F189" s="2">
        <v>2024</v>
      </c>
      <c r="G189" s="2" t="s">
        <v>48</v>
      </c>
      <c r="H189" s="2" t="s">
        <v>29</v>
      </c>
      <c r="I189" s="2" t="s">
        <v>92</v>
      </c>
      <c r="J189" s="2" t="s">
        <v>102</v>
      </c>
      <c r="K189" s="2" t="s">
        <v>32</v>
      </c>
      <c r="L189" s="2" t="s">
        <v>144</v>
      </c>
      <c r="M189" s="8">
        <v>45455</v>
      </c>
      <c r="N189" s="2" t="s">
        <v>569</v>
      </c>
      <c r="O189" s="8">
        <v>45453</v>
      </c>
      <c r="P189" s="8">
        <v>45457</v>
      </c>
      <c r="Q189" s="2" t="s">
        <v>41</v>
      </c>
      <c r="R189" s="2" t="s">
        <v>104</v>
      </c>
      <c r="S189" s="2">
        <v>328411</v>
      </c>
      <c r="T189" s="2" t="s">
        <v>94</v>
      </c>
      <c r="U189" s="2" t="s">
        <v>95</v>
      </c>
      <c r="V189" s="2" t="s">
        <v>570</v>
      </c>
      <c r="W189" s="2">
        <v>1</v>
      </c>
      <c r="X189" s="4">
        <v>0.2</v>
      </c>
      <c r="Y189" s="3">
        <v>94.34</v>
      </c>
    </row>
    <row r="190" spans="1:25" x14ac:dyDescent="0.3">
      <c r="A190" s="2" t="s">
        <v>561</v>
      </c>
      <c r="B190" s="2" t="s">
        <v>562</v>
      </c>
      <c r="C190" s="2" t="s">
        <v>248</v>
      </c>
      <c r="D190" s="8">
        <v>29156</v>
      </c>
      <c r="E190" s="3">
        <v>874.9</v>
      </c>
      <c r="F190" s="2">
        <v>2024</v>
      </c>
      <c r="G190" s="2" t="s">
        <v>87</v>
      </c>
      <c r="H190" s="2" t="s">
        <v>29</v>
      </c>
      <c r="I190" s="2" t="s">
        <v>92</v>
      </c>
      <c r="J190" s="2" t="s">
        <v>102</v>
      </c>
      <c r="K190" s="2" t="s">
        <v>32</v>
      </c>
      <c r="L190" s="2" t="s">
        <v>144</v>
      </c>
      <c r="M190" s="8">
        <v>45514</v>
      </c>
      <c r="N190" s="2" t="s">
        <v>571</v>
      </c>
      <c r="O190" s="8">
        <v>45513</v>
      </c>
      <c r="P190" s="8">
        <v>45518</v>
      </c>
      <c r="Q190" s="2" t="s">
        <v>41</v>
      </c>
      <c r="R190" s="2" t="s">
        <v>104</v>
      </c>
      <c r="S190" s="2">
        <v>926596</v>
      </c>
      <c r="T190" s="2" t="s">
        <v>147</v>
      </c>
      <c r="U190" s="2" t="s">
        <v>148</v>
      </c>
      <c r="V190" s="2" t="s">
        <v>572</v>
      </c>
      <c r="W190" s="2">
        <v>5</v>
      </c>
      <c r="X190" s="4">
        <v>0</v>
      </c>
      <c r="Y190" s="3">
        <v>132.4</v>
      </c>
    </row>
    <row r="191" spans="1:25" x14ac:dyDescent="0.3">
      <c r="A191" s="2" t="s">
        <v>561</v>
      </c>
      <c r="B191" s="2" t="s">
        <v>562</v>
      </c>
      <c r="C191" s="2" t="s">
        <v>248</v>
      </c>
      <c r="D191" s="8">
        <v>29156</v>
      </c>
      <c r="E191" s="3">
        <v>35.74</v>
      </c>
      <c r="F191" s="2">
        <v>2024</v>
      </c>
      <c r="G191" s="2" t="s">
        <v>48</v>
      </c>
      <c r="H191" s="2" t="s">
        <v>29</v>
      </c>
      <c r="I191" s="2" t="s">
        <v>43</v>
      </c>
      <c r="J191" s="2" t="s">
        <v>102</v>
      </c>
      <c r="K191" s="2" t="s">
        <v>32</v>
      </c>
      <c r="L191" s="2" t="s">
        <v>144</v>
      </c>
      <c r="M191" s="8">
        <v>45622</v>
      </c>
      <c r="N191" s="2" t="s">
        <v>573</v>
      </c>
      <c r="O191" s="8">
        <v>45622</v>
      </c>
      <c r="P191" s="8">
        <v>45626</v>
      </c>
      <c r="Q191" s="2" t="s">
        <v>121</v>
      </c>
      <c r="R191" s="2" t="s">
        <v>104</v>
      </c>
      <c r="S191" s="2">
        <v>562721</v>
      </c>
      <c r="T191" s="2" t="s">
        <v>70</v>
      </c>
      <c r="U191" s="2" t="s">
        <v>71</v>
      </c>
      <c r="V191" s="2" t="s">
        <v>574</v>
      </c>
      <c r="W191" s="2">
        <v>1</v>
      </c>
      <c r="X191" s="4">
        <v>0.15</v>
      </c>
      <c r="Y191" s="3">
        <v>10.19</v>
      </c>
    </row>
    <row r="192" spans="1:25" x14ac:dyDescent="0.3">
      <c r="A192" s="2" t="s">
        <v>561</v>
      </c>
      <c r="B192" s="2" t="s">
        <v>562</v>
      </c>
      <c r="C192" s="2" t="s">
        <v>248</v>
      </c>
      <c r="D192" s="8">
        <v>29156</v>
      </c>
      <c r="E192" s="3">
        <v>1991.72</v>
      </c>
      <c r="F192" s="2">
        <v>2025</v>
      </c>
      <c r="G192" s="2" t="s">
        <v>28</v>
      </c>
      <c r="H192" s="2" t="s">
        <v>29</v>
      </c>
      <c r="I192" s="2" t="s">
        <v>92</v>
      </c>
      <c r="J192" s="2" t="s">
        <v>102</v>
      </c>
      <c r="K192" s="2" t="s">
        <v>32</v>
      </c>
      <c r="L192" s="2" t="s">
        <v>144</v>
      </c>
      <c r="M192" s="8">
        <v>45762</v>
      </c>
      <c r="N192" s="2" t="s">
        <v>575</v>
      </c>
      <c r="O192" s="8">
        <v>45761</v>
      </c>
      <c r="P192" s="8">
        <v>45764</v>
      </c>
      <c r="Q192" s="2" t="s">
        <v>35</v>
      </c>
      <c r="R192" s="2" t="s">
        <v>104</v>
      </c>
      <c r="S192" s="2">
        <v>786385</v>
      </c>
      <c r="T192" s="2" t="s">
        <v>187</v>
      </c>
      <c r="U192" s="2" t="s">
        <v>188</v>
      </c>
      <c r="V192" s="2" t="s">
        <v>576</v>
      </c>
      <c r="W192" s="2">
        <v>4</v>
      </c>
      <c r="X192" s="4">
        <v>0</v>
      </c>
      <c r="Y192" s="3">
        <v>626.67999999999995</v>
      </c>
    </row>
    <row r="193" spans="1:25" x14ac:dyDescent="0.3">
      <c r="A193" s="2" t="s">
        <v>561</v>
      </c>
      <c r="B193" s="2" t="s">
        <v>562</v>
      </c>
      <c r="C193" s="2" t="s">
        <v>248</v>
      </c>
      <c r="D193" s="8">
        <v>29156</v>
      </c>
      <c r="E193" s="3">
        <v>1728.7</v>
      </c>
      <c r="F193" s="2">
        <v>2025</v>
      </c>
      <c r="G193" s="2" t="s">
        <v>87</v>
      </c>
      <c r="H193" s="2" t="s">
        <v>29</v>
      </c>
      <c r="I193" s="2" t="s">
        <v>43</v>
      </c>
      <c r="J193" s="2" t="s">
        <v>102</v>
      </c>
      <c r="K193" s="2" t="s">
        <v>32</v>
      </c>
      <c r="L193" s="2" t="s">
        <v>144</v>
      </c>
      <c r="M193" s="8">
        <v>45807</v>
      </c>
      <c r="N193" s="2" t="s">
        <v>577</v>
      </c>
      <c r="O193" s="8">
        <v>45805</v>
      </c>
      <c r="P193" s="8">
        <v>45809</v>
      </c>
      <c r="Q193" s="2" t="s">
        <v>121</v>
      </c>
      <c r="R193" s="2" t="s">
        <v>104</v>
      </c>
      <c r="S193" s="2">
        <v>550081</v>
      </c>
      <c r="T193" s="2" t="s">
        <v>153</v>
      </c>
      <c r="U193" s="2" t="s">
        <v>154</v>
      </c>
      <c r="V193" s="2" t="s">
        <v>578</v>
      </c>
      <c r="W193" s="2">
        <v>6</v>
      </c>
      <c r="X193" s="4">
        <v>0.15</v>
      </c>
      <c r="Y193" s="3">
        <v>172.28</v>
      </c>
    </row>
    <row r="194" spans="1:25" x14ac:dyDescent="0.3">
      <c r="A194" s="2" t="s">
        <v>579</v>
      </c>
      <c r="B194" s="2" t="s">
        <v>492</v>
      </c>
      <c r="C194" s="2" t="s">
        <v>455</v>
      </c>
      <c r="D194" s="8">
        <v>27253</v>
      </c>
      <c r="E194" s="3">
        <v>1023.45</v>
      </c>
      <c r="F194" s="2">
        <v>2023</v>
      </c>
      <c r="G194" s="2" t="s">
        <v>28</v>
      </c>
      <c r="H194" s="2" t="s">
        <v>29</v>
      </c>
      <c r="I194" s="2" t="s">
        <v>78</v>
      </c>
      <c r="J194" s="2" t="s">
        <v>62</v>
      </c>
      <c r="K194" s="2" t="s">
        <v>32</v>
      </c>
      <c r="L194" s="2" t="s">
        <v>63</v>
      </c>
      <c r="M194" s="8">
        <v>44928</v>
      </c>
      <c r="N194" s="2" t="s">
        <v>580</v>
      </c>
      <c r="O194" s="8">
        <v>44928</v>
      </c>
      <c r="P194" s="8">
        <v>44931</v>
      </c>
      <c r="Q194" s="2" t="s">
        <v>121</v>
      </c>
      <c r="R194" s="2" t="s">
        <v>65</v>
      </c>
      <c r="S194" s="2">
        <v>600905</v>
      </c>
      <c r="T194" s="2" t="s">
        <v>89</v>
      </c>
      <c r="U194" s="2" t="s">
        <v>90</v>
      </c>
      <c r="V194" s="2" t="s">
        <v>581</v>
      </c>
      <c r="W194" s="2">
        <v>4</v>
      </c>
      <c r="X194" s="4">
        <v>0.05</v>
      </c>
      <c r="Y194" s="3">
        <v>54.02</v>
      </c>
    </row>
    <row r="195" spans="1:25" x14ac:dyDescent="0.3">
      <c r="A195" s="2" t="s">
        <v>579</v>
      </c>
      <c r="B195" s="2" t="s">
        <v>492</v>
      </c>
      <c r="C195" s="2" t="s">
        <v>455</v>
      </c>
      <c r="D195" s="8">
        <v>27253</v>
      </c>
      <c r="E195" s="3">
        <v>741.54</v>
      </c>
      <c r="F195" s="2">
        <v>2023</v>
      </c>
      <c r="G195" s="2" t="s">
        <v>48</v>
      </c>
      <c r="H195" s="2" t="s">
        <v>29</v>
      </c>
      <c r="I195" s="2" t="s">
        <v>78</v>
      </c>
      <c r="J195" s="2" t="s">
        <v>62</v>
      </c>
      <c r="K195" s="2" t="s">
        <v>32</v>
      </c>
      <c r="L195" s="2" t="s">
        <v>63</v>
      </c>
      <c r="M195" s="8">
        <v>45026</v>
      </c>
      <c r="N195" s="2" t="s">
        <v>582</v>
      </c>
      <c r="O195" s="8">
        <v>45024</v>
      </c>
      <c r="P195" s="8">
        <v>45027</v>
      </c>
      <c r="Q195" s="2" t="s">
        <v>41</v>
      </c>
      <c r="R195" s="2" t="s">
        <v>65</v>
      </c>
      <c r="S195" s="2">
        <v>911032</v>
      </c>
      <c r="T195" s="2" t="s">
        <v>89</v>
      </c>
      <c r="U195" s="2" t="s">
        <v>90</v>
      </c>
      <c r="V195" s="2" t="s">
        <v>583</v>
      </c>
      <c r="W195" s="2">
        <v>2</v>
      </c>
      <c r="X195" s="4">
        <v>0</v>
      </c>
      <c r="Y195" s="3">
        <v>60.04</v>
      </c>
    </row>
    <row r="196" spans="1:25" x14ac:dyDescent="0.3">
      <c r="A196" s="2" t="s">
        <v>579</v>
      </c>
      <c r="B196" s="2" t="s">
        <v>492</v>
      </c>
      <c r="C196" s="2" t="s">
        <v>455</v>
      </c>
      <c r="D196" s="8">
        <v>27253</v>
      </c>
      <c r="E196" s="3">
        <v>2352.08</v>
      </c>
      <c r="F196" s="2">
        <v>2023</v>
      </c>
      <c r="G196" s="2" t="s">
        <v>87</v>
      </c>
      <c r="H196" s="2" t="s">
        <v>29</v>
      </c>
      <c r="I196" s="2" t="s">
        <v>61</v>
      </c>
      <c r="J196" s="2" t="s">
        <v>62</v>
      </c>
      <c r="K196" s="2" t="s">
        <v>32</v>
      </c>
      <c r="L196" s="2" t="s">
        <v>63</v>
      </c>
      <c r="M196" s="8">
        <v>45147</v>
      </c>
      <c r="N196" s="2" t="s">
        <v>584</v>
      </c>
      <c r="O196" s="8">
        <v>45145</v>
      </c>
      <c r="P196" s="8">
        <v>45149</v>
      </c>
      <c r="Q196" s="2" t="s">
        <v>121</v>
      </c>
      <c r="R196" s="2" t="s">
        <v>65</v>
      </c>
      <c r="S196" s="2">
        <v>758589</v>
      </c>
      <c r="T196" s="2" t="s">
        <v>66</v>
      </c>
      <c r="U196" s="2" t="s">
        <v>67</v>
      </c>
      <c r="V196" s="2" t="s">
        <v>585</v>
      </c>
      <c r="W196" s="2">
        <v>9</v>
      </c>
      <c r="X196" s="4">
        <v>0.1</v>
      </c>
      <c r="Y196" s="3">
        <v>576.27</v>
      </c>
    </row>
    <row r="197" spans="1:25" x14ac:dyDescent="0.3">
      <c r="A197" s="2" t="s">
        <v>579</v>
      </c>
      <c r="B197" s="2" t="s">
        <v>492</v>
      </c>
      <c r="C197" s="2" t="s">
        <v>455</v>
      </c>
      <c r="D197" s="8">
        <v>27253</v>
      </c>
      <c r="E197" s="3">
        <v>2796.4</v>
      </c>
      <c r="F197" s="2">
        <v>2024</v>
      </c>
      <c r="G197" s="2" t="s">
        <v>48</v>
      </c>
      <c r="H197" s="2" t="s">
        <v>29</v>
      </c>
      <c r="I197" s="2" t="s">
        <v>49</v>
      </c>
      <c r="J197" s="2" t="s">
        <v>62</v>
      </c>
      <c r="K197" s="2" t="s">
        <v>32</v>
      </c>
      <c r="L197" s="2" t="s">
        <v>63</v>
      </c>
      <c r="M197" s="8">
        <v>45415</v>
      </c>
      <c r="N197" s="2" t="s">
        <v>586</v>
      </c>
      <c r="O197" s="8">
        <v>45415</v>
      </c>
      <c r="P197" s="8">
        <v>45416</v>
      </c>
      <c r="Q197" s="2" t="s">
        <v>41</v>
      </c>
      <c r="R197" s="2" t="s">
        <v>65</v>
      </c>
      <c r="S197" s="2">
        <v>468611</v>
      </c>
      <c r="T197" s="2" t="s">
        <v>109</v>
      </c>
      <c r="U197" s="2" t="s">
        <v>110</v>
      </c>
      <c r="V197" s="2" t="s">
        <v>587</v>
      </c>
      <c r="W197" s="2">
        <v>10</v>
      </c>
      <c r="X197" s="4">
        <v>0.2</v>
      </c>
      <c r="Y197" s="3">
        <v>322.07</v>
      </c>
    </row>
    <row r="198" spans="1:25" x14ac:dyDescent="0.3">
      <c r="A198" s="2" t="s">
        <v>579</v>
      </c>
      <c r="B198" s="2" t="s">
        <v>492</v>
      </c>
      <c r="C198" s="2" t="s">
        <v>455</v>
      </c>
      <c r="D198" s="8">
        <v>27253</v>
      </c>
      <c r="E198" s="3">
        <v>354.3</v>
      </c>
      <c r="F198" s="2">
        <v>2024</v>
      </c>
      <c r="G198" s="2" t="s">
        <v>87</v>
      </c>
      <c r="H198" s="2" t="s">
        <v>29</v>
      </c>
      <c r="I198" s="2" t="s">
        <v>92</v>
      </c>
      <c r="J198" s="2" t="s">
        <v>62</v>
      </c>
      <c r="K198" s="2" t="s">
        <v>32</v>
      </c>
      <c r="L198" s="2" t="s">
        <v>63</v>
      </c>
      <c r="M198" s="8">
        <v>45651</v>
      </c>
      <c r="N198" s="2" t="s">
        <v>588</v>
      </c>
      <c r="O198" s="8">
        <v>45647</v>
      </c>
      <c r="P198" s="8">
        <v>45652</v>
      </c>
      <c r="Q198" s="2" t="s">
        <v>74</v>
      </c>
      <c r="R198" s="2" t="s">
        <v>65</v>
      </c>
      <c r="S198" s="2">
        <v>916808</v>
      </c>
      <c r="T198" s="2" t="s">
        <v>94</v>
      </c>
      <c r="U198" s="2" t="s">
        <v>95</v>
      </c>
      <c r="V198" s="2" t="s">
        <v>589</v>
      </c>
      <c r="W198" s="2">
        <v>3</v>
      </c>
      <c r="X198" s="4">
        <v>0.15</v>
      </c>
      <c r="Y198" s="3">
        <v>26.67</v>
      </c>
    </row>
    <row r="199" spans="1:25" x14ac:dyDescent="0.3">
      <c r="A199" s="2" t="s">
        <v>590</v>
      </c>
      <c r="B199" s="2" t="s">
        <v>591</v>
      </c>
      <c r="C199" s="2" t="s">
        <v>545</v>
      </c>
      <c r="D199" s="8">
        <v>31487</v>
      </c>
      <c r="E199" s="3">
        <v>1515.84</v>
      </c>
      <c r="F199" s="2">
        <v>2023</v>
      </c>
      <c r="G199" s="2" t="s">
        <v>28</v>
      </c>
      <c r="H199" s="2" t="s">
        <v>29</v>
      </c>
      <c r="I199" s="2" t="s">
        <v>30</v>
      </c>
      <c r="J199" s="2" t="s">
        <v>31</v>
      </c>
      <c r="K199" s="2" t="s">
        <v>32</v>
      </c>
      <c r="L199" s="2" t="s">
        <v>144</v>
      </c>
      <c r="M199" s="8">
        <v>44955</v>
      </c>
      <c r="N199" s="2" t="s">
        <v>592</v>
      </c>
      <c r="O199" s="8">
        <v>44954</v>
      </c>
      <c r="P199" s="8">
        <v>44956</v>
      </c>
      <c r="Q199" s="2" t="s">
        <v>35</v>
      </c>
      <c r="R199" s="2" t="s">
        <v>236</v>
      </c>
      <c r="S199" s="2">
        <v>352792</v>
      </c>
      <c r="T199" s="2" t="s">
        <v>55</v>
      </c>
      <c r="U199" s="2" t="s">
        <v>56</v>
      </c>
      <c r="V199" s="2" t="s">
        <v>593</v>
      </c>
      <c r="W199" s="2">
        <v>4</v>
      </c>
      <c r="X199" s="4">
        <v>0</v>
      </c>
      <c r="Y199" s="3">
        <v>369.64</v>
      </c>
    </row>
    <row r="200" spans="1:25" x14ac:dyDescent="0.3">
      <c r="A200" s="2" t="s">
        <v>590</v>
      </c>
      <c r="B200" s="2" t="s">
        <v>591</v>
      </c>
      <c r="C200" s="2" t="s">
        <v>545</v>
      </c>
      <c r="D200" s="8">
        <v>31487</v>
      </c>
      <c r="E200" s="3">
        <v>493.7</v>
      </c>
      <c r="F200" s="2">
        <v>2023</v>
      </c>
      <c r="G200" s="2" t="s">
        <v>28</v>
      </c>
      <c r="H200" s="2" t="s">
        <v>29</v>
      </c>
      <c r="I200" s="2" t="s">
        <v>92</v>
      </c>
      <c r="J200" s="2" t="s">
        <v>31</v>
      </c>
      <c r="K200" s="2" t="s">
        <v>32</v>
      </c>
      <c r="L200" s="2" t="s">
        <v>144</v>
      </c>
      <c r="M200" s="8">
        <v>45140</v>
      </c>
      <c r="N200" s="2" t="s">
        <v>594</v>
      </c>
      <c r="O200" s="8">
        <v>45137</v>
      </c>
      <c r="P200" s="8">
        <v>45142</v>
      </c>
      <c r="Q200" s="2" t="s">
        <v>121</v>
      </c>
      <c r="R200" s="2" t="s">
        <v>236</v>
      </c>
      <c r="S200" s="2">
        <v>899776</v>
      </c>
      <c r="T200" s="2" t="s">
        <v>187</v>
      </c>
      <c r="U200" s="2" t="s">
        <v>188</v>
      </c>
      <c r="V200" s="2" t="s">
        <v>595</v>
      </c>
      <c r="W200" s="2">
        <v>1</v>
      </c>
      <c r="X200" s="4">
        <v>0</v>
      </c>
      <c r="Y200" s="3">
        <v>44.23</v>
      </c>
    </row>
    <row r="201" spans="1:25" x14ac:dyDescent="0.3">
      <c r="A201" s="2" t="s">
        <v>590</v>
      </c>
      <c r="B201" s="2" t="s">
        <v>591</v>
      </c>
      <c r="C201" s="2" t="s">
        <v>545</v>
      </c>
      <c r="D201" s="8">
        <v>31487</v>
      </c>
      <c r="E201" s="3">
        <v>524.20000000000005</v>
      </c>
      <c r="F201" s="2">
        <v>2023</v>
      </c>
      <c r="G201" s="2" t="s">
        <v>87</v>
      </c>
      <c r="H201" s="2" t="s">
        <v>29</v>
      </c>
      <c r="I201" s="2" t="s">
        <v>92</v>
      </c>
      <c r="J201" s="2" t="s">
        <v>31</v>
      </c>
      <c r="K201" s="2" t="s">
        <v>32</v>
      </c>
      <c r="L201" s="2" t="s">
        <v>144</v>
      </c>
      <c r="M201" s="8">
        <v>45236</v>
      </c>
      <c r="N201" s="2" t="s">
        <v>596</v>
      </c>
      <c r="O201" s="8">
        <v>45235</v>
      </c>
      <c r="P201" s="8">
        <v>45236</v>
      </c>
      <c r="Q201" s="2" t="s">
        <v>74</v>
      </c>
      <c r="R201" s="2" t="s">
        <v>236</v>
      </c>
      <c r="S201" s="2">
        <v>759104</v>
      </c>
      <c r="T201" s="2" t="s">
        <v>187</v>
      </c>
      <c r="U201" s="2" t="s">
        <v>188</v>
      </c>
      <c r="V201" s="2" t="s">
        <v>597</v>
      </c>
      <c r="W201" s="2">
        <v>10</v>
      </c>
      <c r="X201" s="4">
        <v>0</v>
      </c>
      <c r="Y201" s="3">
        <v>60.14</v>
      </c>
    </row>
    <row r="202" spans="1:25" x14ac:dyDescent="0.3">
      <c r="A202" s="2" t="s">
        <v>590</v>
      </c>
      <c r="B202" s="2" t="s">
        <v>591</v>
      </c>
      <c r="C202" s="2" t="s">
        <v>545</v>
      </c>
      <c r="D202" s="8">
        <v>31487</v>
      </c>
      <c r="E202" s="3">
        <v>1485.08</v>
      </c>
      <c r="F202" s="2">
        <v>2024</v>
      </c>
      <c r="G202" s="2" t="s">
        <v>87</v>
      </c>
      <c r="H202" s="2" t="s">
        <v>29</v>
      </c>
      <c r="I202" s="2" t="s">
        <v>49</v>
      </c>
      <c r="J202" s="2" t="s">
        <v>31</v>
      </c>
      <c r="K202" s="2" t="s">
        <v>32</v>
      </c>
      <c r="L202" s="2" t="s">
        <v>144</v>
      </c>
      <c r="M202" s="8">
        <v>45605</v>
      </c>
      <c r="N202" s="2" t="s">
        <v>598</v>
      </c>
      <c r="O202" s="8">
        <v>45601</v>
      </c>
      <c r="P202" s="8">
        <v>45606</v>
      </c>
      <c r="Q202" s="2" t="s">
        <v>121</v>
      </c>
      <c r="R202" s="2" t="s">
        <v>236</v>
      </c>
      <c r="S202" s="2">
        <v>390946</v>
      </c>
      <c r="T202" s="2" t="s">
        <v>51</v>
      </c>
      <c r="U202" s="2" t="s">
        <v>52</v>
      </c>
      <c r="V202" s="2" t="s">
        <v>599</v>
      </c>
      <c r="W202" s="2">
        <v>7</v>
      </c>
      <c r="X202" s="4">
        <v>0.05</v>
      </c>
      <c r="Y202" s="3">
        <v>110.98</v>
      </c>
    </row>
    <row r="203" spans="1:25" x14ac:dyDescent="0.3">
      <c r="A203" s="2" t="s">
        <v>590</v>
      </c>
      <c r="B203" s="2" t="s">
        <v>591</v>
      </c>
      <c r="C203" s="2" t="s">
        <v>545</v>
      </c>
      <c r="D203" s="8">
        <v>31487</v>
      </c>
      <c r="E203" s="3">
        <v>3326.69</v>
      </c>
      <c r="F203" s="2">
        <v>2025</v>
      </c>
      <c r="G203" s="2" t="s">
        <v>87</v>
      </c>
      <c r="H203" s="2" t="s">
        <v>29</v>
      </c>
      <c r="I203" s="2" t="s">
        <v>78</v>
      </c>
      <c r="J203" s="2" t="s">
        <v>31</v>
      </c>
      <c r="K203" s="2" t="s">
        <v>32</v>
      </c>
      <c r="L203" s="2" t="s">
        <v>144</v>
      </c>
      <c r="M203" s="8">
        <v>45797</v>
      </c>
      <c r="N203" s="2" t="s">
        <v>600</v>
      </c>
      <c r="O203" s="8">
        <v>45794</v>
      </c>
      <c r="P203" s="8">
        <v>45797</v>
      </c>
      <c r="Q203" s="2" t="s">
        <v>35</v>
      </c>
      <c r="R203" s="2" t="s">
        <v>236</v>
      </c>
      <c r="S203" s="2">
        <v>425236</v>
      </c>
      <c r="T203" s="2" t="s">
        <v>117</v>
      </c>
      <c r="U203" s="2" t="s">
        <v>118</v>
      </c>
      <c r="V203" s="2" t="s">
        <v>601</v>
      </c>
      <c r="W203" s="2">
        <v>9</v>
      </c>
      <c r="X203" s="4">
        <v>0.2</v>
      </c>
      <c r="Y203" s="3">
        <v>321.39999999999998</v>
      </c>
    </row>
    <row r="204" spans="1:25" x14ac:dyDescent="0.3">
      <c r="A204" s="2" t="s">
        <v>590</v>
      </c>
      <c r="B204" s="2" t="s">
        <v>591</v>
      </c>
      <c r="C204" s="2" t="s">
        <v>545</v>
      </c>
      <c r="D204" s="8">
        <v>31487</v>
      </c>
      <c r="E204" s="3">
        <v>191.16</v>
      </c>
      <c r="F204" s="2">
        <v>2025</v>
      </c>
      <c r="G204" s="2" t="s">
        <v>87</v>
      </c>
      <c r="H204" s="2" t="s">
        <v>29</v>
      </c>
      <c r="I204" s="2" t="s">
        <v>49</v>
      </c>
      <c r="J204" s="2" t="s">
        <v>31</v>
      </c>
      <c r="K204" s="2" t="s">
        <v>32</v>
      </c>
      <c r="L204" s="2" t="s">
        <v>144</v>
      </c>
      <c r="M204" s="8">
        <v>45796</v>
      </c>
      <c r="N204" s="2" t="s">
        <v>602</v>
      </c>
      <c r="O204" s="8">
        <v>45795</v>
      </c>
      <c r="P204" s="8">
        <v>45796</v>
      </c>
      <c r="Q204" s="2" t="s">
        <v>35</v>
      </c>
      <c r="R204" s="2" t="s">
        <v>236</v>
      </c>
      <c r="S204" s="2">
        <v>424314</v>
      </c>
      <c r="T204" s="2" t="s">
        <v>84</v>
      </c>
      <c r="U204" s="2" t="s">
        <v>85</v>
      </c>
      <c r="V204" s="2" t="s">
        <v>603</v>
      </c>
      <c r="W204" s="2">
        <v>4</v>
      </c>
      <c r="X204" s="4">
        <v>0</v>
      </c>
      <c r="Y204" s="3">
        <v>62.58</v>
      </c>
    </row>
    <row r="205" spans="1:25" x14ac:dyDescent="0.3">
      <c r="A205" s="2" t="s">
        <v>590</v>
      </c>
      <c r="B205" s="2" t="s">
        <v>591</v>
      </c>
      <c r="C205" s="2" t="s">
        <v>545</v>
      </c>
      <c r="D205" s="8">
        <v>31487</v>
      </c>
      <c r="E205" s="3">
        <v>197.19</v>
      </c>
      <c r="F205" s="2">
        <v>2025</v>
      </c>
      <c r="G205" s="2" t="s">
        <v>28</v>
      </c>
      <c r="H205" s="2" t="s">
        <v>29</v>
      </c>
      <c r="I205" s="2" t="s">
        <v>49</v>
      </c>
      <c r="J205" s="2" t="s">
        <v>31</v>
      </c>
      <c r="K205" s="2" t="s">
        <v>32</v>
      </c>
      <c r="L205" s="2" t="s">
        <v>144</v>
      </c>
      <c r="M205" s="8">
        <v>45823</v>
      </c>
      <c r="N205" s="2" t="s">
        <v>604</v>
      </c>
      <c r="O205" s="8">
        <v>45823</v>
      </c>
      <c r="P205" s="8">
        <v>45824</v>
      </c>
      <c r="Q205" s="2" t="s">
        <v>74</v>
      </c>
      <c r="R205" s="2" t="s">
        <v>236</v>
      </c>
      <c r="S205" s="2">
        <v>648410</v>
      </c>
      <c r="T205" s="2" t="s">
        <v>51</v>
      </c>
      <c r="U205" s="2" t="s">
        <v>52</v>
      </c>
      <c r="V205" s="2" t="s">
        <v>605</v>
      </c>
      <c r="W205" s="2">
        <v>3</v>
      </c>
      <c r="X205" s="4">
        <v>0.15</v>
      </c>
      <c r="Y205" s="3">
        <v>17.98</v>
      </c>
    </row>
    <row r="206" spans="1:25" x14ac:dyDescent="0.3">
      <c r="A206" s="2" t="s">
        <v>606</v>
      </c>
      <c r="B206" s="2" t="s">
        <v>607</v>
      </c>
      <c r="C206" s="2" t="s">
        <v>27</v>
      </c>
      <c r="D206" s="8">
        <v>25331</v>
      </c>
      <c r="E206" s="3">
        <v>1859.05</v>
      </c>
      <c r="F206" s="2">
        <v>2023</v>
      </c>
      <c r="G206" s="2" t="s">
        <v>28</v>
      </c>
      <c r="H206" s="2" t="s">
        <v>29</v>
      </c>
      <c r="I206" s="2" t="s">
        <v>43</v>
      </c>
      <c r="J206" s="2" t="s">
        <v>143</v>
      </c>
      <c r="K206" s="2" t="s">
        <v>32</v>
      </c>
      <c r="L206" s="2" t="s">
        <v>144</v>
      </c>
      <c r="M206" s="8">
        <v>45098</v>
      </c>
      <c r="N206" s="2" t="s">
        <v>608</v>
      </c>
      <c r="O206" s="8">
        <v>45097</v>
      </c>
      <c r="P206" s="8">
        <v>45098</v>
      </c>
      <c r="Q206" s="2" t="s">
        <v>74</v>
      </c>
      <c r="R206" s="2" t="s">
        <v>146</v>
      </c>
      <c r="S206" s="2">
        <v>649300</v>
      </c>
      <c r="T206" s="2" t="s">
        <v>45</v>
      </c>
      <c r="U206" s="2" t="s">
        <v>46</v>
      </c>
      <c r="V206" s="2" t="s">
        <v>609</v>
      </c>
      <c r="W206" s="2">
        <v>5</v>
      </c>
      <c r="X206" s="4">
        <v>0</v>
      </c>
      <c r="Y206" s="3">
        <v>523.19000000000005</v>
      </c>
    </row>
    <row r="207" spans="1:25" x14ac:dyDescent="0.3">
      <c r="A207" s="2" t="s">
        <v>606</v>
      </c>
      <c r="B207" s="2" t="s">
        <v>607</v>
      </c>
      <c r="C207" s="2" t="s">
        <v>27</v>
      </c>
      <c r="D207" s="8">
        <v>25331</v>
      </c>
      <c r="E207" s="3">
        <v>3051.59</v>
      </c>
      <c r="F207" s="2">
        <v>2023</v>
      </c>
      <c r="G207" s="2" t="s">
        <v>28</v>
      </c>
      <c r="H207" s="2" t="s">
        <v>29</v>
      </c>
      <c r="I207" s="2" t="s">
        <v>78</v>
      </c>
      <c r="J207" s="2" t="s">
        <v>143</v>
      </c>
      <c r="K207" s="2" t="s">
        <v>32</v>
      </c>
      <c r="L207" s="2" t="s">
        <v>144</v>
      </c>
      <c r="M207" s="8">
        <v>45192</v>
      </c>
      <c r="N207" s="2" t="s">
        <v>610</v>
      </c>
      <c r="O207" s="8">
        <v>45192</v>
      </c>
      <c r="P207" s="8">
        <v>45195</v>
      </c>
      <c r="Q207" s="2" t="s">
        <v>121</v>
      </c>
      <c r="R207" s="2" t="s">
        <v>146</v>
      </c>
      <c r="S207" s="2">
        <v>485548</v>
      </c>
      <c r="T207" s="2" t="s">
        <v>117</v>
      </c>
      <c r="U207" s="2" t="s">
        <v>118</v>
      </c>
      <c r="V207" s="2" t="s">
        <v>611</v>
      </c>
      <c r="W207" s="2">
        <v>10</v>
      </c>
      <c r="X207" s="4">
        <v>0.05</v>
      </c>
      <c r="Y207" s="3">
        <v>569.29999999999995</v>
      </c>
    </row>
    <row r="208" spans="1:25" x14ac:dyDescent="0.3">
      <c r="A208" s="2" t="s">
        <v>606</v>
      </c>
      <c r="B208" s="2" t="s">
        <v>607</v>
      </c>
      <c r="C208" s="2" t="s">
        <v>27</v>
      </c>
      <c r="D208" s="8">
        <v>25331</v>
      </c>
      <c r="E208" s="3">
        <v>763.73</v>
      </c>
      <c r="F208" s="2">
        <v>2025</v>
      </c>
      <c r="G208" s="2" t="s">
        <v>87</v>
      </c>
      <c r="H208" s="2" t="s">
        <v>29</v>
      </c>
      <c r="I208" s="2" t="s">
        <v>61</v>
      </c>
      <c r="J208" s="2" t="s">
        <v>143</v>
      </c>
      <c r="K208" s="2" t="s">
        <v>32</v>
      </c>
      <c r="L208" s="2" t="s">
        <v>144</v>
      </c>
      <c r="M208" s="8">
        <v>45667</v>
      </c>
      <c r="N208" s="2" t="s">
        <v>612</v>
      </c>
      <c r="O208" s="8">
        <v>45665</v>
      </c>
      <c r="P208" s="8">
        <v>45667</v>
      </c>
      <c r="Q208" s="2" t="s">
        <v>35</v>
      </c>
      <c r="R208" s="2" t="s">
        <v>146</v>
      </c>
      <c r="S208" s="2">
        <v>146177</v>
      </c>
      <c r="T208" s="2" t="s">
        <v>204</v>
      </c>
      <c r="U208" s="2" t="s">
        <v>205</v>
      </c>
      <c r="V208" s="2" t="s">
        <v>613</v>
      </c>
      <c r="W208" s="2">
        <v>2</v>
      </c>
      <c r="X208" s="4">
        <v>0.15</v>
      </c>
      <c r="Y208" s="3">
        <v>203.79</v>
      </c>
    </row>
    <row r="209" spans="1:25" x14ac:dyDescent="0.3">
      <c r="A209" s="2" t="s">
        <v>606</v>
      </c>
      <c r="B209" s="2" t="s">
        <v>607</v>
      </c>
      <c r="C209" s="2" t="s">
        <v>27</v>
      </c>
      <c r="D209" s="8">
        <v>25331</v>
      </c>
      <c r="E209" s="3">
        <v>1557.68</v>
      </c>
      <c r="F209" s="2">
        <v>2025</v>
      </c>
      <c r="G209" s="2" t="s">
        <v>48</v>
      </c>
      <c r="H209" s="2" t="s">
        <v>29</v>
      </c>
      <c r="I209" s="2" t="s">
        <v>78</v>
      </c>
      <c r="J209" s="2" t="s">
        <v>143</v>
      </c>
      <c r="K209" s="2" t="s">
        <v>32</v>
      </c>
      <c r="L209" s="2" t="s">
        <v>144</v>
      </c>
      <c r="M209" s="8">
        <v>45770</v>
      </c>
      <c r="N209" s="2" t="s">
        <v>614</v>
      </c>
      <c r="O209" s="8">
        <v>45769</v>
      </c>
      <c r="P209" s="8">
        <v>45770</v>
      </c>
      <c r="Q209" s="2" t="s">
        <v>74</v>
      </c>
      <c r="R209" s="2" t="s">
        <v>146</v>
      </c>
      <c r="S209" s="2">
        <v>360322</v>
      </c>
      <c r="T209" s="2" t="s">
        <v>89</v>
      </c>
      <c r="U209" s="2" t="s">
        <v>90</v>
      </c>
      <c r="V209" s="2" t="s">
        <v>615</v>
      </c>
      <c r="W209" s="2">
        <v>8</v>
      </c>
      <c r="X209" s="4">
        <v>0</v>
      </c>
      <c r="Y209" s="3">
        <v>161.51</v>
      </c>
    </row>
    <row r="210" spans="1:25" x14ac:dyDescent="0.3">
      <c r="A210" s="2" t="s">
        <v>616</v>
      </c>
      <c r="B210" s="2" t="s">
        <v>617</v>
      </c>
      <c r="C210" s="2" t="s">
        <v>618</v>
      </c>
      <c r="D210" s="8">
        <v>35688</v>
      </c>
      <c r="E210" s="3">
        <v>3088.8</v>
      </c>
      <c r="F210" s="2">
        <v>2023</v>
      </c>
      <c r="G210" s="2" t="s">
        <v>28</v>
      </c>
      <c r="H210" s="2" t="s">
        <v>163</v>
      </c>
      <c r="I210" s="2" t="s">
        <v>78</v>
      </c>
      <c r="J210" s="2" t="s">
        <v>102</v>
      </c>
      <c r="K210" s="2" t="s">
        <v>32</v>
      </c>
      <c r="L210" s="2" t="s">
        <v>33</v>
      </c>
      <c r="M210" s="8">
        <v>45204</v>
      </c>
      <c r="N210" s="2" t="s">
        <v>619</v>
      </c>
      <c r="O210" s="8">
        <v>45204</v>
      </c>
      <c r="P210" s="8">
        <v>45209</v>
      </c>
      <c r="Q210" s="2" t="s">
        <v>35</v>
      </c>
      <c r="R210" s="2" t="s">
        <v>197</v>
      </c>
      <c r="S210" s="2">
        <v>587686</v>
      </c>
      <c r="T210" s="2" t="s">
        <v>117</v>
      </c>
      <c r="U210" s="2" t="s">
        <v>118</v>
      </c>
      <c r="V210" s="2" t="s">
        <v>620</v>
      </c>
      <c r="W210" s="2">
        <v>9</v>
      </c>
      <c r="X210" s="4">
        <v>0</v>
      </c>
      <c r="Y210" s="3">
        <v>320.63</v>
      </c>
    </row>
    <row r="211" spans="1:25" x14ac:dyDescent="0.3">
      <c r="A211" s="2" t="s">
        <v>616</v>
      </c>
      <c r="B211" s="2" t="s">
        <v>617</v>
      </c>
      <c r="C211" s="2" t="s">
        <v>618</v>
      </c>
      <c r="D211" s="8">
        <v>35688</v>
      </c>
      <c r="E211" s="3">
        <v>570.96</v>
      </c>
      <c r="F211" s="2">
        <v>2023</v>
      </c>
      <c r="G211" s="2" t="s">
        <v>87</v>
      </c>
      <c r="H211" s="2" t="s">
        <v>163</v>
      </c>
      <c r="I211" s="2" t="s">
        <v>43</v>
      </c>
      <c r="J211" s="2" t="s">
        <v>102</v>
      </c>
      <c r="K211" s="2" t="s">
        <v>32</v>
      </c>
      <c r="L211" s="2" t="s">
        <v>33</v>
      </c>
      <c r="M211" s="8">
        <v>45256</v>
      </c>
      <c r="N211" s="2" t="s">
        <v>621</v>
      </c>
      <c r="O211" s="8">
        <v>45254</v>
      </c>
      <c r="P211" s="8">
        <v>45257</v>
      </c>
      <c r="Q211" s="2" t="s">
        <v>121</v>
      </c>
      <c r="R211" s="2" t="s">
        <v>197</v>
      </c>
      <c r="S211" s="2">
        <v>586462</v>
      </c>
      <c r="T211" s="2" t="s">
        <v>153</v>
      </c>
      <c r="U211" s="2" t="s">
        <v>154</v>
      </c>
      <c r="V211" s="2" t="s">
        <v>622</v>
      </c>
      <c r="W211" s="2">
        <v>2</v>
      </c>
      <c r="X211" s="4">
        <v>0</v>
      </c>
      <c r="Y211" s="3">
        <v>91.74</v>
      </c>
    </row>
    <row r="212" spans="1:25" x14ac:dyDescent="0.3">
      <c r="A212" s="2" t="s">
        <v>616</v>
      </c>
      <c r="B212" s="2" t="s">
        <v>617</v>
      </c>
      <c r="C212" s="2" t="s">
        <v>618</v>
      </c>
      <c r="D212" s="8">
        <v>35688</v>
      </c>
      <c r="E212" s="3">
        <v>1337.69</v>
      </c>
      <c r="F212" s="2">
        <v>2025</v>
      </c>
      <c r="G212" s="2" t="s">
        <v>48</v>
      </c>
      <c r="H212" s="2" t="s">
        <v>163</v>
      </c>
      <c r="I212" s="2" t="s">
        <v>43</v>
      </c>
      <c r="J212" s="2" t="s">
        <v>102</v>
      </c>
      <c r="K212" s="2" t="s">
        <v>32</v>
      </c>
      <c r="L212" s="2" t="s">
        <v>33</v>
      </c>
      <c r="M212" s="8">
        <v>45664</v>
      </c>
      <c r="N212" s="2" t="s">
        <v>623</v>
      </c>
      <c r="O212" s="8">
        <v>45664</v>
      </c>
      <c r="P212" s="8">
        <v>45666</v>
      </c>
      <c r="Q212" s="2" t="s">
        <v>41</v>
      </c>
      <c r="R212" s="2" t="s">
        <v>197</v>
      </c>
      <c r="S212" s="2">
        <v>125071</v>
      </c>
      <c r="T212" s="2" t="s">
        <v>70</v>
      </c>
      <c r="U212" s="2" t="s">
        <v>71</v>
      </c>
      <c r="V212" s="2" t="s">
        <v>624</v>
      </c>
      <c r="W212" s="2">
        <v>4</v>
      </c>
      <c r="X212" s="4">
        <v>0.1</v>
      </c>
      <c r="Y212" s="3">
        <v>372.07</v>
      </c>
    </row>
    <row r="213" spans="1:25" x14ac:dyDescent="0.3">
      <c r="A213" s="2" t="s">
        <v>625</v>
      </c>
      <c r="B213" s="2" t="s">
        <v>626</v>
      </c>
      <c r="C213" s="2" t="s">
        <v>60</v>
      </c>
      <c r="D213" s="8">
        <v>29302</v>
      </c>
      <c r="E213" s="3">
        <v>365.08</v>
      </c>
      <c r="F213" s="2">
        <v>2023</v>
      </c>
      <c r="G213" s="2" t="s">
        <v>48</v>
      </c>
      <c r="H213" s="2" t="s">
        <v>29</v>
      </c>
      <c r="I213" s="2" t="s">
        <v>49</v>
      </c>
      <c r="J213" s="2" t="s">
        <v>102</v>
      </c>
      <c r="K213" s="2" t="s">
        <v>32</v>
      </c>
      <c r="L213" s="2" t="s">
        <v>33</v>
      </c>
      <c r="M213" s="8">
        <v>45281</v>
      </c>
      <c r="N213" s="2" t="s">
        <v>627</v>
      </c>
      <c r="O213" s="8">
        <v>45281</v>
      </c>
      <c r="P213" s="8">
        <v>45284</v>
      </c>
      <c r="Q213" s="2" t="s">
        <v>121</v>
      </c>
      <c r="R213" s="2" t="s">
        <v>186</v>
      </c>
      <c r="S213" s="2">
        <v>540208</v>
      </c>
      <c r="T213" s="2" t="s">
        <v>109</v>
      </c>
      <c r="U213" s="2" t="s">
        <v>110</v>
      </c>
      <c r="V213" s="2" t="s">
        <v>628</v>
      </c>
      <c r="W213" s="2">
        <v>1</v>
      </c>
      <c r="X213" s="4">
        <v>0.05</v>
      </c>
      <c r="Y213" s="3">
        <v>111.24</v>
      </c>
    </row>
    <row r="214" spans="1:25" x14ac:dyDescent="0.3">
      <c r="A214" s="2" t="s">
        <v>625</v>
      </c>
      <c r="B214" s="2" t="s">
        <v>626</v>
      </c>
      <c r="C214" s="2" t="s">
        <v>60</v>
      </c>
      <c r="D214" s="8">
        <v>29302</v>
      </c>
      <c r="E214" s="3">
        <v>323.25</v>
      </c>
      <c r="F214" s="2">
        <v>2024</v>
      </c>
      <c r="G214" s="2" t="s">
        <v>87</v>
      </c>
      <c r="H214" s="2" t="s">
        <v>29</v>
      </c>
      <c r="I214" s="2" t="s">
        <v>92</v>
      </c>
      <c r="J214" s="2" t="s">
        <v>102</v>
      </c>
      <c r="K214" s="2" t="s">
        <v>32</v>
      </c>
      <c r="L214" s="2" t="s">
        <v>33</v>
      </c>
      <c r="M214" s="8">
        <v>45581</v>
      </c>
      <c r="N214" s="2" t="s">
        <v>629</v>
      </c>
      <c r="O214" s="8">
        <v>45578</v>
      </c>
      <c r="P214" s="8">
        <v>45583</v>
      </c>
      <c r="Q214" s="2" t="s">
        <v>74</v>
      </c>
      <c r="R214" s="2" t="s">
        <v>186</v>
      </c>
      <c r="S214" s="2">
        <v>580728</v>
      </c>
      <c r="T214" s="2" t="s">
        <v>187</v>
      </c>
      <c r="U214" s="2" t="s">
        <v>188</v>
      </c>
      <c r="V214" s="2" t="s">
        <v>630</v>
      </c>
      <c r="W214" s="2">
        <v>5</v>
      </c>
      <c r="X214" s="4">
        <v>0</v>
      </c>
      <c r="Y214" s="3">
        <v>103.18</v>
      </c>
    </row>
    <row r="215" spans="1:25" x14ac:dyDescent="0.3">
      <c r="A215" s="2" t="s">
        <v>631</v>
      </c>
      <c r="B215" s="2" t="s">
        <v>607</v>
      </c>
      <c r="C215" s="2" t="s">
        <v>632</v>
      </c>
      <c r="D215" s="8">
        <v>31093</v>
      </c>
      <c r="E215" s="3">
        <v>400.95</v>
      </c>
      <c r="F215" s="2">
        <v>2023</v>
      </c>
      <c r="G215" s="2" t="s">
        <v>28</v>
      </c>
      <c r="H215" s="2" t="s">
        <v>29</v>
      </c>
      <c r="I215" s="2" t="s">
        <v>78</v>
      </c>
      <c r="J215" s="2" t="s">
        <v>102</v>
      </c>
      <c r="K215" s="2" t="s">
        <v>32</v>
      </c>
      <c r="L215" s="2" t="s">
        <v>33</v>
      </c>
      <c r="M215" s="8">
        <v>45015</v>
      </c>
      <c r="N215" s="2" t="s">
        <v>633</v>
      </c>
      <c r="O215" s="8">
        <v>45013</v>
      </c>
      <c r="P215" s="8">
        <v>45017</v>
      </c>
      <c r="Q215" s="2" t="s">
        <v>41</v>
      </c>
      <c r="R215" s="2" t="s">
        <v>178</v>
      </c>
      <c r="S215" s="2">
        <v>385166</v>
      </c>
      <c r="T215" s="2" t="s">
        <v>135</v>
      </c>
      <c r="U215" s="2" t="s">
        <v>136</v>
      </c>
      <c r="V215" s="2" t="s">
        <v>634</v>
      </c>
      <c r="W215" s="2">
        <v>3</v>
      </c>
      <c r="X215" s="4">
        <v>0</v>
      </c>
      <c r="Y215" s="3">
        <v>122.4</v>
      </c>
    </row>
    <row r="216" spans="1:25" x14ac:dyDescent="0.3">
      <c r="A216" s="2" t="s">
        <v>631</v>
      </c>
      <c r="B216" s="2" t="s">
        <v>607</v>
      </c>
      <c r="C216" s="2" t="s">
        <v>632</v>
      </c>
      <c r="D216" s="8">
        <v>31093</v>
      </c>
      <c r="E216" s="3">
        <v>1064.8</v>
      </c>
      <c r="F216" s="2">
        <v>2023</v>
      </c>
      <c r="G216" s="2" t="s">
        <v>28</v>
      </c>
      <c r="H216" s="2" t="s">
        <v>29</v>
      </c>
      <c r="I216" s="2" t="s">
        <v>61</v>
      </c>
      <c r="J216" s="2" t="s">
        <v>102</v>
      </c>
      <c r="K216" s="2" t="s">
        <v>32</v>
      </c>
      <c r="L216" s="2" t="s">
        <v>33</v>
      </c>
      <c r="M216" s="8">
        <v>45024</v>
      </c>
      <c r="N216" s="2" t="s">
        <v>635</v>
      </c>
      <c r="O216" s="8">
        <v>45024</v>
      </c>
      <c r="P216" s="8">
        <v>45025</v>
      </c>
      <c r="Q216" s="2" t="s">
        <v>41</v>
      </c>
      <c r="R216" s="2" t="s">
        <v>178</v>
      </c>
      <c r="S216" s="2">
        <v>429287</v>
      </c>
      <c r="T216" s="2" t="s">
        <v>312</v>
      </c>
      <c r="U216" s="2" t="s">
        <v>313</v>
      </c>
      <c r="V216" s="2" t="s">
        <v>636</v>
      </c>
      <c r="W216" s="2">
        <v>3</v>
      </c>
      <c r="X216" s="4">
        <v>0.1</v>
      </c>
      <c r="Y216" s="3">
        <v>88.05</v>
      </c>
    </row>
    <row r="217" spans="1:25" x14ac:dyDescent="0.3">
      <c r="A217" s="2" t="s">
        <v>631</v>
      </c>
      <c r="B217" s="2" t="s">
        <v>607</v>
      </c>
      <c r="C217" s="2" t="s">
        <v>632</v>
      </c>
      <c r="D217" s="8">
        <v>31093</v>
      </c>
      <c r="E217" s="3">
        <v>2898.12</v>
      </c>
      <c r="F217" s="2">
        <v>2023</v>
      </c>
      <c r="G217" s="2" t="s">
        <v>48</v>
      </c>
      <c r="H217" s="2" t="s">
        <v>29</v>
      </c>
      <c r="I217" s="2" t="s">
        <v>92</v>
      </c>
      <c r="J217" s="2" t="s">
        <v>102</v>
      </c>
      <c r="K217" s="2" t="s">
        <v>32</v>
      </c>
      <c r="L217" s="2" t="s">
        <v>33</v>
      </c>
      <c r="M217" s="8">
        <v>45065</v>
      </c>
      <c r="N217" s="2" t="s">
        <v>637</v>
      </c>
      <c r="O217" s="8">
        <v>45063</v>
      </c>
      <c r="P217" s="8">
        <v>45067</v>
      </c>
      <c r="Q217" s="2" t="s">
        <v>35</v>
      </c>
      <c r="R217" s="2" t="s">
        <v>178</v>
      </c>
      <c r="S217" s="2">
        <v>265271</v>
      </c>
      <c r="T217" s="2" t="s">
        <v>187</v>
      </c>
      <c r="U217" s="2" t="s">
        <v>188</v>
      </c>
      <c r="V217" s="2" t="s">
        <v>638</v>
      </c>
      <c r="W217" s="2">
        <v>6</v>
      </c>
      <c r="X217" s="4">
        <v>0</v>
      </c>
      <c r="Y217" s="3">
        <v>537.82000000000005</v>
      </c>
    </row>
    <row r="218" spans="1:25" x14ac:dyDescent="0.3">
      <c r="A218" s="2" t="s">
        <v>631</v>
      </c>
      <c r="B218" s="2" t="s">
        <v>607</v>
      </c>
      <c r="C218" s="2" t="s">
        <v>632</v>
      </c>
      <c r="D218" s="8">
        <v>31093</v>
      </c>
      <c r="E218" s="3">
        <v>314.88</v>
      </c>
      <c r="F218" s="2">
        <v>2024</v>
      </c>
      <c r="G218" s="2" t="s">
        <v>87</v>
      </c>
      <c r="H218" s="2" t="s">
        <v>29</v>
      </c>
      <c r="I218" s="2" t="s">
        <v>49</v>
      </c>
      <c r="J218" s="2" t="s">
        <v>102</v>
      </c>
      <c r="K218" s="2" t="s">
        <v>32</v>
      </c>
      <c r="L218" s="2" t="s">
        <v>33</v>
      </c>
      <c r="M218" s="8">
        <v>45330</v>
      </c>
      <c r="N218" s="2" t="s">
        <v>639</v>
      </c>
      <c r="O218" s="8">
        <v>45330</v>
      </c>
      <c r="P218" s="8">
        <v>45332</v>
      </c>
      <c r="Q218" s="2" t="s">
        <v>121</v>
      </c>
      <c r="R218" s="2" t="s">
        <v>178</v>
      </c>
      <c r="S218" s="2">
        <v>473023</v>
      </c>
      <c r="T218" s="2" t="s">
        <v>84</v>
      </c>
      <c r="U218" s="2" t="s">
        <v>85</v>
      </c>
      <c r="V218" s="2" t="s">
        <v>640</v>
      </c>
      <c r="W218" s="2">
        <v>10</v>
      </c>
      <c r="X218" s="4">
        <v>0.2</v>
      </c>
      <c r="Y218" s="3">
        <v>96.66</v>
      </c>
    </row>
    <row r="219" spans="1:25" x14ac:dyDescent="0.3">
      <c r="A219" s="2" t="s">
        <v>631</v>
      </c>
      <c r="B219" s="2" t="s">
        <v>607</v>
      </c>
      <c r="C219" s="2" t="s">
        <v>632</v>
      </c>
      <c r="D219" s="8">
        <v>31093</v>
      </c>
      <c r="E219" s="3">
        <v>724.4</v>
      </c>
      <c r="F219" s="2">
        <v>2024</v>
      </c>
      <c r="G219" s="2" t="s">
        <v>87</v>
      </c>
      <c r="H219" s="2" t="s">
        <v>29</v>
      </c>
      <c r="I219" s="2" t="s">
        <v>92</v>
      </c>
      <c r="J219" s="2" t="s">
        <v>102</v>
      </c>
      <c r="K219" s="2" t="s">
        <v>32</v>
      </c>
      <c r="L219" s="2" t="s">
        <v>33</v>
      </c>
      <c r="M219" s="8">
        <v>45447</v>
      </c>
      <c r="N219" s="2" t="s">
        <v>641</v>
      </c>
      <c r="O219" s="8">
        <v>45444</v>
      </c>
      <c r="P219" s="8">
        <v>45448</v>
      </c>
      <c r="Q219" s="2" t="s">
        <v>121</v>
      </c>
      <c r="R219" s="2" t="s">
        <v>178</v>
      </c>
      <c r="S219" s="2">
        <v>199326</v>
      </c>
      <c r="T219" s="2" t="s">
        <v>187</v>
      </c>
      <c r="U219" s="2" t="s">
        <v>188</v>
      </c>
      <c r="V219" s="2" t="s">
        <v>642</v>
      </c>
      <c r="W219" s="2">
        <v>5</v>
      </c>
      <c r="X219" s="4">
        <v>0</v>
      </c>
      <c r="Y219" s="3">
        <v>42.97</v>
      </c>
    </row>
    <row r="220" spans="1:25" x14ac:dyDescent="0.3">
      <c r="A220" s="2" t="s">
        <v>631</v>
      </c>
      <c r="B220" s="2" t="s">
        <v>607</v>
      </c>
      <c r="C220" s="2" t="s">
        <v>632</v>
      </c>
      <c r="D220" s="8">
        <v>31093</v>
      </c>
      <c r="E220" s="3">
        <v>234.9</v>
      </c>
      <c r="F220" s="2">
        <v>2024</v>
      </c>
      <c r="G220" s="2" t="s">
        <v>48</v>
      </c>
      <c r="H220" s="2" t="s">
        <v>29</v>
      </c>
      <c r="I220" s="2" t="s">
        <v>92</v>
      </c>
      <c r="J220" s="2" t="s">
        <v>102</v>
      </c>
      <c r="K220" s="2" t="s">
        <v>32</v>
      </c>
      <c r="L220" s="2" t="s">
        <v>33</v>
      </c>
      <c r="M220" s="8">
        <v>45521</v>
      </c>
      <c r="N220" s="2" t="s">
        <v>643</v>
      </c>
      <c r="O220" s="8">
        <v>45521</v>
      </c>
      <c r="P220" s="8">
        <v>45523</v>
      </c>
      <c r="Q220" s="2" t="s">
        <v>41</v>
      </c>
      <c r="R220" s="2" t="s">
        <v>178</v>
      </c>
      <c r="S220" s="2">
        <v>490321</v>
      </c>
      <c r="T220" s="2" t="s">
        <v>187</v>
      </c>
      <c r="U220" s="2" t="s">
        <v>188</v>
      </c>
      <c r="V220" s="2" t="s">
        <v>644</v>
      </c>
      <c r="W220" s="2">
        <v>3</v>
      </c>
      <c r="X220" s="4">
        <v>0</v>
      </c>
      <c r="Y220" s="3">
        <v>70.260000000000005</v>
      </c>
    </row>
    <row r="221" spans="1:25" x14ac:dyDescent="0.3">
      <c r="A221" s="2" t="s">
        <v>631</v>
      </c>
      <c r="B221" s="2" t="s">
        <v>607</v>
      </c>
      <c r="C221" s="2" t="s">
        <v>632</v>
      </c>
      <c r="D221" s="8">
        <v>31093</v>
      </c>
      <c r="E221" s="3">
        <v>599.04</v>
      </c>
      <c r="F221" s="2">
        <v>2024</v>
      </c>
      <c r="G221" s="2" t="s">
        <v>48</v>
      </c>
      <c r="H221" s="2" t="s">
        <v>29</v>
      </c>
      <c r="I221" s="2" t="s">
        <v>49</v>
      </c>
      <c r="J221" s="2" t="s">
        <v>102</v>
      </c>
      <c r="K221" s="2" t="s">
        <v>32</v>
      </c>
      <c r="L221" s="2" t="s">
        <v>33</v>
      </c>
      <c r="M221" s="8">
        <v>45579</v>
      </c>
      <c r="N221" s="2" t="s">
        <v>645</v>
      </c>
      <c r="O221" s="8">
        <v>45579</v>
      </c>
      <c r="P221" s="8">
        <v>45580</v>
      </c>
      <c r="Q221" s="2" t="s">
        <v>121</v>
      </c>
      <c r="R221" s="2" t="s">
        <v>178</v>
      </c>
      <c r="S221" s="2">
        <v>777366</v>
      </c>
      <c r="T221" s="2" t="s">
        <v>51</v>
      </c>
      <c r="U221" s="2" t="s">
        <v>52</v>
      </c>
      <c r="V221" s="2" t="s">
        <v>646</v>
      </c>
      <c r="W221" s="2">
        <v>2</v>
      </c>
      <c r="X221" s="4">
        <v>0</v>
      </c>
      <c r="Y221" s="3">
        <v>194.82</v>
      </c>
    </row>
    <row r="222" spans="1:25" x14ac:dyDescent="0.3">
      <c r="A222" s="2" t="s">
        <v>631</v>
      </c>
      <c r="B222" s="2" t="s">
        <v>607</v>
      </c>
      <c r="C222" s="2" t="s">
        <v>632</v>
      </c>
      <c r="D222" s="8">
        <v>31093</v>
      </c>
      <c r="E222" s="3">
        <v>449.22</v>
      </c>
      <c r="F222" s="2">
        <v>2025</v>
      </c>
      <c r="G222" s="2" t="s">
        <v>87</v>
      </c>
      <c r="H222" s="2" t="s">
        <v>29</v>
      </c>
      <c r="I222" s="2" t="s">
        <v>92</v>
      </c>
      <c r="J222" s="2" t="s">
        <v>102</v>
      </c>
      <c r="K222" s="2" t="s">
        <v>32</v>
      </c>
      <c r="L222" s="2" t="s">
        <v>33</v>
      </c>
      <c r="M222" s="8">
        <v>45769</v>
      </c>
      <c r="N222" s="2" t="s">
        <v>647</v>
      </c>
      <c r="O222" s="8">
        <v>45766</v>
      </c>
      <c r="P222" s="8">
        <v>45771</v>
      </c>
      <c r="Q222" s="2" t="s">
        <v>41</v>
      </c>
      <c r="R222" s="2" t="s">
        <v>178</v>
      </c>
      <c r="S222" s="2">
        <v>620226</v>
      </c>
      <c r="T222" s="2" t="s">
        <v>147</v>
      </c>
      <c r="U222" s="2" t="s">
        <v>148</v>
      </c>
      <c r="V222" s="2" t="s">
        <v>648</v>
      </c>
      <c r="W222" s="2">
        <v>6</v>
      </c>
      <c r="X222" s="4">
        <v>0.05</v>
      </c>
      <c r="Y222" s="3">
        <v>29.29</v>
      </c>
    </row>
    <row r="223" spans="1:25" x14ac:dyDescent="0.3">
      <c r="A223" s="2" t="s">
        <v>649</v>
      </c>
      <c r="B223" s="2" t="s">
        <v>650</v>
      </c>
      <c r="C223" s="2" t="s">
        <v>618</v>
      </c>
      <c r="D223" s="8">
        <v>27835</v>
      </c>
      <c r="E223" s="3">
        <v>1823.96</v>
      </c>
      <c r="F223" s="2">
        <v>2024</v>
      </c>
      <c r="G223" s="2" t="s">
        <v>87</v>
      </c>
      <c r="H223" s="2" t="s">
        <v>29</v>
      </c>
      <c r="I223" s="2" t="s">
        <v>92</v>
      </c>
      <c r="J223" s="2" t="s">
        <v>102</v>
      </c>
      <c r="K223" s="2" t="s">
        <v>32</v>
      </c>
      <c r="L223" s="2" t="s">
        <v>63</v>
      </c>
      <c r="M223" s="8">
        <v>45626</v>
      </c>
      <c r="N223" s="2" t="s">
        <v>651</v>
      </c>
      <c r="O223" s="8">
        <v>45626</v>
      </c>
      <c r="P223" s="8">
        <v>45628</v>
      </c>
      <c r="Q223" s="2" t="s">
        <v>121</v>
      </c>
      <c r="R223" s="2" t="s">
        <v>104</v>
      </c>
      <c r="S223" s="2">
        <v>778720</v>
      </c>
      <c r="T223" s="2" t="s">
        <v>147</v>
      </c>
      <c r="U223" s="2" t="s">
        <v>148</v>
      </c>
      <c r="V223" s="2" t="s">
        <v>652</v>
      </c>
      <c r="W223" s="2">
        <v>4</v>
      </c>
      <c r="X223" s="4">
        <v>0</v>
      </c>
      <c r="Y223" s="3">
        <v>244.33</v>
      </c>
    </row>
    <row r="224" spans="1:25" x14ac:dyDescent="0.3">
      <c r="A224" s="2" t="s">
        <v>653</v>
      </c>
      <c r="B224" s="2" t="s">
        <v>183</v>
      </c>
      <c r="C224" s="2" t="s">
        <v>101</v>
      </c>
      <c r="D224" s="8">
        <v>34427</v>
      </c>
      <c r="E224" s="3">
        <v>968.29</v>
      </c>
      <c r="F224" s="2">
        <v>2024</v>
      </c>
      <c r="G224" s="2" t="s">
        <v>87</v>
      </c>
      <c r="H224" s="2" t="s">
        <v>29</v>
      </c>
      <c r="I224" s="2" t="s">
        <v>92</v>
      </c>
      <c r="J224" s="2" t="s">
        <v>62</v>
      </c>
      <c r="K224" s="2" t="s">
        <v>32</v>
      </c>
      <c r="L224" s="2" t="s">
        <v>33</v>
      </c>
      <c r="M224" s="8">
        <v>45349</v>
      </c>
      <c r="N224" s="2" t="s">
        <v>654</v>
      </c>
      <c r="O224" s="8">
        <v>45348</v>
      </c>
      <c r="P224" s="8">
        <v>45353</v>
      </c>
      <c r="Q224" s="2" t="s">
        <v>35</v>
      </c>
      <c r="R224" s="2" t="s">
        <v>65</v>
      </c>
      <c r="S224" s="2">
        <v>501078</v>
      </c>
      <c r="T224" s="2" t="s">
        <v>187</v>
      </c>
      <c r="U224" s="2" t="s">
        <v>188</v>
      </c>
      <c r="V224" s="2" t="s">
        <v>655</v>
      </c>
      <c r="W224" s="2">
        <v>5</v>
      </c>
      <c r="X224" s="4">
        <v>0.05</v>
      </c>
      <c r="Y224" s="3">
        <v>106.35</v>
      </c>
    </row>
    <row r="225" spans="1:25" x14ac:dyDescent="0.3">
      <c r="A225" s="2" t="s">
        <v>653</v>
      </c>
      <c r="B225" s="2" t="s">
        <v>183</v>
      </c>
      <c r="C225" s="2" t="s">
        <v>101</v>
      </c>
      <c r="D225" s="8">
        <v>34427</v>
      </c>
      <c r="E225" s="3">
        <v>3555.81</v>
      </c>
      <c r="F225" s="2">
        <v>2024</v>
      </c>
      <c r="G225" s="2" t="s">
        <v>28</v>
      </c>
      <c r="H225" s="2" t="s">
        <v>29</v>
      </c>
      <c r="I225" s="2" t="s">
        <v>49</v>
      </c>
      <c r="J225" s="2" t="s">
        <v>62</v>
      </c>
      <c r="K225" s="2" t="s">
        <v>32</v>
      </c>
      <c r="L225" s="2" t="s">
        <v>33</v>
      </c>
      <c r="M225" s="8">
        <v>45492</v>
      </c>
      <c r="N225" s="2" t="s">
        <v>656</v>
      </c>
      <c r="O225" s="8">
        <v>45490</v>
      </c>
      <c r="P225" s="8">
        <v>45495</v>
      </c>
      <c r="Q225" s="2" t="s">
        <v>74</v>
      </c>
      <c r="R225" s="2" t="s">
        <v>65</v>
      </c>
      <c r="S225" s="2">
        <v>288550</v>
      </c>
      <c r="T225" s="2" t="s">
        <v>84</v>
      </c>
      <c r="U225" s="2" t="s">
        <v>85</v>
      </c>
      <c r="V225" s="2" t="s">
        <v>657</v>
      </c>
      <c r="W225" s="2">
        <v>9</v>
      </c>
      <c r="X225" s="4">
        <v>0</v>
      </c>
      <c r="Y225" s="3">
        <v>1151.3800000000001</v>
      </c>
    </row>
    <row r="226" spans="1:25" x14ac:dyDescent="0.3">
      <c r="A226" s="2" t="s">
        <v>653</v>
      </c>
      <c r="B226" s="2" t="s">
        <v>183</v>
      </c>
      <c r="C226" s="2" t="s">
        <v>101</v>
      </c>
      <c r="D226" s="8">
        <v>34427</v>
      </c>
      <c r="E226" s="3">
        <v>109.02</v>
      </c>
      <c r="F226" s="2">
        <v>2025</v>
      </c>
      <c r="G226" s="2" t="s">
        <v>87</v>
      </c>
      <c r="H226" s="2" t="s">
        <v>29</v>
      </c>
      <c r="I226" s="2" t="s">
        <v>78</v>
      </c>
      <c r="J226" s="2" t="s">
        <v>62</v>
      </c>
      <c r="K226" s="2" t="s">
        <v>32</v>
      </c>
      <c r="L226" s="2" t="s">
        <v>33</v>
      </c>
      <c r="M226" s="8">
        <v>45831</v>
      </c>
      <c r="N226" s="2" t="s">
        <v>658</v>
      </c>
      <c r="O226" s="8">
        <v>45830</v>
      </c>
      <c r="P226" s="8">
        <v>45831</v>
      </c>
      <c r="Q226" s="2" t="s">
        <v>74</v>
      </c>
      <c r="R226" s="2" t="s">
        <v>65</v>
      </c>
      <c r="S226" s="2">
        <v>904092</v>
      </c>
      <c r="T226" s="2" t="s">
        <v>117</v>
      </c>
      <c r="U226" s="2" t="s">
        <v>118</v>
      </c>
      <c r="V226" s="2" t="s">
        <v>659</v>
      </c>
      <c r="W226" s="2">
        <v>4</v>
      </c>
      <c r="X226" s="4">
        <v>0.2</v>
      </c>
      <c r="Y226" s="3">
        <v>30.91</v>
      </c>
    </row>
    <row r="227" spans="1:25" x14ac:dyDescent="0.3">
      <c r="A227" s="2" t="s">
        <v>660</v>
      </c>
      <c r="B227" s="2" t="s">
        <v>661</v>
      </c>
      <c r="C227" s="2" t="s">
        <v>248</v>
      </c>
      <c r="D227" s="8">
        <v>27615</v>
      </c>
      <c r="E227" s="3">
        <v>3150.42</v>
      </c>
      <c r="F227" s="2">
        <v>2023</v>
      </c>
      <c r="G227" s="2" t="s">
        <v>28</v>
      </c>
      <c r="H227" s="2" t="s">
        <v>163</v>
      </c>
      <c r="I227" s="2" t="s">
        <v>49</v>
      </c>
      <c r="J227" s="2" t="s">
        <v>31</v>
      </c>
      <c r="K227" s="2" t="s">
        <v>32</v>
      </c>
      <c r="L227" s="2" t="s">
        <v>144</v>
      </c>
      <c r="M227" s="8">
        <v>45031</v>
      </c>
      <c r="N227" s="2" t="s">
        <v>662</v>
      </c>
      <c r="O227" s="8">
        <v>45029</v>
      </c>
      <c r="P227" s="8">
        <v>45031</v>
      </c>
      <c r="Q227" s="2" t="s">
        <v>74</v>
      </c>
      <c r="R227" s="2" t="s">
        <v>261</v>
      </c>
      <c r="S227" s="2">
        <v>979988</v>
      </c>
      <c r="T227" s="2" t="s">
        <v>109</v>
      </c>
      <c r="U227" s="2" t="s">
        <v>110</v>
      </c>
      <c r="V227" s="2" t="s">
        <v>663</v>
      </c>
      <c r="W227" s="2">
        <v>9</v>
      </c>
      <c r="X227" s="4">
        <v>0.15</v>
      </c>
      <c r="Y227" s="3">
        <v>210.36</v>
      </c>
    </row>
    <row r="228" spans="1:25" x14ac:dyDescent="0.3">
      <c r="A228" s="2" t="s">
        <v>660</v>
      </c>
      <c r="B228" s="2" t="s">
        <v>661</v>
      </c>
      <c r="C228" s="2" t="s">
        <v>248</v>
      </c>
      <c r="D228" s="8">
        <v>27615</v>
      </c>
      <c r="E228" s="3">
        <v>1467.44</v>
      </c>
      <c r="F228" s="2">
        <v>2023</v>
      </c>
      <c r="G228" s="2" t="s">
        <v>87</v>
      </c>
      <c r="H228" s="2" t="s">
        <v>163</v>
      </c>
      <c r="I228" s="2" t="s">
        <v>61</v>
      </c>
      <c r="J228" s="2" t="s">
        <v>31</v>
      </c>
      <c r="K228" s="2" t="s">
        <v>32</v>
      </c>
      <c r="L228" s="2" t="s">
        <v>144</v>
      </c>
      <c r="M228" s="8">
        <v>45090</v>
      </c>
      <c r="N228" s="2" t="s">
        <v>664</v>
      </c>
      <c r="O228" s="8">
        <v>45090</v>
      </c>
      <c r="P228" s="8">
        <v>45095</v>
      </c>
      <c r="Q228" s="2" t="s">
        <v>74</v>
      </c>
      <c r="R228" s="2" t="s">
        <v>261</v>
      </c>
      <c r="S228" s="2">
        <v>695225</v>
      </c>
      <c r="T228" s="2" t="s">
        <v>66</v>
      </c>
      <c r="U228" s="2" t="s">
        <v>67</v>
      </c>
      <c r="V228" s="2" t="s">
        <v>665</v>
      </c>
      <c r="W228" s="2">
        <v>10</v>
      </c>
      <c r="X228" s="4">
        <v>0.15</v>
      </c>
      <c r="Y228" s="3">
        <v>380.49</v>
      </c>
    </row>
    <row r="229" spans="1:25" x14ac:dyDescent="0.3">
      <c r="A229" s="2" t="s">
        <v>660</v>
      </c>
      <c r="B229" s="2" t="s">
        <v>661</v>
      </c>
      <c r="C229" s="2" t="s">
        <v>248</v>
      </c>
      <c r="D229" s="8">
        <v>27615</v>
      </c>
      <c r="E229" s="3">
        <v>1349.15</v>
      </c>
      <c r="F229" s="2">
        <v>2023</v>
      </c>
      <c r="G229" s="2" t="s">
        <v>28</v>
      </c>
      <c r="H229" s="2" t="s">
        <v>163</v>
      </c>
      <c r="I229" s="2" t="s">
        <v>30</v>
      </c>
      <c r="J229" s="2" t="s">
        <v>31</v>
      </c>
      <c r="K229" s="2" t="s">
        <v>32</v>
      </c>
      <c r="L229" s="2" t="s">
        <v>144</v>
      </c>
      <c r="M229" s="8">
        <v>45169</v>
      </c>
      <c r="N229" s="2" t="s">
        <v>666</v>
      </c>
      <c r="O229" s="8">
        <v>45165</v>
      </c>
      <c r="P229" s="8">
        <v>45169</v>
      </c>
      <c r="Q229" s="2" t="s">
        <v>121</v>
      </c>
      <c r="R229" s="2" t="s">
        <v>261</v>
      </c>
      <c r="S229" s="2">
        <v>614259</v>
      </c>
      <c r="T229" s="2" t="s">
        <v>75</v>
      </c>
      <c r="U229" s="2" t="s">
        <v>76</v>
      </c>
      <c r="V229" s="2" t="s">
        <v>667</v>
      </c>
      <c r="W229" s="2">
        <v>4</v>
      </c>
      <c r="X229" s="4">
        <v>0.2</v>
      </c>
      <c r="Y229" s="3">
        <v>424.29</v>
      </c>
    </row>
    <row r="230" spans="1:25" x14ac:dyDescent="0.3">
      <c r="A230" s="2" t="s">
        <v>660</v>
      </c>
      <c r="B230" s="2" t="s">
        <v>661</v>
      </c>
      <c r="C230" s="2" t="s">
        <v>248</v>
      </c>
      <c r="D230" s="8">
        <v>27615</v>
      </c>
      <c r="E230" s="3">
        <v>1235.2</v>
      </c>
      <c r="F230" s="2">
        <v>2023</v>
      </c>
      <c r="G230" s="2" t="s">
        <v>87</v>
      </c>
      <c r="H230" s="2" t="s">
        <v>163</v>
      </c>
      <c r="I230" s="2" t="s">
        <v>78</v>
      </c>
      <c r="J230" s="2" t="s">
        <v>31</v>
      </c>
      <c r="K230" s="2" t="s">
        <v>32</v>
      </c>
      <c r="L230" s="2" t="s">
        <v>144</v>
      </c>
      <c r="M230" s="8">
        <v>45181</v>
      </c>
      <c r="N230" s="2" t="s">
        <v>668</v>
      </c>
      <c r="O230" s="8">
        <v>45180</v>
      </c>
      <c r="P230" s="8">
        <v>45181</v>
      </c>
      <c r="Q230" s="2" t="s">
        <v>121</v>
      </c>
      <c r="R230" s="2" t="s">
        <v>261</v>
      </c>
      <c r="S230" s="2">
        <v>945619</v>
      </c>
      <c r="T230" s="2" t="s">
        <v>135</v>
      </c>
      <c r="U230" s="2" t="s">
        <v>136</v>
      </c>
      <c r="V230" s="2" t="s">
        <v>669</v>
      </c>
      <c r="W230" s="2">
        <v>4</v>
      </c>
      <c r="X230" s="4">
        <v>0</v>
      </c>
      <c r="Y230" s="3">
        <v>256.83999999999997</v>
      </c>
    </row>
    <row r="231" spans="1:25" x14ac:dyDescent="0.3">
      <c r="A231" s="2" t="s">
        <v>670</v>
      </c>
      <c r="B231" s="2" t="s">
        <v>671</v>
      </c>
      <c r="C231" s="2" t="s">
        <v>322</v>
      </c>
      <c r="D231" s="8">
        <v>30313</v>
      </c>
      <c r="E231" s="3">
        <v>904.71</v>
      </c>
      <c r="F231" s="2">
        <v>2023</v>
      </c>
      <c r="G231" s="2" t="s">
        <v>48</v>
      </c>
      <c r="H231" s="2" t="s">
        <v>163</v>
      </c>
      <c r="I231" s="2" t="s">
        <v>43</v>
      </c>
      <c r="J231" s="2" t="s">
        <v>102</v>
      </c>
      <c r="K231" s="2" t="s">
        <v>32</v>
      </c>
      <c r="L231" s="2" t="s">
        <v>144</v>
      </c>
      <c r="M231" s="8">
        <v>45110</v>
      </c>
      <c r="N231" s="2" t="s">
        <v>672</v>
      </c>
      <c r="O231" s="8">
        <v>45108</v>
      </c>
      <c r="P231" s="8">
        <v>45113</v>
      </c>
      <c r="Q231" s="2" t="s">
        <v>74</v>
      </c>
      <c r="R231" s="2" t="s">
        <v>197</v>
      </c>
      <c r="S231" s="2">
        <v>838761</v>
      </c>
      <c r="T231" s="2" t="s">
        <v>45</v>
      </c>
      <c r="U231" s="2" t="s">
        <v>46</v>
      </c>
      <c r="V231" s="2" t="s">
        <v>673</v>
      </c>
      <c r="W231" s="2">
        <v>3</v>
      </c>
      <c r="X231" s="4">
        <v>0</v>
      </c>
      <c r="Y231" s="3">
        <v>255.41</v>
      </c>
    </row>
    <row r="232" spans="1:25" x14ac:dyDescent="0.3">
      <c r="A232" s="2" t="s">
        <v>670</v>
      </c>
      <c r="B232" s="2" t="s">
        <v>671</v>
      </c>
      <c r="C232" s="2" t="s">
        <v>322</v>
      </c>
      <c r="D232" s="8">
        <v>30313</v>
      </c>
      <c r="E232" s="3">
        <v>363.1</v>
      </c>
      <c r="F232" s="2">
        <v>2025</v>
      </c>
      <c r="G232" s="2" t="s">
        <v>28</v>
      </c>
      <c r="H232" s="2" t="s">
        <v>163</v>
      </c>
      <c r="I232" s="2" t="s">
        <v>49</v>
      </c>
      <c r="J232" s="2" t="s">
        <v>102</v>
      </c>
      <c r="K232" s="2" t="s">
        <v>32</v>
      </c>
      <c r="L232" s="2" t="s">
        <v>144</v>
      </c>
      <c r="M232" s="8">
        <v>45663</v>
      </c>
      <c r="N232" s="2" t="s">
        <v>674</v>
      </c>
      <c r="O232" s="8">
        <v>45661</v>
      </c>
      <c r="P232" s="8">
        <v>45663</v>
      </c>
      <c r="Q232" s="2" t="s">
        <v>41</v>
      </c>
      <c r="R232" s="2" t="s">
        <v>197</v>
      </c>
      <c r="S232" s="2">
        <v>780714</v>
      </c>
      <c r="T232" s="2" t="s">
        <v>84</v>
      </c>
      <c r="U232" s="2" t="s">
        <v>85</v>
      </c>
      <c r="V232" s="2" t="s">
        <v>675</v>
      </c>
      <c r="W232" s="2">
        <v>2</v>
      </c>
      <c r="X232" s="4">
        <v>0</v>
      </c>
      <c r="Y232" s="3">
        <v>33.020000000000003</v>
      </c>
    </row>
    <row r="233" spans="1:25" x14ac:dyDescent="0.3">
      <c r="A233" s="2" t="s">
        <v>676</v>
      </c>
      <c r="B233" s="2" t="s">
        <v>399</v>
      </c>
      <c r="C233" s="2" t="s">
        <v>327</v>
      </c>
      <c r="D233" s="8">
        <v>28088</v>
      </c>
      <c r="E233" s="3">
        <v>3903.93</v>
      </c>
      <c r="F233" s="2">
        <v>2024</v>
      </c>
      <c r="G233" s="2" t="s">
        <v>48</v>
      </c>
      <c r="H233" s="2" t="s">
        <v>29</v>
      </c>
      <c r="I233" s="2" t="s">
        <v>30</v>
      </c>
      <c r="J233" s="2" t="s">
        <v>62</v>
      </c>
      <c r="K233" s="2" t="s">
        <v>32</v>
      </c>
      <c r="L233" s="2" t="s">
        <v>144</v>
      </c>
      <c r="M233" s="8">
        <v>45503</v>
      </c>
      <c r="N233" s="2" t="s">
        <v>677</v>
      </c>
      <c r="O233" s="8">
        <v>45502</v>
      </c>
      <c r="P233" s="8">
        <v>45505</v>
      </c>
      <c r="Q233" s="2" t="s">
        <v>35</v>
      </c>
      <c r="R233" s="2" t="s">
        <v>286</v>
      </c>
      <c r="S233" s="2">
        <v>836109</v>
      </c>
      <c r="T233" s="2" t="s">
        <v>37</v>
      </c>
      <c r="U233" s="2" t="s">
        <v>38</v>
      </c>
      <c r="V233" s="2" t="s">
        <v>678</v>
      </c>
      <c r="W233" s="2">
        <v>10</v>
      </c>
      <c r="X233" s="4">
        <v>0.05</v>
      </c>
      <c r="Y233" s="3">
        <v>554.54</v>
      </c>
    </row>
    <row r="234" spans="1:25" x14ac:dyDescent="0.3">
      <c r="A234" s="2" t="s">
        <v>676</v>
      </c>
      <c r="B234" s="2" t="s">
        <v>399</v>
      </c>
      <c r="C234" s="2" t="s">
        <v>327</v>
      </c>
      <c r="D234" s="8">
        <v>28088</v>
      </c>
      <c r="E234" s="3">
        <v>319.86</v>
      </c>
      <c r="F234" s="2">
        <v>2024</v>
      </c>
      <c r="G234" s="2" t="s">
        <v>87</v>
      </c>
      <c r="H234" s="2" t="s">
        <v>29</v>
      </c>
      <c r="I234" s="2" t="s">
        <v>30</v>
      </c>
      <c r="J234" s="2" t="s">
        <v>62</v>
      </c>
      <c r="K234" s="2" t="s">
        <v>32</v>
      </c>
      <c r="L234" s="2" t="s">
        <v>144</v>
      </c>
      <c r="M234" s="8">
        <v>45638</v>
      </c>
      <c r="N234" s="2" t="s">
        <v>679</v>
      </c>
      <c r="O234" s="8">
        <v>45637</v>
      </c>
      <c r="P234" s="8">
        <v>45642</v>
      </c>
      <c r="Q234" s="2" t="s">
        <v>35</v>
      </c>
      <c r="R234" s="2" t="s">
        <v>286</v>
      </c>
      <c r="S234" s="2">
        <v>620287</v>
      </c>
      <c r="T234" s="2" t="s">
        <v>37</v>
      </c>
      <c r="U234" s="2" t="s">
        <v>38</v>
      </c>
      <c r="V234" s="2" t="s">
        <v>680</v>
      </c>
      <c r="W234" s="2">
        <v>10</v>
      </c>
      <c r="X234" s="4">
        <v>0.1</v>
      </c>
      <c r="Y234" s="3">
        <v>46.53</v>
      </c>
    </row>
    <row r="235" spans="1:25" x14ac:dyDescent="0.3">
      <c r="A235" s="2" t="s">
        <v>676</v>
      </c>
      <c r="B235" s="2" t="s">
        <v>399</v>
      </c>
      <c r="C235" s="2" t="s">
        <v>327</v>
      </c>
      <c r="D235" s="8">
        <v>28088</v>
      </c>
      <c r="E235" s="3">
        <v>268.48</v>
      </c>
      <c r="F235" s="2">
        <v>2024</v>
      </c>
      <c r="G235" s="2" t="s">
        <v>28</v>
      </c>
      <c r="H235" s="2" t="s">
        <v>29</v>
      </c>
      <c r="I235" s="2" t="s">
        <v>61</v>
      </c>
      <c r="J235" s="2" t="s">
        <v>62</v>
      </c>
      <c r="K235" s="2" t="s">
        <v>32</v>
      </c>
      <c r="L235" s="2" t="s">
        <v>144</v>
      </c>
      <c r="M235" s="8">
        <v>45652</v>
      </c>
      <c r="N235" s="2" t="s">
        <v>681</v>
      </c>
      <c r="O235" s="8">
        <v>45651</v>
      </c>
      <c r="P235" s="8">
        <v>45652</v>
      </c>
      <c r="Q235" s="2" t="s">
        <v>35</v>
      </c>
      <c r="R235" s="2" t="s">
        <v>286</v>
      </c>
      <c r="S235" s="2">
        <v>378095</v>
      </c>
      <c r="T235" s="2" t="s">
        <v>204</v>
      </c>
      <c r="U235" s="2" t="s">
        <v>205</v>
      </c>
      <c r="V235" s="2" t="s">
        <v>682</v>
      </c>
      <c r="W235" s="2">
        <v>2</v>
      </c>
      <c r="X235" s="4">
        <v>0</v>
      </c>
      <c r="Y235" s="3">
        <v>26.95</v>
      </c>
    </row>
    <row r="236" spans="1:25" x14ac:dyDescent="0.3">
      <c r="A236" s="2" t="s">
        <v>683</v>
      </c>
      <c r="B236" s="2" t="s">
        <v>684</v>
      </c>
      <c r="C236" s="2" t="s">
        <v>60</v>
      </c>
      <c r="D236" s="8">
        <v>36577</v>
      </c>
      <c r="E236" s="3">
        <v>731.6</v>
      </c>
      <c r="F236" s="2">
        <v>2023</v>
      </c>
      <c r="G236" s="2" t="s">
        <v>28</v>
      </c>
      <c r="H236" s="2" t="s">
        <v>29</v>
      </c>
      <c r="I236" s="2" t="s">
        <v>43</v>
      </c>
      <c r="J236" s="2" t="s">
        <v>62</v>
      </c>
      <c r="K236" s="2" t="s">
        <v>32</v>
      </c>
      <c r="L236" s="2" t="s">
        <v>33</v>
      </c>
      <c r="M236" s="8">
        <v>44997</v>
      </c>
      <c r="N236" s="2" t="s">
        <v>685</v>
      </c>
      <c r="O236" s="8">
        <v>44996</v>
      </c>
      <c r="P236" s="8">
        <v>45000</v>
      </c>
      <c r="Q236" s="2" t="s">
        <v>41</v>
      </c>
      <c r="R236" s="2" t="s">
        <v>65</v>
      </c>
      <c r="S236" s="2">
        <v>497108</v>
      </c>
      <c r="T236" s="2" t="s">
        <v>153</v>
      </c>
      <c r="U236" s="2" t="s">
        <v>154</v>
      </c>
      <c r="V236" s="2" t="s">
        <v>686</v>
      </c>
      <c r="W236" s="2">
        <v>2</v>
      </c>
      <c r="X236" s="4">
        <v>0</v>
      </c>
      <c r="Y236" s="3">
        <v>121.29</v>
      </c>
    </row>
    <row r="237" spans="1:25" x14ac:dyDescent="0.3">
      <c r="A237" s="2" t="s">
        <v>683</v>
      </c>
      <c r="B237" s="2" t="s">
        <v>684</v>
      </c>
      <c r="C237" s="2" t="s">
        <v>60</v>
      </c>
      <c r="D237" s="8">
        <v>36577</v>
      </c>
      <c r="E237" s="3">
        <v>668.53</v>
      </c>
      <c r="F237" s="2">
        <v>2024</v>
      </c>
      <c r="G237" s="2" t="s">
        <v>28</v>
      </c>
      <c r="H237" s="2" t="s">
        <v>29</v>
      </c>
      <c r="I237" s="2" t="s">
        <v>43</v>
      </c>
      <c r="J237" s="2" t="s">
        <v>62</v>
      </c>
      <c r="K237" s="2" t="s">
        <v>32</v>
      </c>
      <c r="L237" s="2" t="s">
        <v>33</v>
      </c>
      <c r="M237" s="8">
        <v>45636</v>
      </c>
      <c r="N237" s="2" t="s">
        <v>687</v>
      </c>
      <c r="O237" s="8">
        <v>45636</v>
      </c>
      <c r="P237" s="8">
        <v>45638</v>
      </c>
      <c r="Q237" s="2" t="s">
        <v>35</v>
      </c>
      <c r="R237" s="2" t="s">
        <v>65</v>
      </c>
      <c r="S237" s="2">
        <v>938016</v>
      </c>
      <c r="T237" s="2" t="s">
        <v>70</v>
      </c>
      <c r="U237" s="2" t="s">
        <v>71</v>
      </c>
      <c r="V237" s="2" t="s">
        <v>688</v>
      </c>
      <c r="W237" s="2">
        <v>2</v>
      </c>
      <c r="X237" s="4">
        <v>0.2</v>
      </c>
      <c r="Y237" s="3">
        <v>206.72</v>
      </c>
    </row>
    <row r="238" spans="1:25" x14ac:dyDescent="0.3">
      <c r="A238" s="2" t="s">
        <v>689</v>
      </c>
      <c r="B238" s="2" t="s">
        <v>607</v>
      </c>
      <c r="C238" s="2" t="s">
        <v>690</v>
      </c>
      <c r="D238" s="8">
        <v>27309</v>
      </c>
      <c r="E238" s="3">
        <v>1002.65</v>
      </c>
      <c r="F238" s="2">
        <v>2023</v>
      </c>
      <c r="G238" s="2" t="s">
        <v>87</v>
      </c>
      <c r="H238" s="2" t="s">
        <v>163</v>
      </c>
      <c r="I238" s="2" t="s">
        <v>43</v>
      </c>
      <c r="J238" s="2" t="s">
        <v>102</v>
      </c>
      <c r="K238" s="2" t="s">
        <v>32</v>
      </c>
      <c r="L238" s="2" t="s">
        <v>63</v>
      </c>
      <c r="M238" s="8">
        <v>44948</v>
      </c>
      <c r="N238" s="2" t="s">
        <v>691</v>
      </c>
      <c r="O238" s="8">
        <v>44947</v>
      </c>
      <c r="P238" s="8">
        <v>44948</v>
      </c>
      <c r="Q238" s="2" t="s">
        <v>41</v>
      </c>
      <c r="R238" s="2" t="s">
        <v>197</v>
      </c>
      <c r="S238" s="2">
        <v>838726</v>
      </c>
      <c r="T238" s="2" t="s">
        <v>45</v>
      </c>
      <c r="U238" s="2" t="s">
        <v>46</v>
      </c>
      <c r="V238" s="2" t="s">
        <v>692</v>
      </c>
      <c r="W238" s="2">
        <v>3</v>
      </c>
      <c r="X238" s="4">
        <v>0.1</v>
      </c>
      <c r="Y238" s="3">
        <v>333.43</v>
      </c>
    </row>
    <row r="239" spans="1:25" x14ac:dyDescent="0.3">
      <c r="A239" s="2" t="s">
        <v>689</v>
      </c>
      <c r="B239" s="2" t="s">
        <v>607</v>
      </c>
      <c r="C239" s="2" t="s">
        <v>690</v>
      </c>
      <c r="D239" s="8">
        <v>27309</v>
      </c>
      <c r="E239" s="3">
        <v>887.8</v>
      </c>
      <c r="F239" s="2">
        <v>2023</v>
      </c>
      <c r="G239" s="2" t="s">
        <v>48</v>
      </c>
      <c r="H239" s="2" t="s">
        <v>163</v>
      </c>
      <c r="I239" s="2" t="s">
        <v>78</v>
      </c>
      <c r="J239" s="2" t="s">
        <v>102</v>
      </c>
      <c r="K239" s="2" t="s">
        <v>32</v>
      </c>
      <c r="L239" s="2" t="s">
        <v>63</v>
      </c>
      <c r="M239" s="8">
        <v>45003</v>
      </c>
      <c r="N239" s="2" t="s">
        <v>693</v>
      </c>
      <c r="O239" s="8">
        <v>45002</v>
      </c>
      <c r="P239" s="8">
        <v>45003</v>
      </c>
      <c r="Q239" s="2" t="s">
        <v>121</v>
      </c>
      <c r="R239" s="2" t="s">
        <v>197</v>
      </c>
      <c r="S239" s="2">
        <v>529161</v>
      </c>
      <c r="T239" s="2" t="s">
        <v>80</v>
      </c>
      <c r="U239" s="2" t="s">
        <v>81</v>
      </c>
      <c r="V239" s="2" t="s">
        <v>694</v>
      </c>
      <c r="W239" s="2">
        <v>3</v>
      </c>
      <c r="X239" s="4">
        <v>0.05</v>
      </c>
      <c r="Y239" s="3">
        <v>86.23</v>
      </c>
    </row>
    <row r="240" spans="1:25" x14ac:dyDescent="0.3">
      <c r="A240" s="2" t="s">
        <v>689</v>
      </c>
      <c r="B240" s="2" t="s">
        <v>607</v>
      </c>
      <c r="C240" s="2" t="s">
        <v>690</v>
      </c>
      <c r="D240" s="8">
        <v>27309</v>
      </c>
      <c r="E240" s="3">
        <v>1325.97</v>
      </c>
      <c r="F240" s="2">
        <v>2023</v>
      </c>
      <c r="G240" s="2" t="s">
        <v>28</v>
      </c>
      <c r="H240" s="2" t="s">
        <v>163</v>
      </c>
      <c r="I240" s="2" t="s">
        <v>49</v>
      </c>
      <c r="J240" s="2" t="s">
        <v>102</v>
      </c>
      <c r="K240" s="2" t="s">
        <v>32</v>
      </c>
      <c r="L240" s="2" t="s">
        <v>63</v>
      </c>
      <c r="M240" s="8">
        <v>45034</v>
      </c>
      <c r="N240" s="2" t="s">
        <v>695</v>
      </c>
      <c r="O240" s="8">
        <v>45034</v>
      </c>
      <c r="P240" s="8">
        <v>45035</v>
      </c>
      <c r="Q240" s="2" t="s">
        <v>41</v>
      </c>
      <c r="R240" s="2" t="s">
        <v>197</v>
      </c>
      <c r="S240" s="2">
        <v>261050</v>
      </c>
      <c r="T240" s="2" t="s">
        <v>51</v>
      </c>
      <c r="U240" s="2" t="s">
        <v>52</v>
      </c>
      <c r="V240" s="2" t="s">
        <v>696</v>
      </c>
      <c r="W240" s="2">
        <v>9</v>
      </c>
      <c r="X240" s="4">
        <v>0</v>
      </c>
      <c r="Y240" s="3">
        <v>184.6</v>
      </c>
    </row>
    <row r="241" spans="1:25" x14ac:dyDescent="0.3">
      <c r="A241" s="2" t="s">
        <v>689</v>
      </c>
      <c r="B241" s="2" t="s">
        <v>607</v>
      </c>
      <c r="C241" s="2" t="s">
        <v>690</v>
      </c>
      <c r="D241" s="8">
        <v>27309</v>
      </c>
      <c r="E241" s="3">
        <v>347.54</v>
      </c>
      <c r="F241" s="2">
        <v>2023</v>
      </c>
      <c r="G241" s="2" t="s">
        <v>48</v>
      </c>
      <c r="H241" s="2" t="s">
        <v>163</v>
      </c>
      <c r="I241" s="2" t="s">
        <v>78</v>
      </c>
      <c r="J241" s="2" t="s">
        <v>102</v>
      </c>
      <c r="K241" s="2" t="s">
        <v>32</v>
      </c>
      <c r="L241" s="2" t="s">
        <v>63</v>
      </c>
      <c r="M241" s="8">
        <v>45197</v>
      </c>
      <c r="N241" s="2" t="s">
        <v>697</v>
      </c>
      <c r="O241" s="8">
        <v>45194</v>
      </c>
      <c r="P241" s="8">
        <v>45199</v>
      </c>
      <c r="Q241" s="2" t="s">
        <v>35</v>
      </c>
      <c r="R241" s="2" t="s">
        <v>197</v>
      </c>
      <c r="S241" s="2">
        <v>126985</v>
      </c>
      <c r="T241" s="2" t="s">
        <v>117</v>
      </c>
      <c r="U241" s="2" t="s">
        <v>118</v>
      </c>
      <c r="V241" s="2" t="s">
        <v>698</v>
      </c>
      <c r="W241" s="2">
        <v>7</v>
      </c>
      <c r="X241" s="4">
        <v>0.2</v>
      </c>
      <c r="Y241" s="3">
        <v>86.4</v>
      </c>
    </row>
    <row r="242" spans="1:25" x14ac:dyDescent="0.3">
      <c r="A242" s="2" t="s">
        <v>689</v>
      </c>
      <c r="B242" s="2" t="s">
        <v>607</v>
      </c>
      <c r="C242" s="2" t="s">
        <v>690</v>
      </c>
      <c r="D242" s="8">
        <v>27309</v>
      </c>
      <c r="E242" s="3">
        <v>2322.6999999999998</v>
      </c>
      <c r="F242" s="2">
        <v>2023</v>
      </c>
      <c r="G242" s="2" t="s">
        <v>28</v>
      </c>
      <c r="H242" s="2" t="s">
        <v>163</v>
      </c>
      <c r="I242" s="2" t="s">
        <v>61</v>
      </c>
      <c r="J242" s="2" t="s">
        <v>102</v>
      </c>
      <c r="K242" s="2" t="s">
        <v>32</v>
      </c>
      <c r="L242" s="2" t="s">
        <v>63</v>
      </c>
      <c r="M242" s="8">
        <v>45231</v>
      </c>
      <c r="N242" s="2" t="s">
        <v>699</v>
      </c>
      <c r="O242" s="8">
        <v>45228</v>
      </c>
      <c r="P242" s="8">
        <v>45231</v>
      </c>
      <c r="Q242" s="2" t="s">
        <v>41</v>
      </c>
      <c r="R242" s="2" t="s">
        <v>197</v>
      </c>
      <c r="S242" s="2">
        <v>793150</v>
      </c>
      <c r="T242" s="2" t="s">
        <v>66</v>
      </c>
      <c r="U242" s="2" t="s">
        <v>67</v>
      </c>
      <c r="V242" s="2" t="s">
        <v>700</v>
      </c>
      <c r="W242" s="2">
        <v>5</v>
      </c>
      <c r="X242" s="4">
        <v>0.05</v>
      </c>
      <c r="Y242" s="3">
        <v>704.08</v>
      </c>
    </row>
    <row r="243" spans="1:25" x14ac:dyDescent="0.3">
      <c r="A243" s="2" t="s">
        <v>689</v>
      </c>
      <c r="B243" s="2" t="s">
        <v>607</v>
      </c>
      <c r="C243" s="2" t="s">
        <v>690</v>
      </c>
      <c r="D243" s="8">
        <v>27309</v>
      </c>
      <c r="E243" s="3">
        <v>1854.09</v>
      </c>
      <c r="F243" s="2">
        <v>2023</v>
      </c>
      <c r="G243" s="2" t="s">
        <v>28</v>
      </c>
      <c r="H243" s="2" t="s">
        <v>163</v>
      </c>
      <c r="I243" s="2" t="s">
        <v>43</v>
      </c>
      <c r="J243" s="2" t="s">
        <v>102</v>
      </c>
      <c r="K243" s="2" t="s">
        <v>32</v>
      </c>
      <c r="L243" s="2" t="s">
        <v>63</v>
      </c>
      <c r="M243" s="8">
        <v>45254</v>
      </c>
      <c r="N243" s="2" t="s">
        <v>701</v>
      </c>
      <c r="O243" s="8">
        <v>45253</v>
      </c>
      <c r="P243" s="8">
        <v>45256</v>
      </c>
      <c r="Q243" s="2" t="s">
        <v>35</v>
      </c>
      <c r="R243" s="2" t="s">
        <v>197</v>
      </c>
      <c r="S243" s="2">
        <v>376085</v>
      </c>
      <c r="T243" s="2" t="s">
        <v>45</v>
      </c>
      <c r="U243" s="2" t="s">
        <v>46</v>
      </c>
      <c r="V243" s="2" t="s">
        <v>702</v>
      </c>
      <c r="W243" s="2">
        <v>9</v>
      </c>
      <c r="X243" s="4">
        <v>0</v>
      </c>
      <c r="Y243" s="3">
        <v>585.24</v>
      </c>
    </row>
    <row r="244" spans="1:25" x14ac:dyDescent="0.3">
      <c r="A244" s="2" t="s">
        <v>703</v>
      </c>
      <c r="B244" s="2" t="s">
        <v>454</v>
      </c>
      <c r="C244" s="2" t="s">
        <v>101</v>
      </c>
      <c r="D244" s="8">
        <v>24564</v>
      </c>
      <c r="E244" s="3">
        <v>971.73</v>
      </c>
      <c r="F244" s="2">
        <v>2023</v>
      </c>
      <c r="G244" s="2" t="s">
        <v>87</v>
      </c>
      <c r="H244" s="2" t="s">
        <v>29</v>
      </c>
      <c r="I244" s="2" t="s">
        <v>43</v>
      </c>
      <c r="J244" s="2" t="s">
        <v>227</v>
      </c>
      <c r="K244" s="2" t="s">
        <v>32</v>
      </c>
      <c r="L244" s="2" t="s">
        <v>63</v>
      </c>
      <c r="M244" s="8">
        <v>45161</v>
      </c>
      <c r="N244" s="2" t="s">
        <v>704</v>
      </c>
      <c r="O244" s="8">
        <v>45158</v>
      </c>
      <c r="P244" s="8">
        <v>45161</v>
      </c>
      <c r="Q244" s="2" t="s">
        <v>121</v>
      </c>
      <c r="R244" s="2" t="s">
        <v>229</v>
      </c>
      <c r="S244" s="2">
        <v>680493</v>
      </c>
      <c r="T244" s="2" t="s">
        <v>70</v>
      </c>
      <c r="U244" s="2" t="s">
        <v>71</v>
      </c>
      <c r="V244" s="2" t="s">
        <v>705</v>
      </c>
      <c r="W244" s="2">
        <v>3</v>
      </c>
      <c r="X244" s="4">
        <v>0.15</v>
      </c>
      <c r="Y244" s="3">
        <v>76.78</v>
      </c>
    </row>
    <row r="245" spans="1:25" x14ac:dyDescent="0.3">
      <c r="A245" s="2" t="s">
        <v>703</v>
      </c>
      <c r="B245" s="2" t="s">
        <v>454</v>
      </c>
      <c r="C245" s="2" t="s">
        <v>101</v>
      </c>
      <c r="D245" s="8">
        <v>24564</v>
      </c>
      <c r="E245" s="3">
        <v>1789.61</v>
      </c>
      <c r="F245" s="2">
        <v>2023</v>
      </c>
      <c r="G245" s="2" t="s">
        <v>48</v>
      </c>
      <c r="H245" s="2" t="s">
        <v>29</v>
      </c>
      <c r="I245" s="2" t="s">
        <v>78</v>
      </c>
      <c r="J245" s="2" t="s">
        <v>227</v>
      </c>
      <c r="K245" s="2" t="s">
        <v>32</v>
      </c>
      <c r="L245" s="2" t="s">
        <v>63</v>
      </c>
      <c r="M245" s="8">
        <v>45200</v>
      </c>
      <c r="N245" s="2" t="s">
        <v>706</v>
      </c>
      <c r="O245" s="8">
        <v>45196</v>
      </c>
      <c r="P245" s="8">
        <v>45200</v>
      </c>
      <c r="Q245" s="2" t="s">
        <v>41</v>
      </c>
      <c r="R245" s="2" t="s">
        <v>229</v>
      </c>
      <c r="S245" s="2">
        <v>413369</v>
      </c>
      <c r="T245" s="2" t="s">
        <v>80</v>
      </c>
      <c r="U245" s="2" t="s">
        <v>81</v>
      </c>
      <c r="V245" s="2" t="s">
        <v>707</v>
      </c>
      <c r="W245" s="2">
        <v>9</v>
      </c>
      <c r="X245" s="4">
        <v>0.1</v>
      </c>
      <c r="Y245" s="3">
        <v>458.36</v>
      </c>
    </row>
    <row r="246" spans="1:25" x14ac:dyDescent="0.3">
      <c r="A246" s="2" t="s">
        <v>703</v>
      </c>
      <c r="B246" s="2" t="s">
        <v>454</v>
      </c>
      <c r="C246" s="2" t="s">
        <v>101</v>
      </c>
      <c r="D246" s="8">
        <v>24564</v>
      </c>
      <c r="E246" s="3">
        <v>234.91</v>
      </c>
      <c r="F246" s="2">
        <v>2025</v>
      </c>
      <c r="G246" s="2" t="s">
        <v>48</v>
      </c>
      <c r="H246" s="2" t="s">
        <v>29</v>
      </c>
      <c r="I246" s="2" t="s">
        <v>78</v>
      </c>
      <c r="J246" s="2" t="s">
        <v>227</v>
      </c>
      <c r="K246" s="2" t="s">
        <v>32</v>
      </c>
      <c r="L246" s="2" t="s">
        <v>63</v>
      </c>
      <c r="M246" s="8">
        <v>45785</v>
      </c>
      <c r="N246" s="2" t="s">
        <v>708</v>
      </c>
      <c r="O246" s="8">
        <v>45784</v>
      </c>
      <c r="P246" s="8">
        <v>45789</v>
      </c>
      <c r="Q246" s="2" t="s">
        <v>41</v>
      </c>
      <c r="R246" s="2" t="s">
        <v>229</v>
      </c>
      <c r="S246" s="2">
        <v>281276</v>
      </c>
      <c r="T246" s="2" t="s">
        <v>80</v>
      </c>
      <c r="U246" s="2" t="s">
        <v>81</v>
      </c>
      <c r="V246" s="2" t="s">
        <v>709</v>
      </c>
      <c r="W246" s="2">
        <v>1</v>
      </c>
      <c r="X246" s="4">
        <v>0.1</v>
      </c>
      <c r="Y246" s="3">
        <v>68.16</v>
      </c>
    </row>
    <row r="247" spans="1:25" x14ac:dyDescent="0.3">
      <c r="A247" s="2" t="s">
        <v>710</v>
      </c>
      <c r="B247" s="2" t="s">
        <v>711</v>
      </c>
      <c r="C247" s="2" t="s">
        <v>712</v>
      </c>
      <c r="D247" s="8">
        <v>24674</v>
      </c>
      <c r="E247" s="3">
        <v>1261.1099999999999</v>
      </c>
      <c r="F247" s="2">
        <v>2023</v>
      </c>
      <c r="G247" s="2" t="s">
        <v>28</v>
      </c>
      <c r="H247" s="2" t="s">
        <v>29</v>
      </c>
      <c r="I247" s="2" t="s">
        <v>78</v>
      </c>
      <c r="J247" s="2" t="s">
        <v>62</v>
      </c>
      <c r="K247" s="2" t="s">
        <v>32</v>
      </c>
      <c r="L247" s="2" t="s">
        <v>33</v>
      </c>
      <c r="M247" s="8">
        <v>44970</v>
      </c>
      <c r="N247" s="2" t="s">
        <v>713</v>
      </c>
      <c r="O247" s="8">
        <v>44970</v>
      </c>
      <c r="P247" s="8">
        <v>44971</v>
      </c>
      <c r="Q247" s="2" t="s">
        <v>41</v>
      </c>
      <c r="R247" s="2" t="s">
        <v>386</v>
      </c>
      <c r="S247" s="2">
        <v>678870</v>
      </c>
      <c r="T247" s="2" t="s">
        <v>80</v>
      </c>
      <c r="U247" s="2" t="s">
        <v>81</v>
      </c>
      <c r="V247" s="2" t="s">
        <v>714</v>
      </c>
      <c r="W247" s="2">
        <v>3</v>
      </c>
      <c r="X247" s="4">
        <v>0</v>
      </c>
      <c r="Y247" s="3">
        <v>184.03</v>
      </c>
    </row>
    <row r="248" spans="1:25" x14ac:dyDescent="0.3">
      <c r="A248" s="2" t="s">
        <v>710</v>
      </c>
      <c r="B248" s="2" t="s">
        <v>711</v>
      </c>
      <c r="C248" s="2" t="s">
        <v>712</v>
      </c>
      <c r="D248" s="8">
        <v>24674</v>
      </c>
      <c r="E248" s="3">
        <v>3681.92</v>
      </c>
      <c r="F248" s="2">
        <v>2023</v>
      </c>
      <c r="G248" s="2" t="s">
        <v>87</v>
      </c>
      <c r="H248" s="2" t="s">
        <v>29</v>
      </c>
      <c r="I248" s="2" t="s">
        <v>43</v>
      </c>
      <c r="J248" s="2" t="s">
        <v>62</v>
      </c>
      <c r="K248" s="2" t="s">
        <v>32</v>
      </c>
      <c r="L248" s="2" t="s">
        <v>33</v>
      </c>
      <c r="M248" s="8">
        <v>45060</v>
      </c>
      <c r="N248" s="2" t="s">
        <v>715</v>
      </c>
      <c r="O248" s="8">
        <v>45056</v>
      </c>
      <c r="P248" s="8">
        <v>45061</v>
      </c>
      <c r="Q248" s="2" t="s">
        <v>41</v>
      </c>
      <c r="R248" s="2" t="s">
        <v>386</v>
      </c>
      <c r="S248" s="2">
        <v>217984</v>
      </c>
      <c r="T248" s="2" t="s">
        <v>153</v>
      </c>
      <c r="U248" s="2" t="s">
        <v>154</v>
      </c>
      <c r="V248" s="2" t="s">
        <v>716</v>
      </c>
      <c r="W248" s="2">
        <v>8</v>
      </c>
      <c r="X248" s="4">
        <v>0</v>
      </c>
      <c r="Y248" s="3">
        <v>1052.9000000000001</v>
      </c>
    </row>
    <row r="249" spans="1:25" x14ac:dyDescent="0.3">
      <c r="A249" s="2" t="s">
        <v>710</v>
      </c>
      <c r="B249" s="2" t="s">
        <v>711</v>
      </c>
      <c r="C249" s="2" t="s">
        <v>712</v>
      </c>
      <c r="D249" s="8">
        <v>24674</v>
      </c>
      <c r="E249" s="3">
        <v>2417.6799999999998</v>
      </c>
      <c r="F249" s="2">
        <v>2023</v>
      </c>
      <c r="G249" s="2" t="s">
        <v>87</v>
      </c>
      <c r="H249" s="2" t="s">
        <v>29</v>
      </c>
      <c r="I249" s="2" t="s">
        <v>92</v>
      </c>
      <c r="J249" s="2" t="s">
        <v>62</v>
      </c>
      <c r="K249" s="2" t="s">
        <v>32</v>
      </c>
      <c r="L249" s="2" t="s">
        <v>33</v>
      </c>
      <c r="M249" s="8">
        <v>45098</v>
      </c>
      <c r="N249" s="2" t="s">
        <v>717</v>
      </c>
      <c r="O249" s="8">
        <v>45098</v>
      </c>
      <c r="P249" s="8">
        <v>45099</v>
      </c>
      <c r="Q249" s="2" t="s">
        <v>35</v>
      </c>
      <c r="R249" s="2" t="s">
        <v>386</v>
      </c>
      <c r="S249" s="2">
        <v>923914</v>
      </c>
      <c r="T249" s="2" t="s">
        <v>147</v>
      </c>
      <c r="U249" s="2" t="s">
        <v>148</v>
      </c>
      <c r="V249" s="2" t="s">
        <v>718</v>
      </c>
      <c r="W249" s="2">
        <v>10</v>
      </c>
      <c r="X249" s="4">
        <v>0.2</v>
      </c>
      <c r="Y249" s="3">
        <v>820.68</v>
      </c>
    </row>
    <row r="250" spans="1:25" x14ac:dyDescent="0.3">
      <c r="A250" s="2" t="s">
        <v>710</v>
      </c>
      <c r="B250" s="2" t="s">
        <v>711</v>
      </c>
      <c r="C250" s="2" t="s">
        <v>712</v>
      </c>
      <c r="D250" s="8">
        <v>24674</v>
      </c>
      <c r="E250" s="3">
        <v>873.4</v>
      </c>
      <c r="F250" s="2">
        <v>2023</v>
      </c>
      <c r="G250" s="2" t="s">
        <v>48</v>
      </c>
      <c r="H250" s="2" t="s">
        <v>29</v>
      </c>
      <c r="I250" s="2" t="s">
        <v>43</v>
      </c>
      <c r="J250" s="2" t="s">
        <v>62</v>
      </c>
      <c r="K250" s="2" t="s">
        <v>32</v>
      </c>
      <c r="L250" s="2" t="s">
        <v>33</v>
      </c>
      <c r="M250" s="8">
        <v>45127</v>
      </c>
      <c r="N250" s="2" t="s">
        <v>719</v>
      </c>
      <c r="O250" s="8">
        <v>45124</v>
      </c>
      <c r="P250" s="8">
        <v>45129</v>
      </c>
      <c r="Q250" s="2" t="s">
        <v>121</v>
      </c>
      <c r="R250" s="2" t="s">
        <v>386</v>
      </c>
      <c r="S250" s="2">
        <v>388792</v>
      </c>
      <c r="T250" s="2" t="s">
        <v>70</v>
      </c>
      <c r="U250" s="2" t="s">
        <v>71</v>
      </c>
      <c r="V250" s="2" t="s">
        <v>720</v>
      </c>
      <c r="W250" s="2">
        <v>7</v>
      </c>
      <c r="X250" s="4">
        <v>0.15</v>
      </c>
      <c r="Y250" s="3">
        <v>170.9</v>
      </c>
    </row>
    <row r="251" spans="1:25" x14ac:dyDescent="0.3">
      <c r="A251" s="2" t="s">
        <v>710</v>
      </c>
      <c r="B251" s="2" t="s">
        <v>711</v>
      </c>
      <c r="C251" s="2" t="s">
        <v>712</v>
      </c>
      <c r="D251" s="8">
        <v>24674</v>
      </c>
      <c r="E251" s="3">
        <v>3294.51</v>
      </c>
      <c r="F251" s="2">
        <v>2023</v>
      </c>
      <c r="G251" s="2" t="s">
        <v>48</v>
      </c>
      <c r="H251" s="2" t="s">
        <v>29</v>
      </c>
      <c r="I251" s="2" t="s">
        <v>92</v>
      </c>
      <c r="J251" s="2" t="s">
        <v>62</v>
      </c>
      <c r="K251" s="2" t="s">
        <v>32</v>
      </c>
      <c r="L251" s="2" t="s">
        <v>33</v>
      </c>
      <c r="M251" s="8">
        <v>45144</v>
      </c>
      <c r="N251" s="2" t="s">
        <v>721</v>
      </c>
      <c r="O251" s="8">
        <v>45143</v>
      </c>
      <c r="P251" s="8">
        <v>45146</v>
      </c>
      <c r="Q251" s="2" t="s">
        <v>41</v>
      </c>
      <c r="R251" s="2" t="s">
        <v>386</v>
      </c>
      <c r="S251" s="2">
        <v>381631</v>
      </c>
      <c r="T251" s="2" t="s">
        <v>147</v>
      </c>
      <c r="U251" s="2" t="s">
        <v>148</v>
      </c>
      <c r="V251" s="2" t="s">
        <v>722</v>
      </c>
      <c r="W251" s="2">
        <v>10</v>
      </c>
      <c r="X251" s="4">
        <v>0.05</v>
      </c>
      <c r="Y251" s="3">
        <v>203.06</v>
      </c>
    </row>
    <row r="252" spans="1:25" x14ac:dyDescent="0.3">
      <c r="A252" s="2" t="s">
        <v>710</v>
      </c>
      <c r="B252" s="2" t="s">
        <v>711</v>
      </c>
      <c r="C252" s="2" t="s">
        <v>712</v>
      </c>
      <c r="D252" s="8">
        <v>24674</v>
      </c>
      <c r="E252" s="3">
        <v>677.04</v>
      </c>
      <c r="F252" s="2">
        <v>2024</v>
      </c>
      <c r="G252" s="2" t="s">
        <v>48</v>
      </c>
      <c r="H252" s="2" t="s">
        <v>29</v>
      </c>
      <c r="I252" s="2" t="s">
        <v>43</v>
      </c>
      <c r="J252" s="2" t="s">
        <v>62</v>
      </c>
      <c r="K252" s="2" t="s">
        <v>32</v>
      </c>
      <c r="L252" s="2" t="s">
        <v>33</v>
      </c>
      <c r="M252" s="8">
        <v>45360</v>
      </c>
      <c r="N252" s="2" t="s">
        <v>723</v>
      </c>
      <c r="O252" s="8">
        <v>45360</v>
      </c>
      <c r="P252" s="8">
        <v>45361</v>
      </c>
      <c r="Q252" s="2" t="s">
        <v>74</v>
      </c>
      <c r="R252" s="2" t="s">
        <v>386</v>
      </c>
      <c r="S252" s="2">
        <v>879850</v>
      </c>
      <c r="T252" s="2" t="s">
        <v>45</v>
      </c>
      <c r="U252" s="2" t="s">
        <v>46</v>
      </c>
      <c r="V252" s="2" t="s">
        <v>724</v>
      </c>
      <c r="W252" s="2">
        <v>5</v>
      </c>
      <c r="X252" s="4">
        <v>0.2</v>
      </c>
      <c r="Y252" s="3">
        <v>133.71</v>
      </c>
    </row>
    <row r="253" spans="1:25" x14ac:dyDescent="0.3">
      <c r="A253" s="2" t="s">
        <v>710</v>
      </c>
      <c r="B253" s="2" t="s">
        <v>711</v>
      </c>
      <c r="C253" s="2" t="s">
        <v>712</v>
      </c>
      <c r="D253" s="8">
        <v>24674</v>
      </c>
      <c r="E253" s="3">
        <v>2172.73</v>
      </c>
      <c r="F253" s="2">
        <v>2025</v>
      </c>
      <c r="G253" s="2" t="s">
        <v>87</v>
      </c>
      <c r="H253" s="2" t="s">
        <v>29</v>
      </c>
      <c r="I253" s="2" t="s">
        <v>92</v>
      </c>
      <c r="J253" s="2" t="s">
        <v>62</v>
      </c>
      <c r="K253" s="2" t="s">
        <v>32</v>
      </c>
      <c r="L253" s="2" t="s">
        <v>33</v>
      </c>
      <c r="M253" s="8">
        <v>45755</v>
      </c>
      <c r="N253" s="2" t="s">
        <v>725</v>
      </c>
      <c r="O253" s="8">
        <v>45754</v>
      </c>
      <c r="P253" s="8">
        <v>45756</v>
      </c>
      <c r="Q253" s="2" t="s">
        <v>41</v>
      </c>
      <c r="R253" s="2" t="s">
        <v>386</v>
      </c>
      <c r="S253" s="2">
        <v>896386</v>
      </c>
      <c r="T253" s="2" t="s">
        <v>94</v>
      </c>
      <c r="U253" s="2" t="s">
        <v>95</v>
      </c>
      <c r="V253" s="2" t="s">
        <v>726</v>
      </c>
      <c r="W253" s="2">
        <v>7</v>
      </c>
      <c r="X253" s="4">
        <v>0</v>
      </c>
      <c r="Y253" s="3">
        <v>231.14</v>
      </c>
    </row>
    <row r="254" spans="1:25" x14ac:dyDescent="0.3">
      <c r="A254" s="2" t="s">
        <v>727</v>
      </c>
      <c r="B254" s="2" t="s">
        <v>234</v>
      </c>
      <c r="C254" s="2" t="s">
        <v>125</v>
      </c>
      <c r="D254" s="8">
        <v>24856</v>
      </c>
      <c r="E254" s="3">
        <v>1538.06</v>
      </c>
      <c r="F254" s="2">
        <v>2023</v>
      </c>
      <c r="G254" s="2" t="s">
        <v>48</v>
      </c>
      <c r="H254" s="2" t="s">
        <v>29</v>
      </c>
      <c r="I254" s="2" t="s">
        <v>61</v>
      </c>
      <c r="J254" s="2" t="s">
        <v>31</v>
      </c>
      <c r="K254" s="2" t="s">
        <v>32</v>
      </c>
      <c r="L254" s="2" t="s">
        <v>33</v>
      </c>
      <c r="M254" s="8">
        <v>44984</v>
      </c>
      <c r="N254" s="2" t="s">
        <v>728</v>
      </c>
      <c r="O254" s="8">
        <v>44984</v>
      </c>
      <c r="P254" s="8">
        <v>44989</v>
      </c>
      <c r="Q254" s="2" t="s">
        <v>121</v>
      </c>
      <c r="R254" s="2" t="s">
        <v>236</v>
      </c>
      <c r="S254" s="2">
        <v>973390</v>
      </c>
      <c r="T254" s="2" t="s">
        <v>312</v>
      </c>
      <c r="U254" s="2" t="s">
        <v>313</v>
      </c>
      <c r="V254" s="2" t="s">
        <v>729</v>
      </c>
      <c r="W254" s="2">
        <v>9</v>
      </c>
      <c r="X254" s="4">
        <v>0.2</v>
      </c>
      <c r="Y254" s="3">
        <v>469.71</v>
      </c>
    </row>
    <row r="255" spans="1:25" x14ac:dyDescent="0.3">
      <c r="A255" s="2" t="s">
        <v>727</v>
      </c>
      <c r="B255" s="2" t="s">
        <v>234</v>
      </c>
      <c r="C255" s="2" t="s">
        <v>125</v>
      </c>
      <c r="D255" s="8">
        <v>24856</v>
      </c>
      <c r="E255" s="3">
        <v>239.1</v>
      </c>
      <c r="F255" s="2">
        <v>2024</v>
      </c>
      <c r="G255" s="2" t="s">
        <v>28</v>
      </c>
      <c r="H255" s="2" t="s">
        <v>29</v>
      </c>
      <c r="I255" s="2" t="s">
        <v>61</v>
      </c>
      <c r="J255" s="2" t="s">
        <v>31</v>
      </c>
      <c r="K255" s="2" t="s">
        <v>32</v>
      </c>
      <c r="L255" s="2" t="s">
        <v>33</v>
      </c>
      <c r="M255" s="8">
        <v>45311</v>
      </c>
      <c r="N255" s="2" t="s">
        <v>730</v>
      </c>
      <c r="O255" s="8">
        <v>45309</v>
      </c>
      <c r="P255" s="8">
        <v>45312</v>
      </c>
      <c r="Q255" s="2" t="s">
        <v>41</v>
      </c>
      <c r="R255" s="2" t="s">
        <v>236</v>
      </c>
      <c r="S255" s="2">
        <v>766275</v>
      </c>
      <c r="T255" s="2" t="s">
        <v>312</v>
      </c>
      <c r="U255" s="2" t="s">
        <v>313</v>
      </c>
      <c r="V255" s="2" t="s">
        <v>731</v>
      </c>
      <c r="W255" s="2">
        <v>1</v>
      </c>
      <c r="X255" s="4">
        <v>0</v>
      </c>
      <c r="Y255" s="3">
        <v>62.5</v>
      </c>
    </row>
    <row r="256" spans="1:25" x14ac:dyDescent="0.3">
      <c r="A256" s="2" t="s">
        <v>727</v>
      </c>
      <c r="B256" s="2" t="s">
        <v>234</v>
      </c>
      <c r="C256" s="2" t="s">
        <v>125</v>
      </c>
      <c r="D256" s="8">
        <v>24856</v>
      </c>
      <c r="E256" s="3">
        <v>1451.33</v>
      </c>
      <c r="F256" s="2">
        <v>2024</v>
      </c>
      <c r="G256" s="2" t="s">
        <v>87</v>
      </c>
      <c r="H256" s="2" t="s">
        <v>29</v>
      </c>
      <c r="I256" s="2" t="s">
        <v>78</v>
      </c>
      <c r="J256" s="2" t="s">
        <v>31</v>
      </c>
      <c r="K256" s="2" t="s">
        <v>32</v>
      </c>
      <c r="L256" s="2" t="s">
        <v>33</v>
      </c>
      <c r="M256" s="8">
        <v>45458</v>
      </c>
      <c r="N256" s="2" t="s">
        <v>732</v>
      </c>
      <c r="O256" s="8">
        <v>45454</v>
      </c>
      <c r="P256" s="8">
        <v>45458</v>
      </c>
      <c r="Q256" s="2" t="s">
        <v>74</v>
      </c>
      <c r="R256" s="2" t="s">
        <v>236</v>
      </c>
      <c r="S256" s="2">
        <v>460971</v>
      </c>
      <c r="T256" s="2" t="s">
        <v>135</v>
      </c>
      <c r="U256" s="2" t="s">
        <v>136</v>
      </c>
      <c r="V256" s="2" t="s">
        <v>733</v>
      </c>
      <c r="W256" s="2">
        <v>6</v>
      </c>
      <c r="X256" s="4">
        <v>0.05</v>
      </c>
      <c r="Y256" s="3">
        <v>149.88999999999999</v>
      </c>
    </row>
    <row r="257" spans="1:25" x14ac:dyDescent="0.3">
      <c r="A257" s="2" t="s">
        <v>727</v>
      </c>
      <c r="B257" s="2" t="s">
        <v>234</v>
      </c>
      <c r="C257" s="2" t="s">
        <v>125</v>
      </c>
      <c r="D257" s="8">
        <v>24856</v>
      </c>
      <c r="E257" s="3">
        <v>297.98</v>
      </c>
      <c r="F257" s="2">
        <v>2025</v>
      </c>
      <c r="G257" s="2" t="s">
        <v>48</v>
      </c>
      <c r="H257" s="2" t="s">
        <v>29</v>
      </c>
      <c r="I257" s="2" t="s">
        <v>61</v>
      </c>
      <c r="J257" s="2" t="s">
        <v>31</v>
      </c>
      <c r="K257" s="2" t="s">
        <v>32</v>
      </c>
      <c r="L257" s="2" t="s">
        <v>33</v>
      </c>
      <c r="M257" s="8">
        <v>45768</v>
      </c>
      <c r="N257" s="2" t="s">
        <v>734</v>
      </c>
      <c r="O257" s="8">
        <v>45767</v>
      </c>
      <c r="P257" s="8">
        <v>45772</v>
      </c>
      <c r="Q257" s="2" t="s">
        <v>121</v>
      </c>
      <c r="R257" s="2" t="s">
        <v>236</v>
      </c>
      <c r="S257" s="2">
        <v>810614</v>
      </c>
      <c r="T257" s="2" t="s">
        <v>204</v>
      </c>
      <c r="U257" s="2" t="s">
        <v>205</v>
      </c>
      <c r="V257" s="2" t="s">
        <v>735</v>
      </c>
      <c r="W257" s="2">
        <v>2</v>
      </c>
      <c r="X257" s="4">
        <v>0.05</v>
      </c>
      <c r="Y257" s="3">
        <v>19.34</v>
      </c>
    </row>
    <row r="258" spans="1:25" x14ac:dyDescent="0.3">
      <c r="A258" s="2" t="s">
        <v>736</v>
      </c>
      <c r="B258" s="2" t="s">
        <v>591</v>
      </c>
      <c r="C258" s="2" t="s">
        <v>284</v>
      </c>
      <c r="D258" s="8">
        <v>33228</v>
      </c>
      <c r="E258" s="3">
        <v>247.57</v>
      </c>
      <c r="F258" s="2">
        <v>2024</v>
      </c>
      <c r="G258" s="2" t="s">
        <v>48</v>
      </c>
      <c r="H258" s="2" t="s">
        <v>29</v>
      </c>
      <c r="I258" s="2" t="s">
        <v>30</v>
      </c>
      <c r="J258" s="2" t="s">
        <v>227</v>
      </c>
      <c r="K258" s="2" t="s">
        <v>32</v>
      </c>
      <c r="L258" s="2" t="s">
        <v>63</v>
      </c>
      <c r="M258" s="8">
        <v>45346</v>
      </c>
      <c r="N258" s="2" t="s">
        <v>737</v>
      </c>
      <c r="O258" s="8">
        <v>45346</v>
      </c>
      <c r="P258" s="8">
        <v>45351</v>
      </c>
      <c r="Q258" s="2" t="s">
        <v>74</v>
      </c>
      <c r="R258" s="2" t="s">
        <v>738</v>
      </c>
      <c r="S258" s="2">
        <v>737894</v>
      </c>
      <c r="T258" s="2" t="s">
        <v>75</v>
      </c>
      <c r="U258" s="2" t="s">
        <v>76</v>
      </c>
      <c r="V258" s="2" t="s">
        <v>739</v>
      </c>
      <c r="W258" s="2">
        <v>1</v>
      </c>
      <c r="X258" s="4">
        <v>0</v>
      </c>
      <c r="Y258" s="3">
        <v>60.46</v>
      </c>
    </row>
    <row r="259" spans="1:25" x14ac:dyDescent="0.3">
      <c r="A259" s="2" t="s">
        <v>736</v>
      </c>
      <c r="B259" s="2" t="s">
        <v>591</v>
      </c>
      <c r="C259" s="2" t="s">
        <v>284</v>
      </c>
      <c r="D259" s="8">
        <v>33228</v>
      </c>
      <c r="E259" s="3">
        <v>1061.29</v>
      </c>
      <c r="F259" s="2">
        <v>2024</v>
      </c>
      <c r="G259" s="2" t="s">
        <v>48</v>
      </c>
      <c r="H259" s="2" t="s">
        <v>29</v>
      </c>
      <c r="I259" s="2" t="s">
        <v>43</v>
      </c>
      <c r="J259" s="2" t="s">
        <v>227</v>
      </c>
      <c r="K259" s="2" t="s">
        <v>32</v>
      </c>
      <c r="L259" s="2" t="s">
        <v>63</v>
      </c>
      <c r="M259" s="8">
        <v>45596</v>
      </c>
      <c r="N259" s="2" t="s">
        <v>740</v>
      </c>
      <c r="O259" s="8">
        <v>45594</v>
      </c>
      <c r="P259" s="8">
        <v>45598</v>
      </c>
      <c r="Q259" s="2" t="s">
        <v>41</v>
      </c>
      <c r="R259" s="2" t="s">
        <v>738</v>
      </c>
      <c r="S259" s="2">
        <v>416822</v>
      </c>
      <c r="T259" s="2" t="s">
        <v>70</v>
      </c>
      <c r="U259" s="2" t="s">
        <v>71</v>
      </c>
      <c r="V259" s="2" t="s">
        <v>741</v>
      </c>
      <c r="W259" s="2">
        <v>5</v>
      </c>
      <c r="X259" s="4">
        <v>0.05</v>
      </c>
      <c r="Y259" s="3">
        <v>324.2</v>
      </c>
    </row>
    <row r="260" spans="1:25" x14ac:dyDescent="0.3">
      <c r="A260" s="2" t="s">
        <v>742</v>
      </c>
      <c r="B260" s="2" t="s">
        <v>743</v>
      </c>
      <c r="C260" s="2" t="s">
        <v>348</v>
      </c>
      <c r="D260" s="8">
        <v>34513</v>
      </c>
      <c r="E260" s="3">
        <v>3123.4</v>
      </c>
      <c r="F260" s="2">
        <v>2023</v>
      </c>
      <c r="G260" s="2" t="s">
        <v>28</v>
      </c>
      <c r="H260" s="2" t="s">
        <v>29</v>
      </c>
      <c r="I260" s="2" t="s">
        <v>78</v>
      </c>
      <c r="J260" s="2" t="s">
        <v>227</v>
      </c>
      <c r="K260" s="2" t="s">
        <v>32</v>
      </c>
      <c r="L260" s="2" t="s">
        <v>144</v>
      </c>
      <c r="M260" s="8">
        <v>45031</v>
      </c>
      <c r="N260" s="2" t="s">
        <v>744</v>
      </c>
      <c r="O260" s="8">
        <v>45031</v>
      </c>
      <c r="P260" s="8">
        <v>45035</v>
      </c>
      <c r="Q260" s="2" t="s">
        <v>74</v>
      </c>
      <c r="R260" s="2" t="s">
        <v>229</v>
      </c>
      <c r="S260" s="2">
        <v>771712</v>
      </c>
      <c r="T260" s="2" t="s">
        <v>117</v>
      </c>
      <c r="U260" s="2" t="s">
        <v>118</v>
      </c>
      <c r="V260" s="2" t="s">
        <v>745</v>
      </c>
      <c r="W260" s="2">
        <v>10</v>
      </c>
      <c r="X260" s="4">
        <v>0</v>
      </c>
      <c r="Y260" s="3">
        <v>797.48</v>
      </c>
    </row>
    <row r="261" spans="1:25" x14ac:dyDescent="0.3">
      <c r="A261" s="2" t="s">
        <v>742</v>
      </c>
      <c r="B261" s="2" t="s">
        <v>743</v>
      </c>
      <c r="C261" s="2" t="s">
        <v>348</v>
      </c>
      <c r="D261" s="8">
        <v>34513</v>
      </c>
      <c r="E261" s="3">
        <v>496.84</v>
      </c>
      <c r="F261" s="2">
        <v>2024</v>
      </c>
      <c r="G261" s="2" t="s">
        <v>87</v>
      </c>
      <c r="H261" s="2" t="s">
        <v>29</v>
      </c>
      <c r="I261" s="2" t="s">
        <v>43</v>
      </c>
      <c r="J261" s="2" t="s">
        <v>227</v>
      </c>
      <c r="K261" s="2" t="s">
        <v>32</v>
      </c>
      <c r="L261" s="2" t="s">
        <v>144</v>
      </c>
      <c r="M261" s="8">
        <v>45334</v>
      </c>
      <c r="N261" s="2" t="s">
        <v>746</v>
      </c>
      <c r="O261" s="8">
        <v>45333</v>
      </c>
      <c r="P261" s="8">
        <v>45334</v>
      </c>
      <c r="Q261" s="2" t="s">
        <v>74</v>
      </c>
      <c r="R261" s="2" t="s">
        <v>229</v>
      </c>
      <c r="S261" s="2">
        <v>813824</v>
      </c>
      <c r="T261" s="2" t="s">
        <v>153</v>
      </c>
      <c r="U261" s="2" t="s">
        <v>154</v>
      </c>
      <c r="V261" s="2" t="s">
        <v>747</v>
      </c>
      <c r="W261" s="2">
        <v>5</v>
      </c>
      <c r="X261" s="4">
        <v>0.1</v>
      </c>
      <c r="Y261" s="3">
        <v>138.94</v>
      </c>
    </row>
    <row r="262" spans="1:25" x14ac:dyDescent="0.3">
      <c r="A262" s="2" t="s">
        <v>742</v>
      </c>
      <c r="B262" s="2" t="s">
        <v>743</v>
      </c>
      <c r="C262" s="2" t="s">
        <v>348</v>
      </c>
      <c r="D262" s="8">
        <v>34513</v>
      </c>
      <c r="E262" s="3">
        <v>3990.32</v>
      </c>
      <c r="F262" s="2">
        <v>2024</v>
      </c>
      <c r="G262" s="2" t="s">
        <v>87</v>
      </c>
      <c r="H262" s="2" t="s">
        <v>29</v>
      </c>
      <c r="I262" s="2" t="s">
        <v>61</v>
      </c>
      <c r="J262" s="2" t="s">
        <v>227</v>
      </c>
      <c r="K262" s="2" t="s">
        <v>32</v>
      </c>
      <c r="L262" s="2" t="s">
        <v>144</v>
      </c>
      <c r="M262" s="8">
        <v>45528</v>
      </c>
      <c r="N262" s="2" t="s">
        <v>748</v>
      </c>
      <c r="O262" s="8">
        <v>45525</v>
      </c>
      <c r="P262" s="8">
        <v>45529</v>
      </c>
      <c r="Q262" s="2" t="s">
        <v>35</v>
      </c>
      <c r="R262" s="2" t="s">
        <v>229</v>
      </c>
      <c r="S262" s="2">
        <v>711344</v>
      </c>
      <c r="T262" s="2" t="s">
        <v>312</v>
      </c>
      <c r="U262" s="2" t="s">
        <v>313</v>
      </c>
      <c r="V262" s="2" t="s">
        <v>749</v>
      </c>
      <c r="W262" s="2">
        <v>8</v>
      </c>
      <c r="X262" s="4">
        <v>0</v>
      </c>
      <c r="Y262" s="3">
        <v>1285.18</v>
      </c>
    </row>
    <row r="263" spans="1:25" x14ac:dyDescent="0.3">
      <c r="A263" s="2" t="s">
        <v>742</v>
      </c>
      <c r="B263" s="2" t="s">
        <v>743</v>
      </c>
      <c r="C263" s="2" t="s">
        <v>348</v>
      </c>
      <c r="D263" s="8">
        <v>34513</v>
      </c>
      <c r="E263" s="3">
        <v>628.04999999999995</v>
      </c>
      <c r="F263" s="2">
        <v>2024</v>
      </c>
      <c r="G263" s="2" t="s">
        <v>28</v>
      </c>
      <c r="H263" s="2" t="s">
        <v>29</v>
      </c>
      <c r="I263" s="2" t="s">
        <v>49</v>
      </c>
      <c r="J263" s="2" t="s">
        <v>227</v>
      </c>
      <c r="K263" s="2" t="s">
        <v>32</v>
      </c>
      <c r="L263" s="2" t="s">
        <v>144</v>
      </c>
      <c r="M263" s="8">
        <v>45570</v>
      </c>
      <c r="N263" s="2" t="s">
        <v>750</v>
      </c>
      <c r="O263" s="8">
        <v>45565</v>
      </c>
      <c r="P263" s="8">
        <v>45570</v>
      </c>
      <c r="Q263" s="2" t="s">
        <v>74</v>
      </c>
      <c r="R263" s="2" t="s">
        <v>229</v>
      </c>
      <c r="S263" s="2">
        <v>631958</v>
      </c>
      <c r="T263" s="2" t="s">
        <v>51</v>
      </c>
      <c r="U263" s="2" t="s">
        <v>52</v>
      </c>
      <c r="V263" s="2" t="s">
        <v>751</v>
      </c>
      <c r="W263" s="2">
        <v>4</v>
      </c>
      <c r="X263" s="4">
        <v>0.15</v>
      </c>
      <c r="Y263" s="3">
        <v>73.3</v>
      </c>
    </row>
    <row r="264" spans="1:25" x14ac:dyDescent="0.3">
      <c r="A264" s="2" t="s">
        <v>742</v>
      </c>
      <c r="B264" s="2" t="s">
        <v>743</v>
      </c>
      <c r="C264" s="2" t="s">
        <v>348</v>
      </c>
      <c r="D264" s="8">
        <v>34513</v>
      </c>
      <c r="E264" s="3">
        <v>962.55</v>
      </c>
      <c r="F264" s="2">
        <v>2025</v>
      </c>
      <c r="G264" s="2" t="s">
        <v>87</v>
      </c>
      <c r="H264" s="2" t="s">
        <v>29</v>
      </c>
      <c r="I264" s="2" t="s">
        <v>43</v>
      </c>
      <c r="J264" s="2" t="s">
        <v>227</v>
      </c>
      <c r="K264" s="2" t="s">
        <v>32</v>
      </c>
      <c r="L264" s="2" t="s">
        <v>144</v>
      </c>
      <c r="M264" s="8">
        <v>45772</v>
      </c>
      <c r="N264" s="2" t="s">
        <v>752</v>
      </c>
      <c r="O264" s="8">
        <v>45771</v>
      </c>
      <c r="P264" s="8">
        <v>45774</v>
      </c>
      <c r="Q264" s="2" t="s">
        <v>74</v>
      </c>
      <c r="R264" s="2" t="s">
        <v>229</v>
      </c>
      <c r="S264" s="2">
        <v>786224</v>
      </c>
      <c r="T264" s="2" t="s">
        <v>45</v>
      </c>
      <c r="U264" s="2" t="s">
        <v>46</v>
      </c>
      <c r="V264" s="2" t="s">
        <v>753</v>
      </c>
      <c r="W264" s="2">
        <v>9</v>
      </c>
      <c r="X264" s="4">
        <v>0</v>
      </c>
      <c r="Y264" s="3">
        <v>184.07</v>
      </c>
    </row>
    <row r="265" spans="1:25" x14ac:dyDescent="0.3">
      <c r="A265" s="2" t="s">
        <v>754</v>
      </c>
      <c r="B265" s="2" t="s">
        <v>270</v>
      </c>
      <c r="C265" s="2" t="s">
        <v>271</v>
      </c>
      <c r="D265" s="8">
        <v>35477</v>
      </c>
      <c r="E265" s="3">
        <v>1071.4100000000001</v>
      </c>
      <c r="F265" s="2">
        <v>2023</v>
      </c>
      <c r="G265" s="2" t="s">
        <v>48</v>
      </c>
      <c r="H265" s="2" t="s">
        <v>29</v>
      </c>
      <c r="I265" s="2" t="s">
        <v>61</v>
      </c>
      <c r="J265" s="2" t="s">
        <v>143</v>
      </c>
      <c r="K265" s="2" t="s">
        <v>32</v>
      </c>
      <c r="L265" s="2" t="s">
        <v>144</v>
      </c>
      <c r="M265" s="8">
        <v>45291</v>
      </c>
      <c r="N265" s="2" t="s">
        <v>755</v>
      </c>
      <c r="O265" s="8">
        <v>45290</v>
      </c>
      <c r="P265" s="8">
        <v>45291</v>
      </c>
      <c r="Q265" s="2" t="s">
        <v>35</v>
      </c>
      <c r="R265" s="2" t="s">
        <v>309</v>
      </c>
      <c r="S265" s="2">
        <v>595158</v>
      </c>
      <c r="T265" s="2" t="s">
        <v>204</v>
      </c>
      <c r="U265" s="2" t="s">
        <v>205</v>
      </c>
      <c r="V265" s="2" t="s">
        <v>756</v>
      </c>
      <c r="W265" s="2">
        <v>6</v>
      </c>
      <c r="X265" s="4">
        <v>0.1</v>
      </c>
      <c r="Y265" s="3">
        <v>148.09</v>
      </c>
    </row>
    <row r="266" spans="1:25" x14ac:dyDescent="0.3">
      <c r="A266" s="2" t="s">
        <v>757</v>
      </c>
      <c r="B266" s="2" t="s">
        <v>626</v>
      </c>
      <c r="C266" s="2" t="s">
        <v>758</v>
      </c>
      <c r="D266" s="8">
        <v>34747</v>
      </c>
      <c r="E266" s="3">
        <v>257.82</v>
      </c>
      <c r="F266" s="2">
        <v>2023</v>
      </c>
      <c r="G266" s="2" t="s">
        <v>48</v>
      </c>
      <c r="H266" s="2" t="s">
        <v>163</v>
      </c>
      <c r="I266" s="2" t="s">
        <v>43</v>
      </c>
      <c r="J266" s="2" t="s">
        <v>143</v>
      </c>
      <c r="K266" s="2" t="s">
        <v>32</v>
      </c>
      <c r="L266" s="2" t="s">
        <v>144</v>
      </c>
      <c r="M266" s="8">
        <v>45052</v>
      </c>
      <c r="N266" s="2" t="s">
        <v>759</v>
      </c>
      <c r="O266" s="8">
        <v>45049</v>
      </c>
      <c r="P266" s="8">
        <v>45054</v>
      </c>
      <c r="Q266" s="2" t="s">
        <v>74</v>
      </c>
      <c r="R266" s="2" t="s">
        <v>421</v>
      </c>
      <c r="S266" s="2">
        <v>850432</v>
      </c>
      <c r="T266" s="2" t="s">
        <v>153</v>
      </c>
      <c r="U266" s="2" t="s">
        <v>154</v>
      </c>
      <c r="V266" s="2" t="s">
        <v>760</v>
      </c>
      <c r="W266" s="2">
        <v>3</v>
      </c>
      <c r="X266" s="4">
        <v>0</v>
      </c>
      <c r="Y266" s="3">
        <v>39.4</v>
      </c>
    </row>
    <row r="267" spans="1:25" x14ac:dyDescent="0.3">
      <c r="A267" s="2" t="s">
        <v>757</v>
      </c>
      <c r="B267" s="2" t="s">
        <v>626</v>
      </c>
      <c r="C267" s="2" t="s">
        <v>758</v>
      </c>
      <c r="D267" s="8">
        <v>34747</v>
      </c>
      <c r="E267" s="3">
        <v>1937.4</v>
      </c>
      <c r="F267" s="2">
        <v>2024</v>
      </c>
      <c r="G267" s="2" t="s">
        <v>28</v>
      </c>
      <c r="H267" s="2" t="s">
        <v>163</v>
      </c>
      <c r="I267" s="2" t="s">
        <v>61</v>
      </c>
      <c r="J267" s="2" t="s">
        <v>143</v>
      </c>
      <c r="K267" s="2" t="s">
        <v>32</v>
      </c>
      <c r="L267" s="2" t="s">
        <v>144</v>
      </c>
      <c r="M267" s="8">
        <v>45317</v>
      </c>
      <c r="N267" s="2" t="s">
        <v>761</v>
      </c>
      <c r="O267" s="8">
        <v>45317</v>
      </c>
      <c r="P267" s="8">
        <v>45318</v>
      </c>
      <c r="Q267" s="2" t="s">
        <v>74</v>
      </c>
      <c r="R267" s="2" t="s">
        <v>421</v>
      </c>
      <c r="S267" s="2">
        <v>319553</v>
      </c>
      <c r="T267" s="2" t="s">
        <v>312</v>
      </c>
      <c r="U267" s="2" t="s">
        <v>313</v>
      </c>
      <c r="V267" s="2" t="s">
        <v>762</v>
      </c>
      <c r="W267" s="2">
        <v>6</v>
      </c>
      <c r="X267" s="4">
        <v>0</v>
      </c>
      <c r="Y267" s="3">
        <v>279.02999999999997</v>
      </c>
    </row>
    <row r="268" spans="1:25" x14ac:dyDescent="0.3">
      <c r="A268" s="2" t="s">
        <v>757</v>
      </c>
      <c r="B268" s="2" t="s">
        <v>626</v>
      </c>
      <c r="C268" s="2" t="s">
        <v>758</v>
      </c>
      <c r="D268" s="8">
        <v>34747</v>
      </c>
      <c r="E268" s="3">
        <v>156.01</v>
      </c>
      <c r="F268" s="2">
        <v>2024</v>
      </c>
      <c r="G268" s="2" t="s">
        <v>28</v>
      </c>
      <c r="H268" s="2" t="s">
        <v>163</v>
      </c>
      <c r="I268" s="2" t="s">
        <v>61</v>
      </c>
      <c r="J268" s="2" t="s">
        <v>143</v>
      </c>
      <c r="K268" s="2" t="s">
        <v>32</v>
      </c>
      <c r="L268" s="2" t="s">
        <v>144</v>
      </c>
      <c r="M268" s="8">
        <v>45442</v>
      </c>
      <c r="N268" s="2" t="s">
        <v>763</v>
      </c>
      <c r="O268" s="8">
        <v>45439</v>
      </c>
      <c r="P268" s="8">
        <v>45443</v>
      </c>
      <c r="Q268" s="2" t="s">
        <v>41</v>
      </c>
      <c r="R268" s="2" t="s">
        <v>421</v>
      </c>
      <c r="S268" s="2">
        <v>104895</v>
      </c>
      <c r="T268" s="2" t="s">
        <v>66</v>
      </c>
      <c r="U268" s="2" t="s">
        <v>67</v>
      </c>
      <c r="V268" s="2" t="s">
        <v>764</v>
      </c>
      <c r="W268" s="2">
        <v>2</v>
      </c>
      <c r="X268" s="4">
        <v>0.05</v>
      </c>
      <c r="Y268" s="3">
        <v>37.450000000000003</v>
      </c>
    </row>
    <row r="269" spans="1:25" x14ac:dyDescent="0.3">
      <c r="A269" s="2" t="s">
        <v>757</v>
      </c>
      <c r="B269" s="2" t="s">
        <v>626</v>
      </c>
      <c r="C269" s="2" t="s">
        <v>758</v>
      </c>
      <c r="D269" s="8">
        <v>34747</v>
      </c>
      <c r="E269" s="3">
        <v>2856.18</v>
      </c>
      <c r="F269" s="2">
        <v>2024</v>
      </c>
      <c r="G269" s="2" t="s">
        <v>48</v>
      </c>
      <c r="H269" s="2" t="s">
        <v>163</v>
      </c>
      <c r="I269" s="2" t="s">
        <v>78</v>
      </c>
      <c r="J269" s="2" t="s">
        <v>143</v>
      </c>
      <c r="K269" s="2" t="s">
        <v>32</v>
      </c>
      <c r="L269" s="2" t="s">
        <v>144</v>
      </c>
      <c r="M269" s="8">
        <v>45470</v>
      </c>
      <c r="N269" s="2" t="s">
        <v>765</v>
      </c>
      <c r="O269" s="8">
        <v>45469</v>
      </c>
      <c r="P269" s="8">
        <v>45474</v>
      </c>
      <c r="Q269" s="2" t="s">
        <v>35</v>
      </c>
      <c r="R269" s="2" t="s">
        <v>421</v>
      </c>
      <c r="S269" s="2">
        <v>757128</v>
      </c>
      <c r="T269" s="2" t="s">
        <v>89</v>
      </c>
      <c r="U269" s="2" t="s">
        <v>90</v>
      </c>
      <c r="V269" s="2" t="s">
        <v>766</v>
      </c>
      <c r="W269" s="2">
        <v>6</v>
      </c>
      <c r="X269" s="4">
        <v>0</v>
      </c>
      <c r="Y269" s="3">
        <v>791.32</v>
      </c>
    </row>
    <row r="270" spans="1:25" x14ac:dyDescent="0.3">
      <c r="A270" s="2" t="s">
        <v>757</v>
      </c>
      <c r="B270" s="2" t="s">
        <v>626</v>
      </c>
      <c r="C270" s="2" t="s">
        <v>758</v>
      </c>
      <c r="D270" s="8">
        <v>34747</v>
      </c>
      <c r="E270" s="3">
        <v>1018.8</v>
      </c>
      <c r="F270" s="2">
        <v>2024</v>
      </c>
      <c r="G270" s="2" t="s">
        <v>48</v>
      </c>
      <c r="H270" s="2" t="s">
        <v>163</v>
      </c>
      <c r="I270" s="2" t="s">
        <v>49</v>
      </c>
      <c r="J270" s="2" t="s">
        <v>143</v>
      </c>
      <c r="K270" s="2" t="s">
        <v>32</v>
      </c>
      <c r="L270" s="2" t="s">
        <v>144</v>
      </c>
      <c r="M270" s="8">
        <v>45626</v>
      </c>
      <c r="N270" s="2" t="s">
        <v>767</v>
      </c>
      <c r="O270" s="8">
        <v>45624</v>
      </c>
      <c r="P270" s="8">
        <v>45629</v>
      </c>
      <c r="Q270" s="2" t="s">
        <v>35</v>
      </c>
      <c r="R270" s="2" t="s">
        <v>421</v>
      </c>
      <c r="S270" s="2">
        <v>963862</v>
      </c>
      <c r="T270" s="2" t="s">
        <v>109</v>
      </c>
      <c r="U270" s="2" t="s">
        <v>110</v>
      </c>
      <c r="V270" s="2" t="s">
        <v>768</v>
      </c>
      <c r="W270" s="2">
        <v>6</v>
      </c>
      <c r="X270" s="4">
        <v>0</v>
      </c>
      <c r="Y270" s="3">
        <v>168.17</v>
      </c>
    </row>
    <row r="271" spans="1:25" x14ac:dyDescent="0.3">
      <c r="A271" s="2" t="s">
        <v>757</v>
      </c>
      <c r="B271" s="2" t="s">
        <v>626</v>
      </c>
      <c r="C271" s="2" t="s">
        <v>758</v>
      </c>
      <c r="D271" s="8">
        <v>34747</v>
      </c>
      <c r="E271" s="3">
        <v>2659.39</v>
      </c>
      <c r="F271" s="2">
        <v>2025</v>
      </c>
      <c r="G271" s="2" t="s">
        <v>28</v>
      </c>
      <c r="H271" s="2" t="s">
        <v>163</v>
      </c>
      <c r="I271" s="2" t="s">
        <v>78</v>
      </c>
      <c r="J271" s="2" t="s">
        <v>143</v>
      </c>
      <c r="K271" s="2" t="s">
        <v>32</v>
      </c>
      <c r="L271" s="2" t="s">
        <v>144</v>
      </c>
      <c r="M271" s="8">
        <v>45816</v>
      </c>
      <c r="N271" s="2" t="s">
        <v>769</v>
      </c>
      <c r="O271" s="8">
        <v>45815</v>
      </c>
      <c r="P271" s="8">
        <v>45819</v>
      </c>
      <c r="Q271" s="2" t="s">
        <v>41</v>
      </c>
      <c r="R271" s="2" t="s">
        <v>421</v>
      </c>
      <c r="S271" s="2">
        <v>476701</v>
      </c>
      <c r="T271" s="2" t="s">
        <v>117</v>
      </c>
      <c r="U271" s="2" t="s">
        <v>118</v>
      </c>
      <c r="V271" s="2" t="s">
        <v>770</v>
      </c>
      <c r="W271" s="2">
        <v>8</v>
      </c>
      <c r="X271" s="4">
        <v>0.1</v>
      </c>
      <c r="Y271" s="3">
        <v>551.12</v>
      </c>
    </row>
    <row r="272" spans="1:25" x14ac:dyDescent="0.3">
      <c r="A272" s="2" t="s">
        <v>771</v>
      </c>
      <c r="B272" s="2" t="s">
        <v>661</v>
      </c>
      <c r="C272" s="2" t="s">
        <v>211</v>
      </c>
      <c r="D272" s="8">
        <v>24931</v>
      </c>
      <c r="E272" s="3">
        <v>303.05</v>
      </c>
      <c r="F272" s="2">
        <v>2023</v>
      </c>
      <c r="G272" s="2" t="s">
        <v>87</v>
      </c>
      <c r="H272" s="2" t="s">
        <v>29</v>
      </c>
      <c r="I272" s="2" t="s">
        <v>61</v>
      </c>
      <c r="J272" s="2" t="s">
        <v>102</v>
      </c>
      <c r="K272" s="2" t="s">
        <v>32</v>
      </c>
      <c r="L272" s="2" t="s">
        <v>63</v>
      </c>
      <c r="M272" s="8">
        <v>44947</v>
      </c>
      <c r="N272" s="2" t="s">
        <v>772</v>
      </c>
      <c r="O272" s="8">
        <v>44946</v>
      </c>
      <c r="P272" s="8">
        <v>44947</v>
      </c>
      <c r="Q272" s="2" t="s">
        <v>74</v>
      </c>
      <c r="R272" s="2" t="s">
        <v>165</v>
      </c>
      <c r="S272" s="2">
        <v>908713</v>
      </c>
      <c r="T272" s="2" t="s">
        <v>66</v>
      </c>
      <c r="U272" s="2" t="s">
        <v>67</v>
      </c>
      <c r="V272" s="2" t="s">
        <v>773</v>
      </c>
      <c r="W272" s="2">
        <v>1</v>
      </c>
      <c r="X272" s="4">
        <v>0</v>
      </c>
      <c r="Y272" s="3">
        <v>26.35</v>
      </c>
    </row>
    <row r="273" spans="1:25" x14ac:dyDescent="0.3">
      <c r="A273" s="2" t="s">
        <v>771</v>
      </c>
      <c r="B273" s="2" t="s">
        <v>661</v>
      </c>
      <c r="C273" s="2" t="s">
        <v>211</v>
      </c>
      <c r="D273" s="8">
        <v>24931</v>
      </c>
      <c r="E273" s="3">
        <v>4228.32</v>
      </c>
      <c r="F273" s="2">
        <v>2023</v>
      </c>
      <c r="G273" s="2" t="s">
        <v>87</v>
      </c>
      <c r="H273" s="2" t="s">
        <v>29</v>
      </c>
      <c r="I273" s="2" t="s">
        <v>30</v>
      </c>
      <c r="J273" s="2" t="s">
        <v>102</v>
      </c>
      <c r="K273" s="2" t="s">
        <v>32</v>
      </c>
      <c r="L273" s="2" t="s">
        <v>63</v>
      </c>
      <c r="M273" s="8">
        <v>45095</v>
      </c>
      <c r="N273" s="2" t="s">
        <v>774</v>
      </c>
      <c r="O273" s="8">
        <v>45095</v>
      </c>
      <c r="P273" s="8">
        <v>45096</v>
      </c>
      <c r="Q273" s="2" t="s">
        <v>35</v>
      </c>
      <c r="R273" s="2" t="s">
        <v>165</v>
      </c>
      <c r="S273" s="2">
        <v>537020</v>
      </c>
      <c r="T273" s="2" t="s">
        <v>55</v>
      </c>
      <c r="U273" s="2" t="s">
        <v>56</v>
      </c>
      <c r="V273" s="2" t="s">
        <v>775</v>
      </c>
      <c r="W273" s="2">
        <v>10</v>
      </c>
      <c r="X273" s="4">
        <v>0.15</v>
      </c>
      <c r="Y273" s="3">
        <v>348.56</v>
      </c>
    </row>
    <row r="274" spans="1:25" x14ac:dyDescent="0.3">
      <c r="A274" s="2" t="s">
        <v>771</v>
      </c>
      <c r="B274" s="2" t="s">
        <v>661</v>
      </c>
      <c r="C274" s="2" t="s">
        <v>211</v>
      </c>
      <c r="D274" s="8">
        <v>24931</v>
      </c>
      <c r="E274" s="3">
        <v>1081.02</v>
      </c>
      <c r="F274" s="2">
        <v>2023</v>
      </c>
      <c r="G274" s="2" t="s">
        <v>28</v>
      </c>
      <c r="H274" s="2" t="s">
        <v>29</v>
      </c>
      <c r="I274" s="2" t="s">
        <v>92</v>
      </c>
      <c r="J274" s="2" t="s">
        <v>102</v>
      </c>
      <c r="K274" s="2" t="s">
        <v>32</v>
      </c>
      <c r="L274" s="2" t="s">
        <v>63</v>
      </c>
      <c r="M274" s="8">
        <v>45161</v>
      </c>
      <c r="N274" s="2" t="s">
        <v>776</v>
      </c>
      <c r="O274" s="8">
        <v>45160</v>
      </c>
      <c r="P274" s="8">
        <v>45161</v>
      </c>
      <c r="Q274" s="2" t="s">
        <v>35</v>
      </c>
      <c r="R274" s="2" t="s">
        <v>165</v>
      </c>
      <c r="S274" s="2">
        <v>794663</v>
      </c>
      <c r="T274" s="2" t="s">
        <v>127</v>
      </c>
      <c r="U274" s="2" t="s">
        <v>128</v>
      </c>
      <c r="V274" s="2" t="s">
        <v>777</v>
      </c>
      <c r="W274" s="2">
        <v>9</v>
      </c>
      <c r="X274" s="4">
        <v>0.15</v>
      </c>
      <c r="Y274" s="3">
        <v>103.71</v>
      </c>
    </row>
    <row r="275" spans="1:25" x14ac:dyDescent="0.3">
      <c r="A275" s="2" t="s">
        <v>771</v>
      </c>
      <c r="B275" s="2" t="s">
        <v>661</v>
      </c>
      <c r="C275" s="2" t="s">
        <v>211</v>
      </c>
      <c r="D275" s="8">
        <v>24931</v>
      </c>
      <c r="E275" s="3">
        <v>3385.32</v>
      </c>
      <c r="F275" s="2">
        <v>2024</v>
      </c>
      <c r="G275" s="2" t="s">
        <v>28</v>
      </c>
      <c r="H275" s="2" t="s">
        <v>29</v>
      </c>
      <c r="I275" s="2" t="s">
        <v>30</v>
      </c>
      <c r="J275" s="2" t="s">
        <v>102</v>
      </c>
      <c r="K275" s="2" t="s">
        <v>32</v>
      </c>
      <c r="L275" s="2" t="s">
        <v>63</v>
      </c>
      <c r="M275" s="8">
        <v>45340</v>
      </c>
      <c r="N275" s="2" t="s">
        <v>778</v>
      </c>
      <c r="O275" s="8">
        <v>45340</v>
      </c>
      <c r="P275" s="8">
        <v>45341</v>
      </c>
      <c r="Q275" s="2" t="s">
        <v>35</v>
      </c>
      <c r="R275" s="2" t="s">
        <v>165</v>
      </c>
      <c r="S275" s="2">
        <v>922880</v>
      </c>
      <c r="T275" s="2" t="s">
        <v>37</v>
      </c>
      <c r="U275" s="2" t="s">
        <v>38</v>
      </c>
      <c r="V275" s="2" t="s">
        <v>779</v>
      </c>
      <c r="W275" s="2">
        <v>10</v>
      </c>
      <c r="X275" s="4">
        <v>0.05</v>
      </c>
      <c r="Y275" s="3">
        <v>1012.87</v>
      </c>
    </row>
    <row r="276" spans="1:25" x14ac:dyDescent="0.3">
      <c r="A276" s="2" t="s">
        <v>771</v>
      </c>
      <c r="B276" s="2" t="s">
        <v>661</v>
      </c>
      <c r="C276" s="2" t="s">
        <v>211</v>
      </c>
      <c r="D276" s="8">
        <v>24931</v>
      </c>
      <c r="E276" s="3">
        <v>1158.8</v>
      </c>
      <c r="F276" s="2">
        <v>2025</v>
      </c>
      <c r="G276" s="2" t="s">
        <v>87</v>
      </c>
      <c r="H276" s="2" t="s">
        <v>29</v>
      </c>
      <c r="I276" s="2" t="s">
        <v>78</v>
      </c>
      <c r="J276" s="2" t="s">
        <v>102</v>
      </c>
      <c r="K276" s="2" t="s">
        <v>32</v>
      </c>
      <c r="L276" s="2" t="s">
        <v>63</v>
      </c>
      <c r="M276" s="8">
        <v>45759</v>
      </c>
      <c r="N276" s="2" t="s">
        <v>780</v>
      </c>
      <c r="O276" s="8">
        <v>45758</v>
      </c>
      <c r="P276" s="8">
        <v>45760</v>
      </c>
      <c r="Q276" s="2" t="s">
        <v>41</v>
      </c>
      <c r="R276" s="2" t="s">
        <v>165</v>
      </c>
      <c r="S276" s="2">
        <v>409698</v>
      </c>
      <c r="T276" s="2" t="s">
        <v>80</v>
      </c>
      <c r="U276" s="2" t="s">
        <v>81</v>
      </c>
      <c r="V276" s="2" t="s">
        <v>781</v>
      </c>
      <c r="W276" s="2">
        <v>10</v>
      </c>
      <c r="X276" s="4">
        <v>0</v>
      </c>
      <c r="Y276" s="3">
        <v>347</v>
      </c>
    </row>
    <row r="277" spans="1:25" x14ac:dyDescent="0.3">
      <c r="A277" s="2" t="s">
        <v>782</v>
      </c>
      <c r="B277" s="2" t="s">
        <v>591</v>
      </c>
      <c r="C277" s="2" t="s">
        <v>27</v>
      </c>
      <c r="D277" s="8">
        <v>24943</v>
      </c>
      <c r="E277" s="3">
        <v>72.45</v>
      </c>
      <c r="F277" s="2">
        <v>2024</v>
      </c>
      <c r="G277" s="2" t="s">
        <v>48</v>
      </c>
      <c r="H277" s="2" t="s">
        <v>29</v>
      </c>
      <c r="I277" s="2" t="s">
        <v>61</v>
      </c>
      <c r="J277" s="2" t="s">
        <v>62</v>
      </c>
      <c r="K277" s="2" t="s">
        <v>32</v>
      </c>
      <c r="L277" s="2" t="s">
        <v>63</v>
      </c>
      <c r="M277" s="8">
        <v>45436</v>
      </c>
      <c r="N277" s="2" t="s">
        <v>783</v>
      </c>
      <c r="O277" s="8">
        <v>45435</v>
      </c>
      <c r="P277" s="8">
        <v>45436</v>
      </c>
      <c r="Q277" s="2" t="s">
        <v>35</v>
      </c>
      <c r="R277" s="2" t="s">
        <v>65</v>
      </c>
      <c r="S277" s="2">
        <v>917392</v>
      </c>
      <c r="T277" s="2" t="s">
        <v>113</v>
      </c>
      <c r="U277" s="2" t="s">
        <v>114</v>
      </c>
      <c r="V277" s="2" t="s">
        <v>784</v>
      </c>
      <c r="W277" s="2">
        <v>4</v>
      </c>
      <c r="X277" s="4">
        <v>0.15</v>
      </c>
      <c r="Y277" s="3">
        <v>5.56</v>
      </c>
    </row>
    <row r="278" spans="1:25" x14ac:dyDescent="0.3">
      <c r="A278" s="2" t="s">
        <v>782</v>
      </c>
      <c r="B278" s="2" t="s">
        <v>591</v>
      </c>
      <c r="C278" s="2" t="s">
        <v>27</v>
      </c>
      <c r="D278" s="8">
        <v>24943</v>
      </c>
      <c r="E278" s="3">
        <v>772.29</v>
      </c>
      <c r="F278" s="2">
        <v>2024</v>
      </c>
      <c r="G278" s="2" t="s">
        <v>28</v>
      </c>
      <c r="H278" s="2" t="s">
        <v>29</v>
      </c>
      <c r="I278" s="2" t="s">
        <v>30</v>
      </c>
      <c r="J278" s="2" t="s">
        <v>62</v>
      </c>
      <c r="K278" s="2" t="s">
        <v>32</v>
      </c>
      <c r="L278" s="2" t="s">
        <v>63</v>
      </c>
      <c r="M278" s="8">
        <v>45490</v>
      </c>
      <c r="N278" s="2" t="s">
        <v>785</v>
      </c>
      <c r="O278" s="8">
        <v>45488</v>
      </c>
      <c r="P278" s="8">
        <v>45491</v>
      </c>
      <c r="Q278" s="2" t="s">
        <v>35</v>
      </c>
      <c r="R278" s="2" t="s">
        <v>65</v>
      </c>
      <c r="S278" s="2">
        <v>204657</v>
      </c>
      <c r="T278" s="2" t="s">
        <v>75</v>
      </c>
      <c r="U278" s="2" t="s">
        <v>76</v>
      </c>
      <c r="V278" s="2" t="s">
        <v>786</v>
      </c>
      <c r="W278" s="2">
        <v>2</v>
      </c>
      <c r="X278" s="4">
        <v>0.15</v>
      </c>
      <c r="Y278" s="3">
        <v>92.17</v>
      </c>
    </row>
    <row r="279" spans="1:25" x14ac:dyDescent="0.3">
      <c r="A279" s="2" t="s">
        <v>787</v>
      </c>
      <c r="B279" s="2" t="s">
        <v>788</v>
      </c>
      <c r="C279" s="2" t="s">
        <v>758</v>
      </c>
      <c r="D279" s="8">
        <v>29461</v>
      </c>
      <c r="E279" s="3">
        <v>104.96</v>
      </c>
      <c r="F279" s="2">
        <v>2023</v>
      </c>
      <c r="G279" s="2" t="s">
        <v>87</v>
      </c>
      <c r="H279" s="2" t="s">
        <v>29</v>
      </c>
      <c r="I279" s="2" t="s">
        <v>49</v>
      </c>
      <c r="J279" s="2" t="s">
        <v>102</v>
      </c>
      <c r="K279" s="2" t="s">
        <v>32</v>
      </c>
      <c r="L279" s="2" t="s">
        <v>144</v>
      </c>
      <c r="M279" s="8">
        <v>44967</v>
      </c>
      <c r="N279" s="2" t="s">
        <v>789</v>
      </c>
      <c r="O279" s="8">
        <v>44967</v>
      </c>
      <c r="P279" s="8">
        <v>44968</v>
      </c>
      <c r="Q279" s="2" t="s">
        <v>121</v>
      </c>
      <c r="R279" s="2" t="s">
        <v>104</v>
      </c>
      <c r="S279" s="2">
        <v>444625</v>
      </c>
      <c r="T279" s="2" t="s">
        <v>84</v>
      </c>
      <c r="U279" s="2" t="s">
        <v>85</v>
      </c>
      <c r="V279" s="2" t="s">
        <v>790</v>
      </c>
      <c r="W279" s="2">
        <v>2</v>
      </c>
      <c r="X279" s="4">
        <v>0.2</v>
      </c>
      <c r="Y279" s="3">
        <v>33.28</v>
      </c>
    </row>
    <row r="280" spans="1:25" x14ac:dyDescent="0.3">
      <c r="A280" s="2" t="s">
        <v>787</v>
      </c>
      <c r="B280" s="2" t="s">
        <v>788</v>
      </c>
      <c r="C280" s="2" t="s">
        <v>758</v>
      </c>
      <c r="D280" s="8">
        <v>29461</v>
      </c>
      <c r="E280" s="3">
        <v>2208.35</v>
      </c>
      <c r="F280" s="2">
        <v>2023</v>
      </c>
      <c r="G280" s="2" t="s">
        <v>48</v>
      </c>
      <c r="H280" s="2" t="s">
        <v>29</v>
      </c>
      <c r="I280" s="2" t="s">
        <v>43</v>
      </c>
      <c r="J280" s="2" t="s">
        <v>102</v>
      </c>
      <c r="K280" s="2" t="s">
        <v>32</v>
      </c>
      <c r="L280" s="2" t="s">
        <v>144</v>
      </c>
      <c r="M280" s="8">
        <v>45225</v>
      </c>
      <c r="N280" s="2" t="s">
        <v>791</v>
      </c>
      <c r="O280" s="8">
        <v>45224</v>
      </c>
      <c r="P280" s="8">
        <v>45227</v>
      </c>
      <c r="Q280" s="2" t="s">
        <v>41</v>
      </c>
      <c r="R280" s="2" t="s">
        <v>104</v>
      </c>
      <c r="S280" s="2">
        <v>519692</v>
      </c>
      <c r="T280" s="2" t="s">
        <v>153</v>
      </c>
      <c r="U280" s="2" t="s">
        <v>154</v>
      </c>
      <c r="V280" s="2" t="s">
        <v>792</v>
      </c>
      <c r="W280" s="2">
        <v>5</v>
      </c>
      <c r="X280" s="4">
        <v>0</v>
      </c>
      <c r="Y280" s="3">
        <v>357.28</v>
      </c>
    </row>
    <row r="281" spans="1:25" x14ac:dyDescent="0.3">
      <c r="A281" s="2" t="s">
        <v>787</v>
      </c>
      <c r="B281" s="2" t="s">
        <v>788</v>
      </c>
      <c r="C281" s="2" t="s">
        <v>758</v>
      </c>
      <c r="D281" s="8">
        <v>29461</v>
      </c>
      <c r="E281" s="3">
        <v>2335.15</v>
      </c>
      <c r="F281" s="2">
        <v>2024</v>
      </c>
      <c r="G281" s="2" t="s">
        <v>48</v>
      </c>
      <c r="H281" s="2" t="s">
        <v>29</v>
      </c>
      <c r="I281" s="2" t="s">
        <v>92</v>
      </c>
      <c r="J281" s="2" t="s">
        <v>102</v>
      </c>
      <c r="K281" s="2" t="s">
        <v>32</v>
      </c>
      <c r="L281" s="2" t="s">
        <v>144</v>
      </c>
      <c r="M281" s="8">
        <v>45295</v>
      </c>
      <c r="N281" s="2" t="s">
        <v>793</v>
      </c>
      <c r="O281" s="8">
        <v>45295</v>
      </c>
      <c r="P281" s="8">
        <v>45297</v>
      </c>
      <c r="Q281" s="2" t="s">
        <v>35</v>
      </c>
      <c r="R281" s="2" t="s">
        <v>104</v>
      </c>
      <c r="S281" s="2">
        <v>985364</v>
      </c>
      <c r="T281" s="2" t="s">
        <v>94</v>
      </c>
      <c r="U281" s="2" t="s">
        <v>95</v>
      </c>
      <c r="V281" s="2" t="s">
        <v>794</v>
      </c>
      <c r="W281" s="2">
        <v>7</v>
      </c>
      <c r="X281" s="4">
        <v>0.05</v>
      </c>
      <c r="Y281" s="3">
        <v>677.12</v>
      </c>
    </row>
    <row r="282" spans="1:25" x14ac:dyDescent="0.3">
      <c r="A282" s="2" t="s">
        <v>787</v>
      </c>
      <c r="B282" s="2" t="s">
        <v>788</v>
      </c>
      <c r="C282" s="2" t="s">
        <v>758</v>
      </c>
      <c r="D282" s="8">
        <v>29461</v>
      </c>
      <c r="E282" s="3">
        <v>2265.12</v>
      </c>
      <c r="F282" s="2">
        <v>2025</v>
      </c>
      <c r="G282" s="2" t="s">
        <v>28</v>
      </c>
      <c r="H282" s="2" t="s">
        <v>29</v>
      </c>
      <c r="I282" s="2" t="s">
        <v>61</v>
      </c>
      <c r="J282" s="2" t="s">
        <v>102</v>
      </c>
      <c r="K282" s="2" t="s">
        <v>32</v>
      </c>
      <c r="L282" s="2" t="s">
        <v>144</v>
      </c>
      <c r="M282" s="8">
        <v>45749</v>
      </c>
      <c r="N282" s="2" t="s">
        <v>795</v>
      </c>
      <c r="O282" s="8">
        <v>45747</v>
      </c>
      <c r="P282" s="8">
        <v>45749</v>
      </c>
      <c r="Q282" s="2" t="s">
        <v>74</v>
      </c>
      <c r="R282" s="2" t="s">
        <v>104</v>
      </c>
      <c r="S282" s="2">
        <v>741055</v>
      </c>
      <c r="T282" s="2" t="s">
        <v>312</v>
      </c>
      <c r="U282" s="2" t="s">
        <v>313</v>
      </c>
      <c r="V282" s="2" t="s">
        <v>796</v>
      </c>
      <c r="W282" s="2">
        <v>10</v>
      </c>
      <c r="X282" s="4">
        <v>0.1</v>
      </c>
      <c r="Y282" s="3">
        <v>574.25</v>
      </c>
    </row>
    <row r="283" spans="1:25" x14ac:dyDescent="0.3">
      <c r="A283" s="2" t="s">
        <v>787</v>
      </c>
      <c r="B283" s="2" t="s">
        <v>788</v>
      </c>
      <c r="C283" s="2" t="s">
        <v>758</v>
      </c>
      <c r="D283" s="8">
        <v>29461</v>
      </c>
      <c r="E283" s="3">
        <v>564</v>
      </c>
      <c r="F283" s="2">
        <v>2025</v>
      </c>
      <c r="G283" s="2" t="s">
        <v>87</v>
      </c>
      <c r="H283" s="2" t="s">
        <v>29</v>
      </c>
      <c r="I283" s="2" t="s">
        <v>78</v>
      </c>
      <c r="J283" s="2" t="s">
        <v>102</v>
      </c>
      <c r="K283" s="2" t="s">
        <v>32</v>
      </c>
      <c r="L283" s="2" t="s">
        <v>144</v>
      </c>
      <c r="M283" s="8">
        <v>45800</v>
      </c>
      <c r="N283" s="2" t="s">
        <v>797</v>
      </c>
      <c r="O283" s="8">
        <v>45799</v>
      </c>
      <c r="P283" s="8">
        <v>45800</v>
      </c>
      <c r="Q283" s="2" t="s">
        <v>74</v>
      </c>
      <c r="R283" s="2" t="s">
        <v>104</v>
      </c>
      <c r="S283" s="2">
        <v>112960</v>
      </c>
      <c r="T283" s="2" t="s">
        <v>89</v>
      </c>
      <c r="U283" s="2" t="s">
        <v>90</v>
      </c>
      <c r="V283" s="2" t="s">
        <v>798</v>
      </c>
      <c r="W283" s="2">
        <v>8</v>
      </c>
      <c r="X283" s="4">
        <v>0.05</v>
      </c>
      <c r="Y283" s="3">
        <v>102.76</v>
      </c>
    </row>
    <row r="284" spans="1:25" x14ac:dyDescent="0.3">
      <c r="A284" s="2" t="s">
        <v>787</v>
      </c>
      <c r="B284" s="2" t="s">
        <v>788</v>
      </c>
      <c r="C284" s="2" t="s">
        <v>758</v>
      </c>
      <c r="D284" s="8">
        <v>29461</v>
      </c>
      <c r="E284" s="3">
        <v>3674.1</v>
      </c>
      <c r="F284" s="2">
        <v>2025</v>
      </c>
      <c r="G284" s="2" t="s">
        <v>28</v>
      </c>
      <c r="H284" s="2" t="s">
        <v>29</v>
      </c>
      <c r="I284" s="2" t="s">
        <v>49</v>
      </c>
      <c r="J284" s="2" t="s">
        <v>102</v>
      </c>
      <c r="K284" s="2" t="s">
        <v>32</v>
      </c>
      <c r="L284" s="2" t="s">
        <v>144</v>
      </c>
      <c r="M284" s="8">
        <v>45822</v>
      </c>
      <c r="N284" s="2" t="s">
        <v>799</v>
      </c>
      <c r="O284" s="8">
        <v>45822</v>
      </c>
      <c r="P284" s="8">
        <v>45825</v>
      </c>
      <c r="Q284" s="2" t="s">
        <v>121</v>
      </c>
      <c r="R284" s="2" t="s">
        <v>104</v>
      </c>
      <c r="S284" s="2">
        <v>605339</v>
      </c>
      <c r="T284" s="2" t="s">
        <v>51</v>
      </c>
      <c r="U284" s="2" t="s">
        <v>52</v>
      </c>
      <c r="V284" s="2" t="s">
        <v>800</v>
      </c>
      <c r="W284" s="2">
        <v>10</v>
      </c>
      <c r="X284" s="4">
        <v>0</v>
      </c>
      <c r="Y284" s="3">
        <v>1261.57</v>
      </c>
    </row>
    <row r="285" spans="1:25" x14ac:dyDescent="0.3">
      <c r="A285" s="2" t="s">
        <v>801</v>
      </c>
      <c r="B285" s="2" t="s">
        <v>802</v>
      </c>
      <c r="C285" s="2" t="s">
        <v>712</v>
      </c>
      <c r="D285" s="8">
        <v>30922</v>
      </c>
      <c r="E285" s="3">
        <v>748.61</v>
      </c>
      <c r="F285" s="2">
        <v>2024</v>
      </c>
      <c r="G285" s="2" t="s">
        <v>28</v>
      </c>
      <c r="H285" s="2" t="s">
        <v>29</v>
      </c>
      <c r="I285" s="2" t="s">
        <v>61</v>
      </c>
      <c r="J285" s="2" t="s">
        <v>62</v>
      </c>
      <c r="K285" s="2" t="s">
        <v>32</v>
      </c>
      <c r="L285" s="2" t="s">
        <v>63</v>
      </c>
      <c r="M285" s="8">
        <v>45321</v>
      </c>
      <c r="N285" s="2" t="s">
        <v>803</v>
      </c>
      <c r="O285" s="8">
        <v>45321</v>
      </c>
      <c r="P285" s="8">
        <v>45323</v>
      </c>
      <c r="Q285" s="2" t="s">
        <v>74</v>
      </c>
      <c r="R285" s="2" t="s">
        <v>65</v>
      </c>
      <c r="S285" s="2">
        <v>352593</v>
      </c>
      <c r="T285" s="2" t="s">
        <v>312</v>
      </c>
      <c r="U285" s="2" t="s">
        <v>313</v>
      </c>
      <c r="V285" s="2" t="s">
        <v>804</v>
      </c>
      <c r="W285" s="2">
        <v>3</v>
      </c>
      <c r="X285" s="4">
        <v>0.05</v>
      </c>
      <c r="Y285" s="3">
        <v>228.75</v>
      </c>
    </row>
    <row r="286" spans="1:25" x14ac:dyDescent="0.3">
      <c r="A286" s="2" t="s">
        <v>801</v>
      </c>
      <c r="B286" s="2" t="s">
        <v>802</v>
      </c>
      <c r="C286" s="2" t="s">
        <v>712</v>
      </c>
      <c r="D286" s="8">
        <v>30922</v>
      </c>
      <c r="E286" s="3">
        <v>970.79</v>
      </c>
      <c r="F286" s="2">
        <v>2024</v>
      </c>
      <c r="G286" s="2" t="s">
        <v>28</v>
      </c>
      <c r="H286" s="2" t="s">
        <v>29</v>
      </c>
      <c r="I286" s="2" t="s">
        <v>43</v>
      </c>
      <c r="J286" s="2" t="s">
        <v>62</v>
      </c>
      <c r="K286" s="2" t="s">
        <v>32</v>
      </c>
      <c r="L286" s="2" t="s">
        <v>63</v>
      </c>
      <c r="M286" s="8">
        <v>45583</v>
      </c>
      <c r="N286" s="2" t="s">
        <v>805</v>
      </c>
      <c r="O286" s="8">
        <v>45583</v>
      </c>
      <c r="P286" s="8">
        <v>45585</v>
      </c>
      <c r="Q286" s="2" t="s">
        <v>41</v>
      </c>
      <c r="R286" s="2" t="s">
        <v>65</v>
      </c>
      <c r="S286" s="2">
        <v>940183</v>
      </c>
      <c r="T286" s="2" t="s">
        <v>153</v>
      </c>
      <c r="U286" s="2" t="s">
        <v>154</v>
      </c>
      <c r="V286" s="2" t="s">
        <v>806</v>
      </c>
      <c r="W286" s="2">
        <v>9</v>
      </c>
      <c r="X286" s="4">
        <v>0.15</v>
      </c>
      <c r="Y286" s="3">
        <v>158.81</v>
      </c>
    </row>
    <row r="287" spans="1:25" x14ac:dyDescent="0.3">
      <c r="A287" s="2" t="s">
        <v>801</v>
      </c>
      <c r="B287" s="2" t="s">
        <v>802</v>
      </c>
      <c r="C287" s="2" t="s">
        <v>712</v>
      </c>
      <c r="D287" s="8">
        <v>30922</v>
      </c>
      <c r="E287" s="3">
        <v>1876.72</v>
      </c>
      <c r="F287" s="2">
        <v>2024</v>
      </c>
      <c r="G287" s="2" t="s">
        <v>28</v>
      </c>
      <c r="H287" s="2" t="s">
        <v>29</v>
      </c>
      <c r="I287" s="2" t="s">
        <v>30</v>
      </c>
      <c r="J287" s="2" t="s">
        <v>62</v>
      </c>
      <c r="K287" s="2" t="s">
        <v>32</v>
      </c>
      <c r="L287" s="2" t="s">
        <v>63</v>
      </c>
      <c r="M287" s="8">
        <v>45619</v>
      </c>
      <c r="N287" s="2" t="s">
        <v>807</v>
      </c>
      <c r="O287" s="8">
        <v>45619</v>
      </c>
      <c r="P287" s="8">
        <v>45620</v>
      </c>
      <c r="Q287" s="2" t="s">
        <v>41</v>
      </c>
      <c r="R287" s="2" t="s">
        <v>65</v>
      </c>
      <c r="S287" s="2">
        <v>137572</v>
      </c>
      <c r="T287" s="2" t="s">
        <v>37</v>
      </c>
      <c r="U287" s="2" t="s">
        <v>38</v>
      </c>
      <c r="V287" s="2" t="s">
        <v>808</v>
      </c>
      <c r="W287" s="2">
        <v>8</v>
      </c>
      <c r="X287" s="4">
        <v>0</v>
      </c>
      <c r="Y287" s="3">
        <v>645.97</v>
      </c>
    </row>
    <row r="288" spans="1:25" x14ac:dyDescent="0.3">
      <c r="A288" s="2" t="s">
        <v>809</v>
      </c>
      <c r="B288" s="2" t="s">
        <v>141</v>
      </c>
      <c r="C288" s="2" t="s">
        <v>364</v>
      </c>
      <c r="D288" s="8">
        <v>23871</v>
      </c>
      <c r="E288" s="3">
        <v>2012.62</v>
      </c>
      <c r="F288" s="2">
        <v>2023</v>
      </c>
      <c r="G288" s="2" t="s">
        <v>28</v>
      </c>
      <c r="H288" s="2" t="s">
        <v>29</v>
      </c>
      <c r="I288" s="2" t="s">
        <v>30</v>
      </c>
      <c r="J288" s="2" t="s">
        <v>62</v>
      </c>
      <c r="K288" s="2" t="s">
        <v>32</v>
      </c>
      <c r="L288" s="2" t="s">
        <v>63</v>
      </c>
      <c r="M288" s="8">
        <v>44929</v>
      </c>
      <c r="N288" s="2" t="s">
        <v>810</v>
      </c>
      <c r="O288" s="8">
        <v>44927</v>
      </c>
      <c r="P288" s="8">
        <v>44931</v>
      </c>
      <c r="Q288" s="2" t="s">
        <v>35</v>
      </c>
      <c r="R288" s="2" t="s">
        <v>65</v>
      </c>
      <c r="S288" s="2">
        <v>956255</v>
      </c>
      <c r="T288" s="2" t="s">
        <v>55</v>
      </c>
      <c r="U288" s="2" t="s">
        <v>56</v>
      </c>
      <c r="V288" s="2" t="s">
        <v>811</v>
      </c>
      <c r="W288" s="2">
        <v>5</v>
      </c>
      <c r="X288" s="4">
        <v>0.1</v>
      </c>
      <c r="Y288" s="3">
        <v>225.52</v>
      </c>
    </row>
    <row r="289" spans="1:25" x14ac:dyDescent="0.3">
      <c r="A289" s="2" t="s">
        <v>809</v>
      </c>
      <c r="B289" s="2" t="s">
        <v>141</v>
      </c>
      <c r="C289" s="2" t="s">
        <v>364</v>
      </c>
      <c r="D289" s="8">
        <v>23871</v>
      </c>
      <c r="E289" s="3">
        <v>3145.72</v>
      </c>
      <c r="F289" s="2">
        <v>2023</v>
      </c>
      <c r="G289" s="2" t="s">
        <v>48</v>
      </c>
      <c r="H289" s="2" t="s">
        <v>29</v>
      </c>
      <c r="I289" s="2" t="s">
        <v>61</v>
      </c>
      <c r="J289" s="2" t="s">
        <v>62</v>
      </c>
      <c r="K289" s="2" t="s">
        <v>32</v>
      </c>
      <c r="L289" s="2" t="s">
        <v>63</v>
      </c>
      <c r="M289" s="8">
        <v>45023</v>
      </c>
      <c r="N289" s="2" t="s">
        <v>812</v>
      </c>
      <c r="O289" s="8">
        <v>45020</v>
      </c>
      <c r="P289" s="8">
        <v>45023</v>
      </c>
      <c r="Q289" s="2" t="s">
        <v>35</v>
      </c>
      <c r="R289" s="2" t="s">
        <v>65</v>
      </c>
      <c r="S289" s="2">
        <v>896204</v>
      </c>
      <c r="T289" s="2" t="s">
        <v>113</v>
      </c>
      <c r="U289" s="2" t="s">
        <v>114</v>
      </c>
      <c r="V289" s="2" t="s">
        <v>813</v>
      </c>
      <c r="W289" s="2">
        <v>9</v>
      </c>
      <c r="X289" s="4">
        <v>0.1</v>
      </c>
      <c r="Y289" s="3">
        <v>603.79</v>
      </c>
    </row>
    <row r="290" spans="1:25" x14ac:dyDescent="0.3">
      <c r="A290" s="2" t="s">
        <v>809</v>
      </c>
      <c r="B290" s="2" t="s">
        <v>141</v>
      </c>
      <c r="C290" s="2" t="s">
        <v>364</v>
      </c>
      <c r="D290" s="8">
        <v>23871</v>
      </c>
      <c r="E290" s="3">
        <v>971.4</v>
      </c>
      <c r="F290" s="2">
        <v>2025</v>
      </c>
      <c r="G290" s="2" t="s">
        <v>87</v>
      </c>
      <c r="H290" s="2" t="s">
        <v>29</v>
      </c>
      <c r="I290" s="2" t="s">
        <v>49</v>
      </c>
      <c r="J290" s="2" t="s">
        <v>62</v>
      </c>
      <c r="K290" s="2" t="s">
        <v>32</v>
      </c>
      <c r="L290" s="2" t="s">
        <v>63</v>
      </c>
      <c r="M290" s="8">
        <v>45739</v>
      </c>
      <c r="N290" s="2" t="s">
        <v>814</v>
      </c>
      <c r="O290" s="8">
        <v>45737</v>
      </c>
      <c r="P290" s="8">
        <v>45740</v>
      </c>
      <c r="Q290" s="2" t="s">
        <v>35</v>
      </c>
      <c r="R290" s="2" t="s">
        <v>65</v>
      </c>
      <c r="S290" s="2">
        <v>148001</v>
      </c>
      <c r="T290" s="2" t="s">
        <v>109</v>
      </c>
      <c r="U290" s="2" t="s">
        <v>110</v>
      </c>
      <c r="V290" s="2" t="s">
        <v>815</v>
      </c>
      <c r="W290" s="2">
        <v>6</v>
      </c>
      <c r="X290" s="4">
        <v>0.15</v>
      </c>
      <c r="Y290" s="3">
        <v>329.63</v>
      </c>
    </row>
    <row r="291" spans="1:25" x14ac:dyDescent="0.3">
      <c r="A291" s="2" t="s">
        <v>809</v>
      </c>
      <c r="B291" s="2" t="s">
        <v>141</v>
      </c>
      <c r="C291" s="2" t="s">
        <v>364</v>
      </c>
      <c r="D291" s="8">
        <v>23871</v>
      </c>
      <c r="E291" s="3">
        <v>449.44</v>
      </c>
      <c r="F291" s="2">
        <v>2025</v>
      </c>
      <c r="G291" s="2" t="s">
        <v>48</v>
      </c>
      <c r="H291" s="2" t="s">
        <v>29</v>
      </c>
      <c r="I291" s="2" t="s">
        <v>61</v>
      </c>
      <c r="J291" s="2" t="s">
        <v>62</v>
      </c>
      <c r="K291" s="2" t="s">
        <v>32</v>
      </c>
      <c r="L291" s="2" t="s">
        <v>63</v>
      </c>
      <c r="M291" s="8">
        <v>45773</v>
      </c>
      <c r="N291" s="2" t="s">
        <v>816</v>
      </c>
      <c r="O291" s="8">
        <v>45772</v>
      </c>
      <c r="P291" s="8">
        <v>45773</v>
      </c>
      <c r="Q291" s="2" t="s">
        <v>41</v>
      </c>
      <c r="R291" s="2" t="s">
        <v>65</v>
      </c>
      <c r="S291" s="2">
        <v>964607</v>
      </c>
      <c r="T291" s="2" t="s">
        <v>113</v>
      </c>
      <c r="U291" s="2" t="s">
        <v>114</v>
      </c>
      <c r="V291" s="2" t="s">
        <v>817</v>
      </c>
      <c r="W291" s="2">
        <v>7</v>
      </c>
      <c r="X291" s="4">
        <v>0.1</v>
      </c>
      <c r="Y291" s="3">
        <v>48.89</v>
      </c>
    </row>
    <row r="292" spans="1:25" x14ac:dyDescent="0.3">
      <c r="A292" s="2" t="s">
        <v>818</v>
      </c>
      <c r="B292" s="2" t="s">
        <v>183</v>
      </c>
      <c r="C292" s="2" t="s">
        <v>226</v>
      </c>
      <c r="D292" s="8">
        <v>25943</v>
      </c>
      <c r="E292" s="3">
        <v>1724.76</v>
      </c>
      <c r="F292" s="2">
        <v>2023</v>
      </c>
      <c r="G292" s="2" t="s">
        <v>48</v>
      </c>
      <c r="H292" s="2" t="s">
        <v>29</v>
      </c>
      <c r="I292" s="2" t="s">
        <v>78</v>
      </c>
      <c r="J292" s="2" t="s">
        <v>31</v>
      </c>
      <c r="K292" s="2" t="s">
        <v>32</v>
      </c>
      <c r="L292" s="2" t="s">
        <v>33</v>
      </c>
      <c r="M292" s="8">
        <v>45038</v>
      </c>
      <c r="N292" s="2" t="s">
        <v>819</v>
      </c>
      <c r="O292" s="8">
        <v>45037</v>
      </c>
      <c r="P292" s="8">
        <v>45039</v>
      </c>
      <c r="Q292" s="2" t="s">
        <v>35</v>
      </c>
      <c r="R292" s="2" t="s">
        <v>36</v>
      </c>
      <c r="S292" s="2">
        <v>680099</v>
      </c>
      <c r="T292" s="2" t="s">
        <v>135</v>
      </c>
      <c r="U292" s="2" t="s">
        <v>136</v>
      </c>
      <c r="V292" s="2" t="s">
        <v>820</v>
      </c>
      <c r="W292" s="2">
        <v>8</v>
      </c>
      <c r="X292" s="4">
        <v>0.1</v>
      </c>
      <c r="Y292" s="3">
        <v>581</v>
      </c>
    </row>
    <row r="293" spans="1:25" x14ac:dyDescent="0.3">
      <c r="A293" s="2" t="s">
        <v>818</v>
      </c>
      <c r="B293" s="2" t="s">
        <v>183</v>
      </c>
      <c r="C293" s="2" t="s">
        <v>226</v>
      </c>
      <c r="D293" s="8">
        <v>25943</v>
      </c>
      <c r="E293" s="3">
        <v>1056.21</v>
      </c>
      <c r="F293" s="2">
        <v>2023</v>
      </c>
      <c r="G293" s="2" t="s">
        <v>28</v>
      </c>
      <c r="H293" s="2" t="s">
        <v>29</v>
      </c>
      <c r="I293" s="2" t="s">
        <v>92</v>
      </c>
      <c r="J293" s="2" t="s">
        <v>31</v>
      </c>
      <c r="K293" s="2" t="s">
        <v>32</v>
      </c>
      <c r="L293" s="2" t="s">
        <v>33</v>
      </c>
      <c r="M293" s="8">
        <v>45273</v>
      </c>
      <c r="N293" s="2" t="s">
        <v>821</v>
      </c>
      <c r="O293" s="8">
        <v>45273</v>
      </c>
      <c r="P293" s="8">
        <v>45275</v>
      </c>
      <c r="Q293" s="2" t="s">
        <v>74</v>
      </c>
      <c r="R293" s="2" t="s">
        <v>36</v>
      </c>
      <c r="S293" s="2">
        <v>628597</v>
      </c>
      <c r="T293" s="2" t="s">
        <v>127</v>
      </c>
      <c r="U293" s="2" t="s">
        <v>128</v>
      </c>
      <c r="V293" s="2" t="s">
        <v>822</v>
      </c>
      <c r="W293" s="2">
        <v>3</v>
      </c>
      <c r="X293" s="4">
        <v>0</v>
      </c>
      <c r="Y293" s="3">
        <v>284.27999999999997</v>
      </c>
    </row>
    <row r="294" spans="1:25" x14ac:dyDescent="0.3">
      <c r="A294" s="2" t="s">
        <v>818</v>
      </c>
      <c r="B294" s="2" t="s">
        <v>183</v>
      </c>
      <c r="C294" s="2" t="s">
        <v>226</v>
      </c>
      <c r="D294" s="8">
        <v>25943</v>
      </c>
      <c r="E294" s="3">
        <v>605.32000000000005</v>
      </c>
      <c r="F294" s="2">
        <v>2024</v>
      </c>
      <c r="G294" s="2" t="s">
        <v>48</v>
      </c>
      <c r="H294" s="2" t="s">
        <v>29</v>
      </c>
      <c r="I294" s="2" t="s">
        <v>92</v>
      </c>
      <c r="J294" s="2" t="s">
        <v>31</v>
      </c>
      <c r="K294" s="2" t="s">
        <v>32</v>
      </c>
      <c r="L294" s="2" t="s">
        <v>33</v>
      </c>
      <c r="M294" s="8">
        <v>45352</v>
      </c>
      <c r="N294" s="2" t="s">
        <v>823</v>
      </c>
      <c r="O294" s="8">
        <v>45351</v>
      </c>
      <c r="P294" s="8">
        <v>45355</v>
      </c>
      <c r="Q294" s="2" t="s">
        <v>41</v>
      </c>
      <c r="R294" s="2" t="s">
        <v>36</v>
      </c>
      <c r="S294" s="2">
        <v>731792</v>
      </c>
      <c r="T294" s="2" t="s">
        <v>127</v>
      </c>
      <c r="U294" s="2" t="s">
        <v>128</v>
      </c>
      <c r="V294" s="2" t="s">
        <v>824</v>
      </c>
      <c r="W294" s="2">
        <v>4</v>
      </c>
      <c r="X294" s="4">
        <v>0</v>
      </c>
      <c r="Y294" s="3">
        <v>206.5</v>
      </c>
    </row>
    <row r="295" spans="1:25" x14ac:dyDescent="0.3">
      <c r="A295" s="2" t="s">
        <v>818</v>
      </c>
      <c r="B295" s="2" t="s">
        <v>183</v>
      </c>
      <c r="C295" s="2" t="s">
        <v>226</v>
      </c>
      <c r="D295" s="8">
        <v>25943</v>
      </c>
      <c r="E295" s="3">
        <v>1911.06</v>
      </c>
      <c r="F295" s="2">
        <v>2025</v>
      </c>
      <c r="G295" s="2" t="s">
        <v>48</v>
      </c>
      <c r="H295" s="2" t="s">
        <v>29</v>
      </c>
      <c r="I295" s="2" t="s">
        <v>49</v>
      </c>
      <c r="J295" s="2" t="s">
        <v>31</v>
      </c>
      <c r="K295" s="2" t="s">
        <v>32</v>
      </c>
      <c r="L295" s="2" t="s">
        <v>33</v>
      </c>
      <c r="M295" s="8">
        <v>45665</v>
      </c>
      <c r="N295" s="2" t="s">
        <v>825</v>
      </c>
      <c r="O295" s="8">
        <v>45660</v>
      </c>
      <c r="P295" s="8">
        <v>45665</v>
      </c>
      <c r="Q295" s="2" t="s">
        <v>121</v>
      </c>
      <c r="R295" s="2" t="s">
        <v>36</v>
      </c>
      <c r="S295" s="2">
        <v>319899</v>
      </c>
      <c r="T295" s="2" t="s">
        <v>51</v>
      </c>
      <c r="U295" s="2" t="s">
        <v>52</v>
      </c>
      <c r="V295" s="2" t="s">
        <v>826</v>
      </c>
      <c r="W295" s="2">
        <v>5</v>
      </c>
      <c r="X295" s="4">
        <v>0.1</v>
      </c>
      <c r="Y295" s="3">
        <v>589.01</v>
      </c>
    </row>
    <row r="296" spans="1:25" x14ac:dyDescent="0.3">
      <c r="A296" s="2" t="s">
        <v>818</v>
      </c>
      <c r="B296" s="2" t="s">
        <v>183</v>
      </c>
      <c r="C296" s="2" t="s">
        <v>226</v>
      </c>
      <c r="D296" s="8">
        <v>25943</v>
      </c>
      <c r="E296" s="3">
        <v>2773.02</v>
      </c>
      <c r="F296" s="2">
        <v>2025</v>
      </c>
      <c r="G296" s="2" t="s">
        <v>87</v>
      </c>
      <c r="H296" s="2" t="s">
        <v>29</v>
      </c>
      <c r="I296" s="2" t="s">
        <v>30</v>
      </c>
      <c r="J296" s="2" t="s">
        <v>31</v>
      </c>
      <c r="K296" s="2" t="s">
        <v>32</v>
      </c>
      <c r="L296" s="2" t="s">
        <v>33</v>
      </c>
      <c r="M296" s="8">
        <v>45704</v>
      </c>
      <c r="N296" s="2" t="s">
        <v>827</v>
      </c>
      <c r="O296" s="8">
        <v>45702</v>
      </c>
      <c r="P296" s="8">
        <v>45704</v>
      </c>
      <c r="Q296" s="2" t="s">
        <v>74</v>
      </c>
      <c r="R296" s="2" t="s">
        <v>36</v>
      </c>
      <c r="S296" s="2">
        <v>844858</v>
      </c>
      <c r="T296" s="2" t="s">
        <v>55</v>
      </c>
      <c r="U296" s="2" t="s">
        <v>56</v>
      </c>
      <c r="V296" s="2" t="s">
        <v>828</v>
      </c>
      <c r="W296" s="2">
        <v>6</v>
      </c>
      <c r="X296" s="4">
        <v>0</v>
      </c>
      <c r="Y296" s="3">
        <v>955.03</v>
      </c>
    </row>
    <row r="297" spans="1:25" x14ac:dyDescent="0.3">
      <c r="A297" s="2" t="s">
        <v>829</v>
      </c>
      <c r="B297" s="2" t="s">
        <v>830</v>
      </c>
      <c r="C297" s="2" t="s">
        <v>632</v>
      </c>
      <c r="D297" s="8">
        <v>26289</v>
      </c>
      <c r="E297" s="3">
        <v>1132.2</v>
      </c>
      <c r="F297" s="2">
        <v>2023</v>
      </c>
      <c r="G297" s="2" t="s">
        <v>48</v>
      </c>
      <c r="H297" s="2" t="s">
        <v>29</v>
      </c>
      <c r="I297" s="2" t="s">
        <v>92</v>
      </c>
      <c r="J297" s="2" t="s">
        <v>31</v>
      </c>
      <c r="K297" s="2" t="s">
        <v>32</v>
      </c>
      <c r="L297" s="2" t="s">
        <v>63</v>
      </c>
      <c r="M297" s="8">
        <v>45287</v>
      </c>
      <c r="N297" s="2" t="s">
        <v>831</v>
      </c>
      <c r="O297" s="8">
        <v>45287</v>
      </c>
      <c r="P297" s="8">
        <v>45288</v>
      </c>
      <c r="Q297" s="2" t="s">
        <v>41</v>
      </c>
      <c r="R297" s="2" t="s">
        <v>36</v>
      </c>
      <c r="S297" s="2">
        <v>252386</v>
      </c>
      <c r="T297" s="2" t="s">
        <v>127</v>
      </c>
      <c r="U297" s="2" t="s">
        <v>128</v>
      </c>
      <c r="V297" s="2" t="s">
        <v>832</v>
      </c>
      <c r="W297" s="2">
        <v>9</v>
      </c>
      <c r="X297" s="4">
        <v>0.2</v>
      </c>
      <c r="Y297" s="3">
        <v>200.08</v>
      </c>
    </row>
    <row r="298" spans="1:25" x14ac:dyDescent="0.3">
      <c r="A298" s="2" t="s">
        <v>829</v>
      </c>
      <c r="B298" s="2" t="s">
        <v>830</v>
      </c>
      <c r="C298" s="2" t="s">
        <v>632</v>
      </c>
      <c r="D298" s="8">
        <v>26289</v>
      </c>
      <c r="E298" s="3">
        <v>1900.45</v>
      </c>
      <c r="F298" s="2">
        <v>2024</v>
      </c>
      <c r="G298" s="2" t="s">
        <v>48</v>
      </c>
      <c r="H298" s="2" t="s">
        <v>29</v>
      </c>
      <c r="I298" s="2" t="s">
        <v>78</v>
      </c>
      <c r="J298" s="2" t="s">
        <v>31</v>
      </c>
      <c r="K298" s="2" t="s">
        <v>32</v>
      </c>
      <c r="L298" s="2" t="s">
        <v>63</v>
      </c>
      <c r="M298" s="8">
        <v>45503</v>
      </c>
      <c r="N298" s="2" t="s">
        <v>833</v>
      </c>
      <c r="O298" s="8">
        <v>45502</v>
      </c>
      <c r="P298" s="8">
        <v>45505</v>
      </c>
      <c r="Q298" s="2" t="s">
        <v>74</v>
      </c>
      <c r="R298" s="2" t="s">
        <v>36</v>
      </c>
      <c r="S298" s="2">
        <v>313910</v>
      </c>
      <c r="T298" s="2" t="s">
        <v>135</v>
      </c>
      <c r="U298" s="2" t="s">
        <v>136</v>
      </c>
      <c r="V298" s="2" t="s">
        <v>834</v>
      </c>
      <c r="W298" s="2">
        <v>5</v>
      </c>
      <c r="X298" s="4">
        <v>0</v>
      </c>
      <c r="Y298" s="3">
        <v>655.77</v>
      </c>
    </row>
    <row r="299" spans="1:25" x14ac:dyDescent="0.3">
      <c r="A299" s="2" t="s">
        <v>835</v>
      </c>
      <c r="B299" s="2" t="s">
        <v>270</v>
      </c>
      <c r="C299" s="2" t="s">
        <v>142</v>
      </c>
      <c r="D299" s="8">
        <v>29360</v>
      </c>
      <c r="E299" s="3">
        <v>3328.67</v>
      </c>
      <c r="F299" s="2">
        <v>2023</v>
      </c>
      <c r="G299" s="2" t="s">
        <v>87</v>
      </c>
      <c r="H299" s="2" t="s">
        <v>29</v>
      </c>
      <c r="I299" s="2" t="s">
        <v>30</v>
      </c>
      <c r="J299" s="2" t="s">
        <v>31</v>
      </c>
      <c r="K299" s="2" t="s">
        <v>32</v>
      </c>
      <c r="L299" s="2" t="s">
        <v>63</v>
      </c>
      <c r="M299" s="8">
        <v>44961</v>
      </c>
      <c r="N299" s="2" t="s">
        <v>836</v>
      </c>
      <c r="O299" s="8">
        <v>44960</v>
      </c>
      <c r="P299" s="8">
        <v>44964</v>
      </c>
      <c r="Q299" s="2" t="s">
        <v>74</v>
      </c>
      <c r="R299" s="2" t="s">
        <v>837</v>
      </c>
      <c r="S299" s="2">
        <v>826596</v>
      </c>
      <c r="T299" s="2" t="s">
        <v>55</v>
      </c>
      <c r="U299" s="2" t="s">
        <v>56</v>
      </c>
      <c r="V299" s="2" t="s">
        <v>838</v>
      </c>
      <c r="W299" s="2">
        <v>9</v>
      </c>
      <c r="X299" s="4">
        <v>0.15</v>
      </c>
      <c r="Y299" s="3">
        <v>812.65</v>
      </c>
    </row>
    <row r="300" spans="1:25" x14ac:dyDescent="0.3">
      <c r="A300" s="2" t="s">
        <v>835</v>
      </c>
      <c r="B300" s="2" t="s">
        <v>270</v>
      </c>
      <c r="C300" s="2" t="s">
        <v>142</v>
      </c>
      <c r="D300" s="8">
        <v>29360</v>
      </c>
      <c r="E300" s="3">
        <v>1231.72</v>
      </c>
      <c r="F300" s="2">
        <v>2023</v>
      </c>
      <c r="G300" s="2" t="s">
        <v>48</v>
      </c>
      <c r="H300" s="2" t="s">
        <v>29</v>
      </c>
      <c r="I300" s="2" t="s">
        <v>49</v>
      </c>
      <c r="J300" s="2" t="s">
        <v>31</v>
      </c>
      <c r="K300" s="2" t="s">
        <v>32</v>
      </c>
      <c r="L300" s="2" t="s">
        <v>63</v>
      </c>
      <c r="M300" s="8">
        <v>45031</v>
      </c>
      <c r="N300" s="2" t="s">
        <v>839</v>
      </c>
      <c r="O300" s="8">
        <v>45031</v>
      </c>
      <c r="P300" s="8">
        <v>45034</v>
      </c>
      <c r="Q300" s="2" t="s">
        <v>74</v>
      </c>
      <c r="R300" s="2" t="s">
        <v>837</v>
      </c>
      <c r="S300" s="2">
        <v>312952</v>
      </c>
      <c r="T300" s="2" t="s">
        <v>109</v>
      </c>
      <c r="U300" s="2" t="s">
        <v>110</v>
      </c>
      <c r="V300" s="2" t="s">
        <v>840</v>
      </c>
      <c r="W300" s="2">
        <v>7</v>
      </c>
      <c r="X300" s="4">
        <v>0.2</v>
      </c>
      <c r="Y300" s="3">
        <v>422.17</v>
      </c>
    </row>
    <row r="301" spans="1:25" x14ac:dyDescent="0.3">
      <c r="A301" s="2" t="s">
        <v>835</v>
      </c>
      <c r="B301" s="2" t="s">
        <v>270</v>
      </c>
      <c r="C301" s="2" t="s">
        <v>142</v>
      </c>
      <c r="D301" s="8">
        <v>29360</v>
      </c>
      <c r="E301" s="3">
        <v>1555.53</v>
      </c>
      <c r="F301" s="2">
        <v>2024</v>
      </c>
      <c r="G301" s="2" t="s">
        <v>87</v>
      </c>
      <c r="H301" s="2" t="s">
        <v>29</v>
      </c>
      <c r="I301" s="2" t="s">
        <v>30</v>
      </c>
      <c r="J301" s="2" t="s">
        <v>31</v>
      </c>
      <c r="K301" s="2" t="s">
        <v>32</v>
      </c>
      <c r="L301" s="2" t="s">
        <v>63</v>
      </c>
      <c r="M301" s="8">
        <v>45295</v>
      </c>
      <c r="N301" s="2" t="s">
        <v>841</v>
      </c>
      <c r="O301" s="8">
        <v>45294</v>
      </c>
      <c r="P301" s="8">
        <v>45297</v>
      </c>
      <c r="Q301" s="2" t="s">
        <v>121</v>
      </c>
      <c r="R301" s="2" t="s">
        <v>837</v>
      </c>
      <c r="S301" s="2">
        <v>408467</v>
      </c>
      <c r="T301" s="2" t="s">
        <v>37</v>
      </c>
      <c r="U301" s="2" t="s">
        <v>38</v>
      </c>
      <c r="V301" s="2" t="s">
        <v>842</v>
      </c>
      <c r="W301" s="2">
        <v>4</v>
      </c>
      <c r="X301" s="4">
        <v>0.15</v>
      </c>
      <c r="Y301" s="3">
        <v>408.89</v>
      </c>
    </row>
    <row r="302" spans="1:25" x14ac:dyDescent="0.3">
      <c r="A302" s="2" t="s">
        <v>835</v>
      </c>
      <c r="B302" s="2" t="s">
        <v>270</v>
      </c>
      <c r="C302" s="2" t="s">
        <v>142</v>
      </c>
      <c r="D302" s="8">
        <v>29360</v>
      </c>
      <c r="E302" s="3">
        <v>219.5</v>
      </c>
      <c r="F302" s="2">
        <v>2024</v>
      </c>
      <c r="G302" s="2" t="s">
        <v>48</v>
      </c>
      <c r="H302" s="2" t="s">
        <v>29</v>
      </c>
      <c r="I302" s="2" t="s">
        <v>92</v>
      </c>
      <c r="J302" s="2" t="s">
        <v>31</v>
      </c>
      <c r="K302" s="2" t="s">
        <v>32</v>
      </c>
      <c r="L302" s="2" t="s">
        <v>63</v>
      </c>
      <c r="M302" s="8">
        <v>45391</v>
      </c>
      <c r="N302" s="2" t="s">
        <v>843</v>
      </c>
      <c r="O302" s="8">
        <v>45390</v>
      </c>
      <c r="P302" s="8">
        <v>45391</v>
      </c>
      <c r="Q302" s="2" t="s">
        <v>41</v>
      </c>
      <c r="R302" s="2" t="s">
        <v>837</v>
      </c>
      <c r="S302" s="2">
        <v>392670</v>
      </c>
      <c r="T302" s="2" t="s">
        <v>147</v>
      </c>
      <c r="U302" s="2" t="s">
        <v>148</v>
      </c>
      <c r="V302" s="2" t="s">
        <v>844</v>
      </c>
      <c r="W302" s="2">
        <v>2</v>
      </c>
      <c r="X302" s="4">
        <v>0</v>
      </c>
      <c r="Y302" s="3">
        <v>59.38</v>
      </c>
    </row>
    <row r="303" spans="1:25" x14ac:dyDescent="0.3">
      <c r="A303" s="2" t="s">
        <v>835</v>
      </c>
      <c r="B303" s="2" t="s">
        <v>270</v>
      </c>
      <c r="C303" s="2" t="s">
        <v>142</v>
      </c>
      <c r="D303" s="8">
        <v>29360</v>
      </c>
      <c r="E303" s="3">
        <v>900.93</v>
      </c>
      <c r="F303" s="2">
        <v>2025</v>
      </c>
      <c r="G303" s="2" t="s">
        <v>48</v>
      </c>
      <c r="H303" s="2" t="s">
        <v>29</v>
      </c>
      <c r="I303" s="2" t="s">
        <v>30</v>
      </c>
      <c r="J303" s="2" t="s">
        <v>31</v>
      </c>
      <c r="K303" s="2" t="s">
        <v>32</v>
      </c>
      <c r="L303" s="2" t="s">
        <v>63</v>
      </c>
      <c r="M303" s="8">
        <v>45761</v>
      </c>
      <c r="N303" s="2" t="s">
        <v>845</v>
      </c>
      <c r="O303" s="8">
        <v>45760</v>
      </c>
      <c r="P303" s="8">
        <v>45764</v>
      </c>
      <c r="Q303" s="2" t="s">
        <v>121</v>
      </c>
      <c r="R303" s="2" t="s">
        <v>837</v>
      </c>
      <c r="S303" s="2">
        <v>438302</v>
      </c>
      <c r="T303" s="2" t="s">
        <v>37</v>
      </c>
      <c r="U303" s="2" t="s">
        <v>38</v>
      </c>
      <c r="V303" s="2" t="s">
        <v>846</v>
      </c>
      <c r="W303" s="2">
        <v>3</v>
      </c>
      <c r="X303" s="4">
        <v>0</v>
      </c>
      <c r="Y303" s="3">
        <v>46.57</v>
      </c>
    </row>
    <row r="304" spans="1:25" x14ac:dyDescent="0.3">
      <c r="A304" s="2" t="s">
        <v>847</v>
      </c>
      <c r="B304" s="2" t="s">
        <v>326</v>
      </c>
      <c r="C304" s="2" t="s">
        <v>162</v>
      </c>
      <c r="D304" s="8">
        <v>37605</v>
      </c>
      <c r="E304" s="3">
        <v>2840.8</v>
      </c>
      <c r="F304" s="2">
        <v>2024</v>
      </c>
      <c r="G304" s="2" t="s">
        <v>48</v>
      </c>
      <c r="H304" s="2" t="s">
        <v>163</v>
      </c>
      <c r="I304" s="2" t="s">
        <v>49</v>
      </c>
      <c r="J304" s="2" t="s">
        <v>102</v>
      </c>
      <c r="K304" s="2" t="s">
        <v>32</v>
      </c>
      <c r="L304" s="2" t="s">
        <v>63</v>
      </c>
      <c r="M304" s="8">
        <v>45558</v>
      </c>
      <c r="N304" s="2" t="s">
        <v>848</v>
      </c>
      <c r="O304" s="8">
        <v>45557</v>
      </c>
      <c r="P304" s="8">
        <v>45560</v>
      </c>
      <c r="Q304" s="2" t="s">
        <v>35</v>
      </c>
      <c r="R304" s="2" t="s">
        <v>197</v>
      </c>
      <c r="S304" s="2">
        <v>924451</v>
      </c>
      <c r="T304" s="2" t="s">
        <v>84</v>
      </c>
      <c r="U304" s="2" t="s">
        <v>85</v>
      </c>
      <c r="V304" s="2" t="s">
        <v>849</v>
      </c>
      <c r="W304" s="2">
        <v>10</v>
      </c>
      <c r="X304" s="4">
        <v>0</v>
      </c>
      <c r="Y304" s="3">
        <v>810.22</v>
      </c>
    </row>
    <row r="305" spans="1:25" x14ac:dyDescent="0.3">
      <c r="A305" s="2" t="s">
        <v>847</v>
      </c>
      <c r="B305" s="2" t="s">
        <v>326</v>
      </c>
      <c r="C305" s="2" t="s">
        <v>162</v>
      </c>
      <c r="D305" s="8">
        <v>37605</v>
      </c>
      <c r="E305" s="3">
        <v>2500.02</v>
      </c>
      <c r="F305" s="2">
        <v>2024</v>
      </c>
      <c r="G305" s="2" t="s">
        <v>28</v>
      </c>
      <c r="H305" s="2" t="s">
        <v>163</v>
      </c>
      <c r="I305" s="2" t="s">
        <v>30</v>
      </c>
      <c r="J305" s="2" t="s">
        <v>102</v>
      </c>
      <c r="K305" s="2" t="s">
        <v>32</v>
      </c>
      <c r="L305" s="2" t="s">
        <v>63</v>
      </c>
      <c r="M305" s="8">
        <v>45569</v>
      </c>
      <c r="N305" s="2" t="s">
        <v>850</v>
      </c>
      <c r="O305" s="8">
        <v>45567</v>
      </c>
      <c r="P305" s="8">
        <v>45569</v>
      </c>
      <c r="Q305" s="2" t="s">
        <v>74</v>
      </c>
      <c r="R305" s="2" t="s">
        <v>197</v>
      </c>
      <c r="S305" s="2">
        <v>478323</v>
      </c>
      <c r="T305" s="2" t="s">
        <v>75</v>
      </c>
      <c r="U305" s="2" t="s">
        <v>76</v>
      </c>
      <c r="V305" s="2" t="s">
        <v>851</v>
      </c>
      <c r="W305" s="2">
        <v>9</v>
      </c>
      <c r="X305" s="4">
        <v>0</v>
      </c>
      <c r="Y305" s="3">
        <v>387.06</v>
      </c>
    </row>
    <row r="306" spans="1:25" x14ac:dyDescent="0.3">
      <c r="A306" s="2" t="s">
        <v>847</v>
      </c>
      <c r="B306" s="2" t="s">
        <v>326</v>
      </c>
      <c r="C306" s="2" t="s">
        <v>162</v>
      </c>
      <c r="D306" s="8">
        <v>37605</v>
      </c>
      <c r="E306" s="3">
        <v>2471.7600000000002</v>
      </c>
      <c r="F306" s="2">
        <v>2025</v>
      </c>
      <c r="G306" s="2" t="s">
        <v>87</v>
      </c>
      <c r="H306" s="2" t="s">
        <v>163</v>
      </c>
      <c r="I306" s="2" t="s">
        <v>43</v>
      </c>
      <c r="J306" s="2" t="s">
        <v>102</v>
      </c>
      <c r="K306" s="2" t="s">
        <v>32</v>
      </c>
      <c r="L306" s="2" t="s">
        <v>63</v>
      </c>
      <c r="M306" s="8">
        <v>45719</v>
      </c>
      <c r="N306" s="2" t="s">
        <v>852</v>
      </c>
      <c r="O306" s="8">
        <v>45719</v>
      </c>
      <c r="P306" s="8">
        <v>45720</v>
      </c>
      <c r="Q306" s="2" t="s">
        <v>74</v>
      </c>
      <c r="R306" s="2" t="s">
        <v>197</v>
      </c>
      <c r="S306" s="2">
        <v>567315</v>
      </c>
      <c r="T306" s="2" t="s">
        <v>45</v>
      </c>
      <c r="U306" s="2" t="s">
        <v>46</v>
      </c>
      <c r="V306" s="2" t="s">
        <v>853</v>
      </c>
      <c r="W306" s="2">
        <v>10</v>
      </c>
      <c r="X306" s="4">
        <v>0.1</v>
      </c>
      <c r="Y306" s="3">
        <v>734.38</v>
      </c>
    </row>
    <row r="307" spans="1:25" x14ac:dyDescent="0.3">
      <c r="A307" s="2" t="s">
        <v>847</v>
      </c>
      <c r="B307" s="2" t="s">
        <v>326</v>
      </c>
      <c r="C307" s="2" t="s">
        <v>162</v>
      </c>
      <c r="D307" s="8">
        <v>37605</v>
      </c>
      <c r="E307" s="3">
        <v>974.69</v>
      </c>
      <c r="F307" s="2">
        <v>2025</v>
      </c>
      <c r="G307" s="2" t="s">
        <v>87</v>
      </c>
      <c r="H307" s="2" t="s">
        <v>163</v>
      </c>
      <c r="I307" s="2" t="s">
        <v>61</v>
      </c>
      <c r="J307" s="2" t="s">
        <v>102</v>
      </c>
      <c r="K307" s="2" t="s">
        <v>32</v>
      </c>
      <c r="L307" s="2" t="s">
        <v>63</v>
      </c>
      <c r="M307" s="8">
        <v>45792</v>
      </c>
      <c r="N307" s="2" t="s">
        <v>854</v>
      </c>
      <c r="O307" s="8">
        <v>45790</v>
      </c>
      <c r="P307" s="8">
        <v>45794</v>
      </c>
      <c r="Q307" s="2" t="s">
        <v>74</v>
      </c>
      <c r="R307" s="2" t="s">
        <v>197</v>
      </c>
      <c r="S307" s="2">
        <v>125905</v>
      </c>
      <c r="T307" s="2" t="s">
        <v>66</v>
      </c>
      <c r="U307" s="2" t="s">
        <v>67</v>
      </c>
      <c r="V307" s="2" t="s">
        <v>855</v>
      </c>
      <c r="W307" s="2">
        <v>6</v>
      </c>
      <c r="X307" s="4">
        <v>0.2</v>
      </c>
      <c r="Y307" s="3">
        <v>325.06</v>
      </c>
    </row>
    <row r="308" spans="1:25" x14ac:dyDescent="0.3">
      <c r="A308" s="2" t="s">
        <v>856</v>
      </c>
      <c r="B308" s="2" t="s">
        <v>100</v>
      </c>
      <c r="C308" s="2" t="s">
        <v>259</v>
      </c>
      <c r="D308" s="8">
        <v>28276</v>
      </c>
      <c r="E308" s="3">
        <v>695</v>
      </c>
      <c r="F308" s="2">
        <v>2024</v>
      </c>
      <c r="G308" s="2" t="s">
        <v>87</v>
      </c>
      <c r="H308" s="2" t="s">
        <v>163</v>
      </c>
      <c r="I308" s="2" t="s">
        <v>92</v>
      </c>
      <c r="J308" s="2" t="s">
        <v>102</v>
      </c>
      <c r="K308" s="2" t="s">
        <v>32</v>
      </c>
      <c r="L308" s="2" t="s">
        <v>144</v>
      </c>
      <c r="M308" s="8">
        <v>45312</v>
      </c>
      <c r="N308" s="2" t="s">
        <v>857</v>
      </c>
      <c r="O308" s="8">
        <v>45310</v>
      </c>
      <c r="P308" s="8">
        <v>45312</v>
      </c>
      <c r="Q308" s="2" t="s">
        <v>35</v>
      </c>
      <c r="R308" s="2" t="s">
        <v>197</v>
      </c>
      <c r="S308" s="2">
        <v>757386</v>
      </c>
      <c r="T308" s="2" t="s">
        <v>187</v>
      </c>
      <c r="U308" s="2" t="s">
        <v>188</v>
      </c>
      <c r="V308" s="2" t="s">
        <v>858</v>
      </c>
      <c r="W308" s="2">
        <v>4</v>
      </c>
      <c r="X308" s="4">
        <v>0</v>
      </c>
      <c r="Y308" s="3">
        <v>232.45</v>
      </c>
    </row>
    <row r="309" spans="1:25" x14ac:dyDescent="0.3">
      <c r="A309" s="2" t="s">
        <v>856</v>
      </c>
      <c r="B309" s="2" t="s">
        <v>100</v>
      </c>
      <c r="C309" s="2" t="s">
        <v>259</v>
      </c>
      <c r="D309" s="8">
        <v>28276</v>
      </c>
      <c r="E309" s="3">
        <v>1653.68</v>
      </c>
      <c r="F309" s="2">
        <v>2024</v>
      </c>
      <c r="G309" s="2" t="s">
        <v>87</v>
      </c>
      <c r="H309" s="2" t="s">
        <v>163</v>
      </c>
      <c r="I309" s="2" t="s">
        <v>78</v>
      </c>
      <c r="J309" s="2" t="s">
        <v>102</v>
      </c>
      <c r="K309" s="2" t="s">
        <v>32</v>
      </c>
      <c r="L309" s="2" t="s">
        <v>144</v>
      </c>
      <c r="M309" s="8">
        <v>45385</v>
      </c>
      <c r="N309" s="2" t="s">
        <v>859</v>
      </c>
      <c r="O309" s="8">
        <v>45383</v>
      </c>
      <c r="P309" s="8">
        <v>45385</v>
      </c>
      <c r="Q309" s="2" t="s">
        <v>41</v>
      </c>
      <c r="R309" s="2" t="s">
        <v>197</v>
      </c>
      <c r="S309" s="2">
        <v>777968</v>
      </c>
      <c r="T309" s="2" t="s">
        <v>89</v>
      </c>
      <c r="U309" s="2" t="s">
        <v>90</v>
      </c>
      <c r="V309" s="2" t="s">
        <v>860</v>
      </c>
      <c r="W309" s="2">
        <v>4</v>
      </c>
      <c r="X309" s="4">
        <v>0.05</v>
      </c>
      <c r="Y309" s="3">
        <v>497.26</v>
      </c>
    </row>
    <row r="310" spans="1:25" x14ac:dyDescent="0.3">
      <c r="A310" s="2" t="s">
        <v>856</v>
      </c>
      <c r="B310" s="2" t="s">
        <v>100</v>
      </c>
      <c r="C310" s="2" t="s">
        <v>259</v>
      </c>
      <c r="D310" s="8">
        <v>28276</v>
      </c>
      <c r="E310" s="3">
        <v>2912.8</v>
      </c>
      <c r="F310" s="2">
        <v>2024</v>
      </c>
      <c r="G310" s="2" t="s">
        <v>28</v>
      </c>
      <c r="H310" s="2" t="s">
        <v>163</v>
      </c>
      <c r="I310" s="2" t="s">
        <v>78</v>
      </c>
      <c r="J310" s="2" t="s">
        <v>102</v>
      </c>
      <c r="K310" s="2" t="s">
        <v>32</v>
      </c>
      <c r="L310" s="2" t="s">
        <v>144</v>
      </c>
      <c r="M310" s="8">
        <v>45447</v>
      </c>
      <c r="N310" s="2" t="s">
        <v>861</v>
      </c>
      <c r="O310" s="8">
        <v>45447</v>
      </c>
      <c r="P310" s="8">
        <v>45448</v>
      </c>
      <c r="Q310" s="2" t="s">
        <v>35</v>
      </c>
      <c r="R310" s="2" t="s">
        <v>197</v>
      </c>
      <c r="S310" s="2">
        <v>702891</v>
      </c>
      <c r="T310" s="2" t="s">
        <v>89</v>
      </c>
      <c r="U310" s="2" t="s">
        <v>90</v>
      </c>
      <c r="V310" s="2" t="s">
        <v>862</v>
      </c>
      <c r="W310" s="2">
        <v>8</v>
      </c>
      <c r="X310" s="4">
        <v>0</v>
      </c>
      <c r="Y310" s="3">
        <v>222.12</v>
      </c>
    </row>
    <row r="311" spans="1:25" x14ac:dyDescent="0.3">
      <c r="A311" s="2" t="s">
        <v>856</v>
      </c>
      <c r="B311" s="2" t="s">
        <v>100</v>
      </c>
      <c r="C311" s="2" t="s">
        <v>259</v>
      </c>
      <c r="D311" s="8">
        <v>28276</v>
      </c>
      <c r="E311" s="3">
        <v>1572.99</v>
      </c>
      <c r="F311" s="2">
        <v>2024</v>
      </c>
      <c r="G311" s="2" t="s">
        <v>87</v>
      </c>
      <c r="H311" s="2" t="s">
        <v>163</v>
      </c>
      <c r="I311" s="2" t="s">
        <v>61</v>
      </c>
      <c r="J311" s="2" t="s">
        <v>102</v>
      </c>
      <c r="K311" s="2" t="s">
        <v>32</v>
      </c>
      <c r="L311" s="2" t="s">
        <v>144</v>
      </c>
      <c r="M311" s="8">
        <v>45454</v>
      </c>
      <c r="N311" s="2" t="s">
        <v>863</v>
      </c>
      <c r="O311" s="8">
        <v>45453</v>
      </c>
      <c r="P311" s="8">
        <v>45454</v>
      </c>
      <c r="Q311" s="2" t="s">
        <v>35</v>
      </c>
      <c r="R311" s="2" t="s">
        <v>197</v>
      </c>
      <c r="S311" s="2">
        <v>660814</v>
      </c>
      <c r="T311" s="2" t="s">
        <v>204</v>
      </c>
      <c r="U311" s="2" t="s">
        <v>205</v>
      </c>
      <c r="V311" s="2" t="s">
        <v>864</v>
      </c>
      <c r="W311" s="2">
        <v>7</v>
      </c>
      <c r="X311" s="4">
        <v>0.05</v>
      </c>
      <c r="Y311" s="3">
        <v>282.99</v>
      </c>
    </row>
    <row r="312" spans="1:25" x14ac:dyDescent="0.3">
      <c r="A312" s="2" t="s">
        <v>856</v>
      </c>
      <c r="B312" s="2" t="s">
        <v>100</v>
      </c>
      <c r="C312" s="2" t="s">
        <v>259</v>
      </c>
      <c r="D312" s="8">
        <v>28276</v>
      </c>
      <c r="E312" s="3">
        <v>334.8</v>
      </c>
      <c r="F312" s="2">
        <v>2025</v>
      </c>
      <c r="G312" s="2" t="s">
        <v>28</v>
      </c>
      <c r="H312" s="2" t="s">
        <v>163</v>
      </c>
      <c r="I312" s="2" t="s">
        <v>78</v>
      </c>
      <c r="J312" s="2" t="s">
        <v>102</v>
      </c>
      <c r="K312" s="2" t="s">
        <v>32</v>
      </c>
      <c r="L312" s="2" t="s">
        <v>144</v>
      </c>
      <c r="M312" s="8">
        <v>45715</v>
      </c>
      <c r="N312" s="2" t="s">
        <v>865</v>
      </c>
      <c r="O312" s="8">
        <v>45715</v>
      </c>
      <c r="P312" s="8">
        <v>45720</v>
      </c>
      <c r="Q312" s="2" t="s">
        <v>74</v>
      </c>
      <c r="R312" s="2" t="s">
        <v>197</v>
      </c>
      <c r="S312" s="2">
        <v>736030</v>
      </c>
      <c r="T312" s="2" t="s">
        <v>135</v>
      </c>
      <c r="U312" s="2" t="s">
        <v>136</v>
      </c>
      <c r="V312" s="2" t="s">
        <v>866</v>
      </c>
      <c r="W312" s="2">
        <v>10</v>
      </c>
      <c r="X312" s="4">
        <v>0.2</v>
      </c>
      <c r="Y312" s="3">
        <v>24.03</v>
      </c>
    </row>
    <row r="313" spans="1:25" x14ac:dyDescent="0.3">
      <c r="A313" s="2" t="s">
        <v>856</v>
      </c>
      <c r="B313" s="2" t="s">
        <v>100</v>
      </c>
      <c r="C313" s="2" t="s">
        <v>259</v>
      </c>
      <c r="D313" s="8">
        <v>28276</v>
      </c>
      <c r="E313" s="3">
        <v>1299.71</v>
      </c>
      <c r="F313" s="2">
        <v>2025</v>
      </c>
      <c r="G313" s="2" t="s">
        <v>87</v>
      </c>
      <c r="H313" s="2" t="s">
        <v>163</v>
      </c>
      <c r="I313" s="2" t="s">
        <v>78</v>
      </c>
      <c r="J313" s="2" t="s">
        <v>102</v>
      </c>
      <c r="K313" s="2" t="s">
        <v>32</v>
      </c>
      <c r="L313" s="2" t="s">
        <v>144</v>
      </c>
      <c r="M313" s="8">
        <v>45750</v>
      </c>
      <c r="N313" s="2" t="s">
        <v>867</v>
      </c>
      <c r="O313" s="8">
        <v>45749</v>
      </c>
      <c r="P313" s="8">
        <v>45753</v>
      </c>
      <c r="Q313" s="2" t="s">
        <v>121</v>
      </c>
      <c r="R313" s="2" t="s">
        <v>197</v>
      </c>
      <c r="S313" s="2">
        <v>243006</v>
      </c>
      <c r="T313" s="2" t="s">
        <v>117</v>
      </c>
      <c r="U313" s="2" t="s">
        <v>118</v>
      </c>
      <c r="V313" s="2" t="s">
        <v>868</v>
      </c>
      <c r="W313" s="2">
        <v>8</v>
      </c>
      <c r="X313" s="4">
        <v>0.2</v>
      </c>
      <c r="Y313" s="3">
        <v>322.61</v>
      </c>
    </row>
    <row r="314" spans="1:25" x14ac:dyDescent="0.3">
      <c r="A314" s="2" t="s">
        <v>856</v>
      </c>
      <c r="B314" s="2" t="s">
        <v>100</v>
      </c>
      <c r="C314" s="2" t="s">
        <v>259</v>
      </c>
      <c r="D314" s="8">
        <v>28276</v>
      </c>
      <c r="E314" s="3">
        <v>1236.1600000000001</v>
      </c>
      <c r="F314" s="2">
        <v>2025</v>
      </c>
      <c r="G314" s="2" t="s">
        <v>87</v>
      </c>
      <c r="H314" s="2" t="s">
        <v>163</v>
      </c>
      <c r="I314" s="2" t="s">
        <v>49</v>
      </c>
      <c r="J314" s="2" t="s">
        <v>102</v>
      </c>
      <c r="K314" s="2" t="s">
        <v>32</v>
      </c>
      <c r="L314" s="2" t="s">
        <v>144</v>
      </c>
      <c r="M314" s="8">
        <v>45768</v>
      </c>
      <c r="N314" s="2" t="s">
        <v>869</v>
      </c>
      <c r="O314" s="8">
        <v>45768</v>
      </c>
      <c r="P314" s="8">
        <v>45771</v>
      </c>
      <c r="Q314" s="2" t="s">
        <v>121</v>
      </c>
      <c r="R314" s="2" t="s">
        <v>197</v>
      </c>
      <c r="S314" s="2">
        <v>229221</v>
      </c>
      <c r="T314" s="2" t="s">
        <v>84</v>
      </c>
      <c r="U314" s="2" t="s">
        <v>85</v>
      </c>
      <c r="V314" s="2" t="s">
        <v>870</v>
      </c>
      <c r="W314" s="2">
        <v>9</v>
      </c>
      <c r="X314" s="4">
        <v>0.15</v>
      </c>
      <c r="Y314" s="3">
        <v>115.24</v>
      </c>
    </row>
    <row r="315" spans="1:25" x14ac:dyDescent="0.3">
      <c r="A315" s="2" t="s">
        <v>871</v>
      </c>
      <c r="B315" s="2" t="s">
        <v>872</v>
      </c>
      <c r="C315" s="2" t="s">
        <v>758</v>
      </c>
      <c r="D315" s="8">
        <v>34181</v>
      </c>
      <c r="E315" s="3">
        <v>4270.95</v>
      </c>
      <c r="F315" s="2">
        <v>2024</v>
      </c>
      <c r="G315" s="2" t="s">
        <v>28</v>
      </c>
      <c r="H315" s="2" t="s">
        <v>29</v>
      </c>
      <c r="I315" s="2" t="s">
        <v>30</v>
      </c>
      <c r="J315" s="2" t="s">
        <v>31</v>
      </c>
      <c r="K315" s="2" t="s">
        <v>32</v>
      </c>
      <c r="L315" s="2" t="s">
        <v>63</v>
      </c>
      <c r="M315" s="8">
        <v>45514</v>
      </c>
      <c r="N315" s="2" t="s">
        <v>873</v>
      </c>
      <c r="O315" s="8">
        <v>45513</v>
      </c>
      <c r="P315" s="8">
        <v>45516</v>
      </c>
      <c r="Q315" s="2" t="s">
        <v>121</v>
      </c>
      <c r="R315" s="2" t="s">
        <v>36</v>
      </c>
      <c r="S315" s="2">
        <v>268772</v>
      </c>
      <c r="T315" s="2" t="s">
        <v>37</v>
      </c>
      <c r="U315" s="2" t="s">
        <v>38</v>
      </c>
      <c r="V315" s="2" t="s">
        <v>874</v>
      </c>
      <c r="W315" s="2">
        <v>9</v>
      </c>
      <c r="X315" s="4">
        <v>0</v>
      </c>
      <c r="Y315" s="3">
        <v>482.69</v>
      </c>
    </row>
    <row r="316" spans="1:25" x14ac:dyDescent="0.3">
      <c r="A316" s="2" t="s">
        <v>875</v>
      </c>
      <c r="B316" s="2" t="s">
        <v>526</v>
      </c>
      <c r="C316" s="2" t="s">
        <v>632</v>
      </c>
      <c r="D316" s="8">
        <v>35304</v>
      </c>
      <c r="E316" s="3">
        <v>923.59</v>
      </c>
      <c r="F316" s="2">
        <v>2024</v>
      </c>
      <c r="G316" s="2" t="s">
        <v>87</v>
      </c>
      <c r="H316" s="2" t="s">
        <v>29</v>
      </c>
      <c r="I316" s="2" t="s">
        <v>43</v>
      </c>
      <c r="J316" s="2" t="s">
        <v>143</v>
      </c>
      <c r="K316" s="2" t="s">
        <v>32</v>
      </c>
      <c r="L316" s="2" t="s">
        <v>33</v>
      </c>
      <c r="M316" s="8">
        <v>45561</v>
      </c>
      <c r="N316" s="2" t="s">
        <v>876</v>
      </c>
      <c r="O316" s="8">
        <v>45558</v>
      </c>
      <c r="P316" s="8">
        <v>45563</v>
      </c>
      <c r="Q316" s="2" t="s">
        <v>35</v>
      </c>
      <c r="R316" s="2" t="s">
        <v>146</v>
      </c>
      <c r="S316" s="2">
        <v>404771</v>
      </c>
      <c r="T316" s="2" t="s">
        <v>45</v>
      </c>
      <c r="U316" s="2" t="s">
        <v>46</v>
      </c>
      <c r="V316" s="2" t="s">
        <v>877</v>
      </c>
      <c r="W316" s="2">
        <v>3</v>
      </c>
      <c r="X316" s="4">
        <v>0.1</v>
      </c>
      <c r="Y316" s="3">
        <v>282.32</v>
      </c>
    </row>
    <row r="317" spans="1:25" x14ac:dyDescent="0.3">
      <c r="A317" s="2" t="s">
        <v>875</v>
      </c>
      <c r="B317" s="2" t="s">
        <v>526</v>
      </c>
      <c r="C317" s="2" t="s">
        <v>632</v>
      </c>
      <c r="D317" s="8">
        <v>35304</v>
      </c>
      <c r="E317" s="3">
        <v>206.57</v>
      </c>
      <c r="F317" s="2">
        <v>2025</v>
      </c>
      <c r="G317" s="2" t="s">
        <v>48</v>
      </c>
      <c r="H317" s="2" t="s">
        <v>29</v>
      </c>
      <c r="I317" s="2" t="s">
        <v>49</v>
      </c>
      <c r="J317" s="2" t="s">
        <v>143</v>
      </c>
      <c r="K317" s="2" t="s">
        <v>32</v>
      </c>
      <c r="L317" s="2" t="s">
        <v>33</v>
      </c>
      <c r="M317" s="8">
        <v>45783</v>
      </c>
      <c r="N317" s="2" t="s">
        <v>878</v>
      </c>
      <c r="O317" s="8">
        <v>45781</v>
      </c>
      <c r="P317" s="8">
        <v>45784</v>
      </c>
      <c r="Q317" s="2" t="s">
        <v>121</v>
      </c>
      <c r="R317" s="2" t="s">
        <v>146</v>
      </c>
      <c r="S317" s="2">
        <v>204904</v>
      </c>
      <c r="T317" s="2" t="s">
        <v>109</v>
      </c>
      <c r="U317" s="2" t="s">
        <v>110</v>
      </c>
      <c r="V317" s="2" t="s">
        <v>879</v>
      </c>
      <c r="W317" s="2">
        <v>2</v>
      </c>
      <c r="X317" s="4">
        <v>0.1</v>
      </c>
      <c r="Y317" s="3">
        <v>40.520000000000003</v>
      </c>
    </row>
    <row r="318" spans="1:25" x14ac:dyDescent="0.3">
      <c r="A318" s="2" t="s">
        <v>880</v>
      </c>
      <c r="B318" s="2" t="s">
        <v>234</v>
      </c>
      <c r="C318" s="2" t="s">
        <v>226</v>
      </c>
      <c r="D318" s="8">
        <v>35064</v>
      </c>
      <c r="E318" s="3">
        <v>2860.42</v>
      </c>
      <c r="F318" s="2">
        <v>2023</v>
      </c>
      <c r="G318" s="2" t="s">
        <v>28</v>
      </c>
      <c r="H318" s="2" t="s">
        <v>163</v>
      </c>
      <c r="I318" s="2" t="s">
        <v>92</v>
      </c>
      <c r="J318" s="2" t="s">
        <v>102</v>
      </c>
      <c r="K318" s="2" t="s">
        <v>32</v>
      </c>
      <c r="L318" s="2" t="s">
        <v>144</v>
      </c>
      <c r="M318" s="8">
        <v>45002</v>
      </c>
      <c r="N318" s="2" t="s">
        <v>881</v>
      </c>
      <c r="O318" s="8">
        <v>44998</v>
      </c>
      <c r="P318" s="8">
        <v>45003</v>
      </c>
      <c r="Q318" s="2" t="s">
        <v>74</v>
      </c>
      <c r="R318" s="2" t="s">
        <v>178</v>
      </c>
      <c r="S318" s="2">
        <v>549112</v>
      </c>
      <c r="T318" s="2" t="s">
        <v>127</v>
      </c>
      <c r="U318" s="2" t="s">
        <v>128</v>
      </c>
      <c r="V318" s="2" t="s">
        <v>882</v>
      </c>
      <c r="W318" s="2">
        <v>10</v>
      </c>
      <c r="X318" s="4">
        <v>0.15</v>
      </c>
      <c r="Y318" s="3">
        <v>644.30999999999995</v>
      </c>
    </row>
    <row r="319" spans="1:25" x14ac:dyDescent="0.3">
      <c r="A319" s="2" t="s">
        <v>880</v>
      </c>
      <c r="B319" s="2" t="s">
        <v>234</v>
      </c>
      <c r="C319" s="2" t="s">
        <v>226</v>
      </c>
      <c r="D319" s="8">
        <v>35064</v>
      </c>
      <c r="E319" s="3">
        <v>1350.21</v>
      </c>
      <c r="F319" s="2">
        <v>2023</v>
      </c>
      <c r="G319" s="2" t="s">
        <v>28</v>
      </c>
      <c r="H319" s="2" t="s">
        <v>163</v>
      </c>
      <c r="I319" s="2" t="s">
        <v>61</v>
      </c>
      <c r="J319" s="2" t="s">
        <v>102</v>
      </c>
      <c r="K319" s="2" t="s">
        <v>32</v>
      </c>
      <c r="L319" s="2" t="s">
        <v>144</v>
      </c>
      <c r="M319" s="8">
        <v>45127</v>
      </c>
      <c r="N319" s="2" t="s">
        <v>883</v>
      </c>
      <c r="O319" s="8">
        <v>45125</v>
      </c>
      <c r="P319" s="8">
        <v>45129</v>
      </c>
      <c r="Q319" s="2" t="s">
        <v>121</v>
      </c>
      <c r="R319" s="2" t="s">
        <v>178</v>
      </c>
      <c r="S319" s="2">
        <v>812591</v>
      </c>
      <c r="T319" s="2" t="s">
        <v>312</v>
      </c>
      <c r="U319" s="2" t="s">
        <v>313</v>
      </c>
      <c r="V319" s="2" t="s">
        <v>884</v>
      </c>
      <c r="W319" s="2">
        <v>4</v>
      </c>
      <c r="X319" s="4">
        <v>0.15</v>
      </c>
      <c r="Y319" s="3">
        <v>367.18</v>
      </c>
    </row>
    <row r="320" spans="1:25" x14ac:dyDescent="0.3">
      <c r="A320" s="2" t="s">
        <v>880</v>
      </c>
      <c r="B320" s="2" t="s">
        <v>234</v>
      </c>
      <c r="C320" s="2" t="s">
        <v>226</v>
      </c>
      <c r="D320" s="8">
        <v>35064</v>
      </c>
      <c r="E320" s="3">
        <v>1937.36</v>
      </c>
      <c r="F320" s="2">
        <v>2023</v>
      </c>
      <c r="G320" s="2" t="s">
        <v>48</v>
      </c>
      <c r="H320" s="2" t="s">
        <v>163</v>
      </c>
      <c r="I320" s="2" t="s">
        <v>49</v>
      </c>
      <c r="J320" s="2" t="s">
        <v>102</v>
      </c>
      <c r="K320" s="2" t="s">
        <v>32</v>
      </c>
      <c r="L320" s="2" t="s">
        <v>144</v>
      </c>
      <c r="M320" s="8">
        <v>45256</v>
      </c>
      <c r="N320" s="2" t="s">
        <v>885</v>
      </c>
      <c r="O320" s="8">
        <v>45252</v>
      </c>
      <c r="P320" s="8">
        <v>45256</v>
      </c>
      <c r="Q320" s="2" t="s">
        <v>121</v>
      </c>
      <c r="R320" s="2" t="s">
        <v>178</v>
      </c>
      <c r="S320" s="2">
        <v>776909</v>
      </c>
      <c r="T320" s="2" t="s">
        <v>84</v>
      </c>
      <c r="U320" s="2" t="s">
        <v>85</v>
      </c>
      <c r="V320" s="2" t="s">
        <v>886</v>
      </c>
      <c r="W320" s="2">
        <v>8</v>
      </c>
      <c r="X320" s="4">
        <v>0</v>
      </c>
      <c r="Y320" s="3">
        <v>547.16999999999996</v>
      </c>
    </row>
    <row r="321" spans="1:25" x14ac:dyDescent="0.3">
      <c r="A321" s="2" t="s">
        <v>887</v>
      </c>
      <c r="B321" s="2" t="s">
        <v>161</v>
      </c>
      <c r="C321" s="2" t="s">
        <v>632</v>
      </c>
      <c r="D321" s="8">
        <v>26169</v>
      </c>
      <c r="E321" s="3">
        <v>738.32</v>
      </c>
      <c r="F321" s="2">
        <v>2023</v>
      </c>
      <c r="G321" s="2" t="s">
        <v>87</v>
      </c>
      <c r="H321" s="2" t="s">
        <v>29</v>
      </c>
      <c r="I321" s="2" t="s">
        <v>61</v>
      </c>
      <c r="J321" s="2" t="s">
        <v>143</v>
      </c>
      <c r="K321" s="2" t="s">
        <v>32</v>
      </c>
      <c r="L321" s="2" t="s">
        <v>33</v>
      </c>
      <c r="M321" s="8">
        <v>45215</v>
      </c>
      <c r="N321" s="2" t="s">
        <v>888</v>
      </c>
      <c r="O321" s="8">
        <v>45214</v>
      </c>
      <c r="P321" s="8">
        <v>45215</v>
      </c>
      <c r="Q321" s="2" t="s">
        <v>121</v>
      </c>
      <c r="R321" s="2" t="s">
        <v>146</v>
      </c>
      <c r="S321" s="2">
        <v>138436</v>
      </c>
      <c r="T321" s="2" t="s">
        <v>66</v>
      </c>
      <c r="U321" s="2" t="s">
        <v>67</v>
      </c>
      <c r="V321" s="2" t="s">
        <v>889</v>
      </c>
      <c r="W321" s="2">
        <v>2</v>
      </c>
      <c r="X321" s="4">
        <v>0</v>
      </c>
      <c r="Y321" s="3">
        <v>225.1</v>
      </c>
    </row>
    <row r="322" spans="1:25" x14ac:dyDescent="0.3">
      <c r="A322" s="2" t="s">
        <v>887</v>
      </c>
      <c r="B322" s="2" t="s">
        <v>161</v>
      </c>
      <c r="C322" s="2" t="s">
        <v>632</v>
      </c>
      <c r="D322" s="8">
        <v>26169</v>
      </c>
      <c r="E322" s="3">
        <v>1775.59</v>
      </c>
      <c r="F322" s="2">
        <v>2025</v>
      </c>
      <c r="G322" s="2" t="s">
        <v>87</v>
      </c>
      <c r="H322" s="2" t="s">
        <v>29</v>
      </c>
      <c r="I322" s="2" t="s">
        <v>30</v>
      </c>
      <c r="J322" s="2" t="s">
        <v>143</v>
      </c>
      <c r="K322" s="2" t="s">
        <v>32</v>
      </c>
      <c r="L322" s="2" t="s">
        <v>33</v>
      </c>
      <c r="M322" s="8">
        <v>45774</v>
      </c>
      <c r="N322" s="2" t="s">
        <v>890</v>
      </c>
      <c r="O322" s="8">
        <v>45773</v>
      </c>
      <c r="P322" s="8">
        <v>45777</v>
      </c>
      <c r="Q322" s="2" t="s">
        <v>74</v>
      </c>
      <c r="R322" s="2" t="s">
        <v>146</v>
      </c>
      <c r="S322" s="2">
        <v>240384</v>
      </c>
      <c r="T322" s="2" t="s">
        <v>37</v>
      </c>
      <c r="U322" s="2" t="s">
        <v>38</v>
      </c>
      <c r="V322" s="2" t="s">
        <v>891</v>
      </c>
      <c r="W322" s="2">
        <v>9</v>
      </c>
      <c r="X322" s="4">
        <v>0.2</v>
      </c>
      <c r="Y322" s="3">
        <v>167.95</v>
      </c>
    </row>
    <row r="323" spans="1:25" x14ac:dyDescent="0.3">
      <c r="A323" s="2" t="s">
        <v>887</v>
      </c>
      <c r="B323" s="2" t="s">
        <v>161</v>
      </c>
      <c r="C323" s="2" t="s">
        <v>632</v>
      </c>
      <c r="D323" s="8">
        <v>26169</v>
      </c>
      <c r="E323" s="3">
        <v>1331.3</v>
      </c>
      <c r="F323" s="2">
        <v>2025</v>
      </c>
      <c r="G323" s="2" t="s">
        <v>48</v>
      </c>
      <c r="H323" s="2" t="s">
        <v>29</v>
      </c>
      <c r="I323" s="2" t="s">
        <v>92</v>
      </c>
      <c r="J323" s="2" t="s">
        <v>143</v>
      </c>
      <c r="K323" s="2" t="s">
        <v>32</v>
      </c>
      <c r="L323" s="2" t="s">
        <v>33</v>
      </c>
      <c r="M323" s="8">
        <v>45793</v>
      </c>
      <c r="N323" s="2" t="s">
        <v>892</v>
      </c>
      <c r="O323" s="8">
        <v>45788</v>
      </c>
      <c r="P323" s="8">
        <v>45793</v>
      </c>
      <c r="Q323" s="2" t="s">
        <v>121</v>
      </c>
      <c r="R323" s="2" t="s">
        <v>146</v>
      </c>
      <c r="S323" s="2">
        <v>567896</v>
      </c>
      <c r="T323" s="2" t="s">
        <v>187</v>
      </c>
      <c r="U323" s="2" t="s">
        <v>188</v>
      </c>
      <c r="V323" s="2" t="s">
        <v>893</v>
      </c>
      <c r="W323" s="2">
        <v>6</v>
      </c>
      <c r="X323" s="4">
        <v>0.15</v>
      </c>
      <c r="Y323" s="3">
        <v>161.97</v>
      </c>
    </row>
    <row r="324" spans="1:25" x14ac:dyDescent="0.3">
      <c r="A324" s="2" t="s">
        <v>887</v>
      </c>
      <c r="B324" s="2" t="s">
        <v>161</v>
      </c>
      <c r="C324" s="2" t="s">
        <v>632</v>
      </c>
      <c r="D324" s="8">
        <v>26169</v>
      </c>
      <c r="E324" s="3">
        <v>3365.2</v>
      </c>
      <c r="F324" s="2">
        <v>2025</v>
      </c>
      <c r="G324" s="2" t="s">
        <v>48</v>
      </c>
      <c r="H324" s="2" t="s">
        <v>29</v>
      </c>
      <c r="I324" s="2" t="s">
        <v>61</v>
      </c>
      <c r="J324" s="2" t="s">
        <v>143</v>
      </c>
      <c r="K324" s="2" t="s">
        <v>32</v>
      </c>
      <c r="L324" s="2" t="s">
        <v>33</v>
      </c>
      <c r="M324" s="8">
        <v>45808</v>
      </c>
      <c r="N324" s="2" t="s">
        <v>894</v>
      </c>
      <c r="O324" s="8">
        <v>45806</v>
      </c>
      <c r="P324" s="8">
        <v>45810</v>
      </c>
      <c r="Q324" s="2" t="s">
        <v>121</v>
      </c>
      <c r="R324" s="2" t="s">
        <v>146</v>
      </c>
      <c r="S324" s="2">
        <v>898461</v>
      </c>
      <c r="T324" s="2" t="s">
        <v>66</v>
      </c>
      <c r="U324" s="2" t="s">
        <v>67</v>
      </c>
      <c r="V324" s="2" t="s">
        <v>895</v>
      </c>
      <c r="W324" s="2">
        <v>10</v>
      </c>
      <c r="X324" s="4">
        <v>0</v>
      </c>
      <c r="Y324" s="3">
        <v>911.22</v>
      </c>
    </row>
    <row r="325" spans="1:25" x14ac:dyDescent="0.3">
      <c r="A325" s="2" t="s">
        <v>896</v>
      </c>
      <c r="B325" s="2" t="s">
        <v>521</v>
      </c>
      <c r="C325" s="2" t="s">
        <v>897</v>
      </c>
      <c r="D325" s="8">
        <v>36786</v>
      </c>
      <c r="E325" s="3">
        <v>1175.8</v>
      </c>
      <c r="F325" s="2">
        <v>2023</v>
      </c>
      <c r="G325" s="2" t="s">
        <v>48</v>
      </c>
      <c r="H325" s="2" t="s">
        <v>29</v>
      </c>
      <c r="I325" s="2" t="s">
        <v>78</v>
      </c>
      <c r="J325" s="2" t="s">
        <v>102</v>
      </c>
      <c r="K325" s="2" t="s">
        <v>32</v>
      </c>
      <c r="L325" s="2" t="s">
        <v>33</v>
      </c>
      <c r="M325" s="8">
        <v>44992</v>
      </c>
      <c r="N325" s="2" t="s">
        <v>898</v>
      </c>
      <c r="O325" s="8">
        <v>44991</v>
      </c>
      <c r="P325" s="8">
        <v>44992</v>
      </c>
      <c r="Q325" s="2" t="s">
        <v>74</v>
      </c>
      <c r="R325" s="2" t="s">
        <v>197</v>
      </c>
      <c r="S325" s="2">
        <v>975427</v>
      </c>
      <c r="T325" s="2" t="s">
        <v>89</v>
      </c>
      <c r="U325" s="2" t="s">
        <v>90</v>
      </c>
      <c r="V325" s="2" t="s">
        <v>899</v>
      </c>
      <c r="W325" s="2">
        <v>6</v>
      </c>
      <c r="X325" s="4">
        <v>0.05</v>
      </c>
      <c r="Y325" s="3">
        <v>369.75</v>
      </c>
    </row>
    <row r="326" spans="1:25" x14ac:dyDescent="0.3">
      <c r="A326" s="2" t="s">
        <v>896</v>
      </c>
      <c r="B326" s="2" t="s">
        <v>521</v>
      </c>
      <c r="C326" s="2" t="s">
        <v>897</v>
      </c>
      <c r="D326" s="8">
        <v>36786</v>
      </c>
      <c r="E326" s="3">
        <v>2510.96</v>
      </c>
      <c r="F326" s="2">
        <v>2023</v>
      </c>
      <c r="G326" s="2" t="s">
        <v>87</v>
      </c>
      <c r="H326" s="2" t="s">
        <v>29</v>
      </c>
      <c r="I326" s="2" t="s">
        <v>49</v>
      </c>
      <c r="J326" s="2" t="s">
        <v>102</v>
      </c>
      <c r="K326" s="2" t="s">
        <v>32</v>
      </c>
      <c r="L326" s="2" t="s">
        <v>33</v>
      </c>
      <c r="M326" s="8">
        <v>45166</v>
      </c>
      <c r="N326" s="2" t="s">
        <v>900</v>
      </c>
      <c r="O326" s="8">
        <v>45166</v>
      </c>
      <c r="P326" s="8">
        <v>45169</v>
      </c>
      <c r="Q326" s="2" t="s">
        <v>74</v>
      </c>
      <c r="R326" s="2" t="s">
        <v>197</v>
      </c>
      <c r="S326" s="2">
        <v>494609</v>
      </c>
      <c r="T326" s="2" t="s">
        <v>84</v>
      </c>
      <c r="U326" s="2" t="s">
        <v>85</v>
      </c>
      <c r="V326" s="2" t="s">
        <v>901</v>
      </c>
      <c r="W326" s="2">
        <v>9</v>
      </c>
      <c r="X326" s="4">
        <v>0.05</v>
      </c>
      <c r="Y326" s="3">
        <v>617.95000000000005</v>
      </c>
    </row>
    <row r="327" spans="1:25" x14ac:dyDescent="0.3">
      <c r="A327" s="2" t="s">
        <v>896</v>
      </c>
      <c r="B327" s="2" t="s">
        <v>521</v>
      </c>
      <c r="C327" s="2" t="s">
        <v>897</v>
      </c>
      <c r="D327" s="8">
        <v>36786</v>
      </c>
      <c r="E327" s="3">
        <v>1446.03</v>
      </c>
      <c r="F327" s="2">
        <v>2023</v>
      </c>
      <c r="G327" s="2" t="s">
        <v>28</v>
      </c>
      <c r="H327" s="2" t="s">
        <v>29</v>
      </c>
      <c r="I327" s="2" t="s">
        <v>61</v>
      </c>
      <c r="J327" s="2" t="s">
        <v>102</v>
      </c>
      <c r="K327" s="2" t="s">
        <v>32</v>
      </c>
      <c r="L327" s="2" t="s">
        <v>33</v>
      </c>
      <c r="M327" s="8">
        <v>45197</v>
      </c>
      <c r="N327" s="2" t="s">
        <v>902</v>
      </c>
      <c r="O327" s="8">
        <v>45197</v>
      </c>
      <c r="P327" s="8">
        <v>45198</v>
      </c>
      <c r="Q327" s="2" t="s">
        <v>121</v>
      </c>
      <c r="R327" s="2" t="s">
        <v>197</v>
      </c>
      <c r="S327" s="2">
        <v>341162</v>
      </c>
      <c r="T327" s="2" t="s">
        <v>113</v>
      </c>
      <c r="U327" s="2" t="s">
        <v>114</v>
      </c>
      <c r="V327" s="2" t="s">
        <v>903</v>
      </c>
      <c r="W327" s="2">
        <v>6</v>
      </c>
      <c r="X327" s="4">
        <v>0.05</v>
      </c>
      <c r="Y327" s="3">
        <v>457.16</v>
      </c>
    </row>
    <row r="328" spans="1:25" x14ac:dyDescent="0.3">
      <c r="A328" s="2" t="s">
        <v>896</v>
      </c>
      <c r="B328" s="2" t="s">
        <v>521</v>
      </c>
      <c r="C328" s="2" t="s">
        <v>897</v>
      </c>
      <c r="D328" s="8">
        <v>36786</v>
      </c>
      <c r="E328" s="3">
        <v>329.13</v>
      </c>
      <c r="F328" s="2">
        <v>2024</v>
      </c>
      <c r="G328" s="2" t="s">
        <v>28</v>
      </c>
      <c r="H328" s="2" t="s">
        <v>29</v>
      </c>
      <c r="I328" s="2" t="s">
        <v>78</v>
      </c>
      <c r="J328" s="2" t="s">
        <v>102</v>
      </c>
      <c r="K328" s="2" t="s">
        <v>32</v>
      </c>
      <c r="L328" s="2" t="s">
        <v>33</v>
      </c>
      <c r="M328" s="8">
        <v>45305</v>
      </c>
      <c r="N328" s="2" t="s">
        <v>904</v>
      </c>
      <c r="O328" s="8">
        <v>45305</v>
      </c>
      <c r="P328" s="8">
        <v>45306</v>
      </c>
      <c r="Q328" s="2" t="s">
        <v>74</v>
      </c>
      <c r="R328" s="2" t="s">
        <v>197</v>
      </c>
      <c r="S328" s="2">
        <v>855242</v>
      </c>
      <c r="T328" s="2" t="s">
        <v>117</v>
      </c>
      <c r="U328" s="2" t="s">
        <v>118</v>
      </c>
      <c r="V328" s="2" t="s">
        <v>905</v>
      </c>
      <c r="W328" s="2">
        <v>3</v>
      </c>
      <c r="X328" s="4">
        <v>0</v>
      </c>
      <c r="Y328" s="3">
        <v>75.900000000000006</v>
      </c>
    </row>
    <row r="329" spans="1:25" x14ac:dyDescent="0.3">
      <c r="A329" s="2" t="s">
        <v>906</v>
      </c>
      <c r="B329" s="2" t="s">
        <v>907</v>
      </c>
      <c r="C329" s="2" t="s">
        <v>284</v>
      </c>
      <c r="D329" s="8">
        <v>34670</v>
      </c>
      <c r="E329" s="3">
        <v>942.44</v>
      </c>
      <c r="F329" s="2">
        <v>2024</v>
      </c>
      <c r="G329" s="2" t="s">
        <v>87</v>
      </c>
      <c r="H329" s="2" t="s">
        <v>29</v>
      </c>
      <c r="I329" s="2" t="s">
        <v>92</v>
      </c>
      <c r="J329" s="2" t="s">
        <v>102</v>
      </c>
      <c r="K329" s="2" t="s">
        <v>32</v>
      </c>
      <c r="L329" s="2" t="s">
        <v>63</v>
      </c>
      <c r="M329" s="8">
        <v>45417</v>
      </c>
      <c r="N329" s="2" t="s">
        <v>908</v>
      </c>
      <c r="O329" s="8">
        <v>45417</v>
      </c>
      <c r="P329" s="8">
        <v>45418</v>
      </c>
      <c r="Q329" s="2" t="s">
        <v>121</v>
      </c>
      <c r="R329" s="2" t="s">
        <v>186</v>
      </c>
      <c r="S329" s="2">
        <v>241268</v>
      </c>
      <c r="T329" s="2" t="s">
        <v>147</v>
      </c>
      <c r="U329" s="2" t="s">
        <v>148</v>
      </c>
      <c r="V329" s="2" t="s">
        <v>909</v>
      </c>
      <c r="W329" s="2">
        <v>3</v>
      </c>
      <c r="X329" s="4">
        <v>0.05</v>
      </c>
      <c r="Y329" s="3">
        <v>53.47</v>
      </c>
    </row>
    <row r="330" spans="1:25" x14ac:dyDescent="0.3">
      <c r="A330" s="2" t="s">
        <v>906</v>
      </c>
      <c r="B330" s="2" t="s">
        <v>907</v>
      </c>
      <c r="C330" s="2" t="s">
        <v>284</v>
      </c>
      <c r="D330" s="8">
        <v>34670</v>
      </c>
      <c r="E330" s="3">
        <v>905</v>
      </c>
      <c r="F330" s="2">
        <v>2024</v>
      </c>
      <c r="G330" s="2" t="s">
        <v>28</v>
      </c>
      <c r="H330" s="2" t="s">
        <v>29</v>
      </c>
      <c r="I330" s="2" t="s">
        <v>49</v>
      </c>
      <c r="J330" s="2" t="s">
        <v>102</v>
      </c>
      <c r="K330" s="2" t="s">
        <v>32</v>
      </c>
      <c r="L330" s="2" t="s">
        <v>63</v>
      </c>
      <c r="M330" s="8">
        <v>45620</v>
      </c>
      <c r="N330" s="2" t="s">
        <v>910</v>
      </c>
      <c r="O330" s="8">
        <v>45618</v>
      </c>
      <c r="P330" s="8">
        <v>45620</v>
      </c>
      <c r="Q330" s="2" t="s">
        <v>35</v>
      </c>
      <c r="R330" s="2" t="s">
        <v>186</v>
      </c>
      <c r="S330" s="2">
        <v>854500</v>
      </c>
      <c r="T330" s="2" t="s">
        <v>51</v>
      </c>
      <c r="U330" s="2" t="s">
        <v>52</v>
      </c>
      <c r="V330" s="2" t="s">
        <v>911</v>
      </c>
      <c r="W330" s="2">
        <v>10</v>
      </c>
      <c r="X330" s="4">
        <v>0</v>
      </c>
      <c r="Y330" s="3">
        <v>115.37</v>
      </c>
    </row>
    <row r="331" spans="1:25" x14ac:dyDescent="0.3">
      <c r="A331" s="2" t="s">
        <v>912</v>
      </c>
      <c r="B331" s="2" t="s">
        <v>617</v>
      </c>
      <c r="C331" s="2" t="s">
        <v>125</v>
      </c>
      <c r="D331" s="8">
        <v>36022</v>
      </c>
      <c r="E331" s="3">
        <v>651.97</v>
      </c>
      <c r="F331" s="2">
        <v>2023</v>
      </c>
      <c r="G331" s="2" t="s">
        <v>48</v>
      </c>
      <c r="H331" s="2" t="s">
        <v>163</v>
      </c>
      <c r="I331" s="2" t="s">
        <v>30</v>
      </c>
      <c r="J331" s="2" t="s">
        <v>102</v>
      </c>
      <c r="K331" s="2" t="s">
        <v>32</v>
      </c>
      <c r="L331" s="2" t="s">
        <v>33</v>
      </c>
      <c r="M331" s="8">
        <v>45016</v>
      </c>
      <c r="N331" s="2" t="s">
        <v>913</v>
      </c>
      <c r="O331" s="8">
        <v>45014</v>
      </c>
      <c r="P331" s="8">
        <v>45016</v>
      </c>
      <c r="Q331" s="2" t="s">
        <v>74</v>
      </c>
      <c r="R331" s="2" t="s">
        <v>178</v>
      </c>
      <c r="S331" s="2">
        <v>275868</v>
      </c>
      <c r="T331" s="2" t="s">
        <v>37</v>
      </c>
      <c r="U331" s="2" t="s">
        <v>38</v>
      </c>
      <c r="V331" s="2" t="s">
        <v>914</v>
      </c>
      <c r="W331" s="2">
        <v>8</v>
      </c>
      <c r="X331" s="4">
        <v>0.2</v>
      </c>
      <c r="Y331" s="3">
        <v>112.94</v>
      </c>
    </row>
    <row r="332" spans="1:25" x14ac:dyDescent="0.3">
      <c r="A332" s="2" t="s">
        <v>912</v>
      </c>
      <c r="B332" s="2" t="s">
        <v>617</v>
      </c>
      <c r="C332" s="2" t="s">
        <v>125</v>
      </c>
      <c r="D332" s="8">
        <v>36022</v>
      </c>
      <c r="E332" s="3">
        <v>2450.7199999999998</v>
      </c>
      <c r="F332" s="2">
        <v>2023</v>
      </c>
      <c r="G332" s="2" t="s">
        <v>48</v>
      </c>
      <c r="H332" s="2" t="s">
        <v>163</v>
      </c>
      <c r="I332" s="2" t="s">
        <v>49</v>
      </c>
      <c r="J332" s="2" t="s">
        <v>102</v>
      </c>
      <c r="K332" s="2" t="s">
        <v>32</v>
      </c>
      <c r="L332" s="2" t="s">
        <v>33</v>
      </c>
      <c r="M332" s="8">
        <v>45149</v>
      </c>
      <c r="N332" s="2" t="s">
        <v>915</v>
      </c>
      <c r="O332" s="8">
        <v>45148</v>
      </c>
      <c r="P332" s="8">
        <v>45152</v>
      </c>
      <c r="Q332" s="2" t="s">
        <v>35</v>
      </c>
      <c r="R332" s="2" t="s">
        <v>178</v>
      </c>
      <c r="S332" s="2">
        <v>312177</v>
      </c>
      <c r="T332" s="2" t="s">
        <v>51</v>
      </c>
      <c r="U332" s="2" t="s">
        <v>52</v>
      </c>
      <c r="V332" s="2" t="s">
        <v>916</v>
      </c>
      <c r="W332" s="2">
        <v>8</v>
      </c>
      <c r="X332" s="4">
        <v>0</v>
      </c>
      <c r="Y332" s="3">
        <v>291.5</v>
      </c>
    </row>
    <row r="333" spans="1:25" x14ac:dyDescent="0.3">
      <c r="A333" s="2" t="s">
        <v>912</v>
      </c>
      <c r="B333" s="2" t="s">
        <v>617</v>
      </c>
      <c r="C333" s="2" t="s">
        <v>125</v>
      </c>
      <c r="D333" s="8">
        <v>36022</v>
      </c>
      <c r="E333" s="3">
        <v>2625.4</v>
      </c>
      <c r="F333" s="2">
        <v>2023</v>
      </c>
      <c r="G333" s="2" t="s">
        <v>87</v>
      </c>
      <c r="H333" s="2" t="s">
        <v>163</v>
      </c>
      <c r="I333" s="2" t="s">
        <v>30</v>
      </c>
      <c r="J333" s="2" t="s">
        <v>102</v>
      </c>
      <c r="K333" s="2" t="s">
        <v>32</v>
      </c>
      <c r="L333" s="2" t="s">
        <v>33</v>
      </c>
      <c r="M333" s="8">
        <v>45221</v>
      </c>
      <c r="N333" s="2" t="s">
        <v>917</v>
      </c>
      <c r="O333" s="8">
        <v>45217</v>
      </c>
      <c r="P333" s="8">
        <v>45221</v>
      </c>
      <c r="Q333" s="2" t="s">
        <v>35</v>
      </c>
      <c r="R333" s="2" t="s">
        <v>178</v>
      </c>
      <c r="S333" s="2">
        <v>921945</v>
      </c>
      <c r="T333" s="2" t="s">
        <v>55</v>
      </c>
      <c r="U333" s="2" t="s">
        <v>56</v>
      </c>
      <c r="V333" s="2" t="s">
        <v>918</v>
      </c>
      <c r="W333" s="2">
        <v>7</v>
      </c>
      <c r="X333" s="4">
        <v>0.1</v>
      </c>
      <c r="Y333" s="3">
        <v>207.12</v>
      </c>
    </row>
    <row r="334" spans="1:25" x14ac:dyDescent="0.3">
      <c r="A334" s="2" t="s">
        <v>912</v>
      </c>
      <c r="B334" s="2" t="s">
        <v>617</v>
      </c>
      <c r="C334" s="2" t="s">
        <v>125</v>
      </c>
      <c r="D334" s="8">
        <v>36022</v>
      </c>
      <c r="E334" s="3">
        <v>110.04</v>
      </c>
      <c r="F334" s="2">
        <v>2024</v>
      </c>
      <c r="G334" s="2" t="s">
        <v>48</v>
      </c>
      <c r="H334" s="2" t="s">
        <v>163</v>
      </c>
      <c r="I334" s="2" t="s">
        <v>30</v>
      </c>
      <c r="J334" s="2" t="s">
        <v>102</v>
      </c>
      <c r="K334" s="2" t="s">
        <v>32</v>
      </c>
      <c r="L334" s="2" t="s">
        <v>33</v>
      </c>
      <c r="M334" s="8">
        <v>45390</v>
      </c>
      <c r="N334" s="2" t="s">
        <v>919</v>
      </c>
      <c r="O334" s="8">
        <v>45386</v>
      </c>
      <c r="P334" s="8">
        <v>45391</v>
      </c>
      <c r="Q334" s="2" t="s">
        <v>41</v>
      </c>
      <c r="R334" s="2" t="s">
        <v>178</v>
      </c>
      <c r="S334" s="2">
        <v>647403</v>
      </c>
      <c r="T334" s="2" t="s">
        <v>55</v>
      </c>
      <c r="U334" s="2" t="s">
        <v>56</v>
      </c>
      <c r="V334" s="2" t="s">
        <v>920</v>
      </c>
      <c r="W334" s="2">
        <v>2</v>
      </c>
      <c r="X334" s="4">
        <v>0.15</v>
      </c>
      <c r="Y334" s="3">
        <v>9.8000000000000007</v>
      </c>
    </row>
    <row r="335" spans="1:25" x14ac:dyDescent="0.3">
      <c r="A335" s="2" t="s">
        <v>912</v>
      </c>
      <c r="B335" s="2" t="s">
        <v>617</v>
      </c>
      <c r="C335" s="2" t="s">
        <v>125</v>
      </c>
      <c r="D335" s="8">
        <v>36022</v>
      </c>
      <c r="E335" s="3">
        <v>337.13</v>
      </c>
      <c r="F335" s="2">
        <v>2025</v>
      </c>
      <c r="G335" s="2" t="s">
        <v>28</v>
      </c>
      <c r="H335" s="2" t="s">
        <v>163</v>
      </c>
      <c r="I335" s="2" t="s">
        <v>92</v>
      </c>
      <c r="J335" s="2" t="s">
        <v>102</v>
      </c>
      <c r="K335" s="2" t="s">
        <v>32</v>
      </c>
      <c r="L335" s="2" t="s">
        <v>33</v>
      </c>
      <c r="M335" s="8">
        <v>45771</v>
      </c>
      <c r="N335" s="2" t="s">
        <v>921</v>
      </c>
      <c r="O335" s="8">
        <v>45768</v>
      </c>
      <c r="P335" s="8">
        <v>45772</v>
      </c>
      <c r="Q335" s="2" t="s">
        <v>35</v>
      </c>
      <c r="R335" s="2" t="s">
        <v>178</v>
      </c>
      <c r="S335" s="2">
        <v>546157</v>
      </c>
      <c r="T335" s="2" t="s">
        <v>94</v>
      </c>
      <c r="U335" s="2" t="s">
        <v>95</v>
      </c>
      <c r="V335" s="2" t="s">
        <v>922</v>
      </c>
      <c r="W335" s="2">
        <v>1</v>
      </c>
      <c r="X335" s="4">
        <v>0.05</v>
      </c>
      <c r="Y335" s="3">
        <v>40.07</v>
      </c>
    </row>
    <row r="336" spans="1:25" x14ac:dyDescent="0.3">
      <c r="A336" s="2" t="s">
        <v>923</v>
      </c>
      <c r="B336" s="2" t="s">
        <v>924</v>
      </c>
      <c r="C336" s="2" t="s">
        <v>226</v>
      </c>
      <c r="D336" s="8">
        <v>30498</v>
      </c>
      <c r="E336" s="3">
        <v>4188.07</v>
      </c>
      <c r="F336" s="2">
        <v>2024</v>
      </c>
      <c r="G336" s="2" t="s">
        <v>87</v>
      </c>
      <c r="H336" s="2" t="s">
        <v>163</v>
      </c>
      <c r="I336" s="2" t="s">
        <v>61</v>
      </c>
      <c r="J336" s="2" t="s">
        <v>102</v>
      </c>
      <c r="K336" s="2" t="s">
        <v>32</v>
      </c>
      <c r="L336" s="2" t="s">
        <v>63</v>
      </c>
      <c r="M336" s="8">
        <v>45415</v>
      </c>
      <c r="N336" s="2" t="s">
        <v>925</v>
      </c>
      <c r="O336" s="8">
        <v>45415</v>
      </c>
      <c r="P336" s="8">
        <v>45416</v>
      </c>
      <c r="Q336" s="2" t="s">
        <v>35</v>
      </c>
      <c r="R336" s="2" t="s">
        <v>165</v>
      </c>
      <c r="S336" s="2">
        <v>645009</v>
      </c>
      <c r="T336" s="2" t="s">
        <v>312</v>
      </c>
      <c r="U336" s="2" t="s">
        <v>313</v>
      </c>
      <c r="V336" s="2" t="s">
        <v>926</v>
      </c>
      <c r="W336" s="2">
        <v>10</v>
      </c>
      <c r="X336" s="4">
        <v>0.05</v>
      </c>
      <c r="Y336" s="3">
        <v>533.32000000000005</v>
      </c>
    </row>
    <row r="337" spans="1:25" x14ac:dyDescent="0.3">
      <c r="A337" s="2" t="s">
        <v>923</v>
      </c>
      <c r="B337" s="2" t="s">
        <v>924</v>
      </c>
      <c r="C337" s="2" t="s">
        <v>226</v>
      </c>
      <c r="D337" s="8">
        <v>30498</v>
      </c>
      <c r="E337" s="3">
        <v>1400.52</v>
      </c>
      <c r="F337" s="2">
        <v>2025</v>
      </c>
      <c r="G337" s="2" t="s">
        <v>28</v>
      </c>
      <c r="H337" s="2" t="s">
        <v>163</v>
      </c>
      <c r="I337" s="2" t="s">
        <v>78</v>
      </c>
      <c r="J337" s="2" t="s">
        <v>102</v>
      </c>
      <c r="K337" s="2" t="s">
        <v>32</v>
      </c>
      <c r="L337" s="2" t="s">
        <v>63</v>
      </c>
      <c r="M337" s="8">
        <v>45711</v>
      </c>
      <c r="N337" s="2" t="s">
        <v>927</v>
      </c>
      <c r="O337" s="8">
        <v>45711</v>
      </c>
      <c r="P337" s="8">
        <v>45712</v>
      </c>
      <c r="Q337" s="2" t="s">
        <v>74</v>
      </c>
      <c r="R337" s="2" t="s">
        <v>165</v>
      </c>
      <c r="S337" s="2">
        <v>373995</v>
      </c>
      <c r="T337" s="2" t="s">
        <v>80</v>
      </c>
      <c r="U337" s="2" t="s">
        <v>81</v>
      </c>
      <c r="V337" s="2" t="s">
        <v>928</v>
      </c>
      <c r="W337" s="2">
        <v>4</v>
      </c>
      <c r="X337" s="4">
        <v>0</v>
      </c>
      <c r="Y337" s="3">
        <v>241.8</v>
      </c>
    </row>
    <row r="338" spans="1:25" x14ac:dyDescent="0.3">
      <c r="A338" s="2" t="s">
        <v>929</v>
      </c>
      <c r="B338" s="2" t="s">
        <v>405</v>
      </c>
      <c r="C338" s="2" t="s">
        <v>930</v>
      </c>
      <c r="D338" s="8">
        <v>30488</v>
      </c>
      <c r="E338" s="3">
        <v>3387.68</v>
      </c>
      <c r="F338" s="2">
        <v>2023</v>
      </c>
      <c r="G338" s="2" t="s">
        <v>28</v>
      </c>
      <c r="H338" s="2" t="s">
        <v>29</v>
      </c>
      <c r="I338" s="2" t="s">
        <v>92</v>
      </c>
      <c r="J338" s="2" t="s">
        <v>31</v>
      </c>
      <c r="K338" s="2" t="s">
        <v>32</v>
      </c>
      <c r="L338" s="2" t="s">
        <v>33</v>
      </c>
      <c r="M338" s="8">
        <v>45213</v>
      </c>
      <c r="N338" s="2" t="s">
        <v>931</v>
      </c>
      <c r="O338" s="8">
        <v>45209</v>
      </c>
      <c r="P338" s="8">
        <v>45214</v>
      </c>
      <c r="Q338" s="2" t="s">
        <v>74</v>
      </c>
      <c r="R338" s="2" t="s">
        <v>236</v>
      </c>
      <c r="S338" s="2">
        <v>421549</v>
      </c>
      <c r="T338" s="2" t="s">
        <v>147</v>
      </c>
      <c r="U338" s="2" t="s">
        <v>148</v>
      </c>
      <c r="V338" s="2" t="s">
        <v>932</v>
      </c>
      <c r="W338" s="2">
        <v>9</v>
      </c>
      <c r="X338" s="4">
        <v>0.05</v>
      </c>
      <c r="Y338" s="3">
        <v>351.02</v>
      </c>
    </row>
    <row r="339" spans="1:25" x14ac:dyDescent="0.3">
      <c r="A339" s="2" t="s">
        <v>929</v>
      </c>
      <c r="B339" s="2" t="s">
        <v>405</v>
      </c>
      <c r="C339" s="2" t="s">
        <v>930</v>
      </c>
      <c r="D339" s="8">
        <v>30488</v>
      </c>
      <c r="E339" s="3">
        <v>2089.81</v>
      </c>
      <c r="F339" s="2">
        <v>2024</v>
      </c>
      <c r="G339" s="2" t="s">
        <v>28</v>
      </c>
      <c r="H339" s="2" t="s">
        <v>29</v>
      </c>
      <c r="I339" s="2" t="s">
        <v>30</v>
      </c>
      <c r="J339" s="2" t="s">
        <v>31</v>
      </c>
      <c r="K339" s="2" t="s">
        <v>32</v>
      </c>
      <c r="L339" s="2" t="s">
        <v>33</v>
      </c>
      <c r="M339" s="8">
        <v>45301</v>
      </c>
      <c r="N339" s="2" t="s">
        <v>933</v>
      </c>
      <c r="O339" s="8">
        <v>45301</v>
      </c>
      <c r="P339" s="8">
        <v>45302</v>
      </c>
      <c r="Q339" s="2" t="s">
        <v>121</v>
      </c>
      <c r="R339" s="2" t="s">
        <v>236</v>
      </c>
      <c r="S339" s="2">
        <v>205149</v>
      </c>
      <c r="T339" s="2" t="s">
        <v>37</v>
      </c>
      <c r="U339" s="2" t="s">
        <v>38</v>
      </c>
      <c r="V339" s="2" t="s">
        <v>934</v>
      </c>
      <c r="W339" s="2">
        <v>7</v>
      </c>
      <c r="X339" s="4">
        <v>0.2</v>
      </c>
      <c r="Y339" s="3">
        <v>646.05999999999995</v>
      </c>
    </row>
    <row r="340" spans="1:25" x14ac:dyDescent="0.3">
      <c r="A340" s="2" t="s">
        <v>929</v>
      </c>
      <c r="B340" s="2" t="s">
        <v>405</v>
      </c>
      <c r="C340" s="2" t="s">
        <v>930</v>
      </c>
      <c r="D340" s="8">
        <v>30488</v>
      </c>
      <c r="E340" s="3">
        <v>2183.81</v>
      </c>
      <c r="F340" s="2">
        <v>2024</v>
      </c>
      <c r="G340" s="2" t="s">
        <v>28</v>
      </c>
      <c r="H340" s="2" t="s">
        <v>29</v>
      </c>
      <c r="I340" s="2" t="s">
        <v>61</v>
      </c>
      <c r="J340" s="2" t="s">
        <v>31</v>
      </c>
      <c r="K340" s="2" t="s">
        <v>32</v>
      </c>
      <c r="L340" s="2" t="s">
        <v>33</v>
      </c>
      <c r="M340" s="8">
        <v>45360</v>
      </c>
      <c r="N340" s="2" t="s">
        <v>935</v>
      </c>
      <c r="O340" s="8">
        <v>45360</v>
      </c>
      <c r="P340" s="8">
        <v>45361</v>
      </c>
      <c r="Q340" s="2" t="s">
        <v>35</v>
      </c>
      <c r="R340" s="2" t="s">
        <v>236</v>
      </c>
      <c r="S340" s="2">
        <v>943442</v>
      </c>
      <c r="T340" s="2" t="s">
        <v>113</v>
      </c>
      <c r="U340" s="2" t="s">
        <v>114</v>
      </c>
      <c r="V340" s="2" t="s">
        <v>936</v>
      </c>
      <c r="W340" s="2">
        <v>6</v>
      </c>
      <c r="X340" s="4">
        <v>0.1</v>
      </c>
      <c r="Y340" s="3">
        <v>565.86</v>
      </c>
    </row>
    <row r="341" spans="1:25" x14ac:dyDescent="0.3">
      <c r="A341" s="2" t="s">
        <v>929</v>
      </c>
      <c r="B341" s="2" t="s">
        <v>405</v>
      </c>
      <c r="C341" s="2" t="s">
        <v>930</v>
      </c>
      <c r="D341" s="8">
        <v>30488</v>
      </c>
      <c r="E341" s="3">
        <v>2289.8000000000002</v>
      </c>
      <c r="F341" s="2">
        <v>2024</v>
      </c>
      <c r="G341" s="2" t="s">
        <v>87</v>
      </c>
      <c r="H341" s="2" t="s">
        <v>29</v>
      </c>
      <c r="I341" s="2" t="s">
        <v>78</v>
      </c>
      <c r="J341" s="2" t="s">
        <v>31</v>
      </c>
      <c r="K341" s="2" t="s">
        <v>32</v>
      </c>
      <c r="L341" s="2" t="s">
        <v>33</v>
      </c>
      <c r="M341" s="8">
        <v>45505</v>
      </c>
      <c r="N341" s="2" t="s">
        <v>937</v>
      </c>
      <c r="O341" s="8">
        <v>45505</v>
      </c>
      <c r="P341" s="8">
        <v>45508</v>
      </c>
      <c r="Q341" s="2" t="s">
        <v>35</v>
      </c>
      <c r="R341" s="2" t="s">
        <v>236</v>
      </c>
      <c r="S341" s="2">
        <v>859687</v>
      </c>
      <c r="T341" s="2" t="s">
        <v>89</v>
      </c>
      <c r="U341" s="2" t="s">
        <v>90</v>
      </c>
      <c r="V341" s="2" t="s">
        <v>938</v>
      </c>
      <c r="W341" s="2">
        <v>10</v>
      </c>
      <c r="X341" s="4">
        <v>0</v>
      </c>
      <c r="Y341" s="3">
        <v>295.22000000000003</v>
      </c>
    </row>
    <row r="342" spans="1:25" x14ac:dyDescent="0.3">
      <c r="A342" s="2" t="s">
        <v>929</v>
      </c>
      <c r="B342" s="2" t="s">
        <v>405</v>
      </c>
      <c r="C342" s="2" t="s">
        <v>930</v>
      </c>
      <c r="D342" s="8">
        <v>30488</v>
      </c>
      <c r="E342" s="3">
        <v>1275.83</v>
      </c>
      <c r="F342" s="2">
        <v>2024</v>
      </c>
      <c r="G342" s="2" t="s">
        <v>28</v>
      </c>
      <c r="H342" s="2" t="s">
        <v>29</v>
      </c>
      <c r="I342" s="2" t="s">
        <v>92</v>
      </c>
      <c r="J342" s="2" t="s">
        <v>31</v>
      </c>
      <c r="K342" s="2" t="s">
        <v>32</v>
      </c>
      <c r="L342" s="2" t="s">
        <v>33</v>
      </c>
      <c r="M342" s="8">
        <v>45555</v>
      </c>
      <c r="N342" s="2" t="s">
        <v>939</v>
      </c>
      <c r="O342" s="8">
        <v>45553</v>
      </c>
      <c r="P342" s="8">
        <v>45555</v>
      </c>
      <c r="Q342" s="2" t="s">
        <v>41</v>
      </c>
      <c r="R342" s="2" t="s">
        <v>236</v>
      </c>
      <c r="S342" s="2">
        <v>111230</v>
      </c>
      <c r="T342" s="2" t="s">
        <v>127</v>
      </c>
      <c r="U342" s="2" t="s">
        <v>128</v>
      </c>
      <c r="V342" s="2" t="s">
        <v>940</v>
      </c>
      <c r="W342" s="2">
        <v>9</v>
      </c>
      <c r="X342" s="4">
        <v>0.1</v>
      </c>
      <c r="Y342" s="3">
        <v>85.79</v>
      </c>
    </row>
    <row r="343" spans="1:25" x14ac:dyDescent="0.3">
      <c r="A343" s="2" t="s">
        <v>929</v>
      </c>
      <c r="B343" s="2" t="s">
        <v>405</v>
      </c>
      <c r="C343" s="2" t="s">
        <v>930</v>
      </c>
      <c r="D343" s="8">
        <v>30488</v>
      </c>
      <c r="E343" s="3">
        <v>356.67</v>
      </c>
      <c r="F343" s="2">
        <v>2024</v>
      </c>
      <c r="G343" s="2" t="s">
        <v>48</v>
      </c>
      <c r="H343" s="2" t="s">
        <v>29</v>
      </c>
      <c r="I343" s="2" t="s">
        <v>61</v>
      </c>
      <c r="J343" s="2" t="s">
        <v>31</v>
      </c>
      <c r="K343" s="2" t="s">
        <v>32</v>
      </c>
      <c r="L343" s="2" t="s">
        <v>33</v>
      </c>
      <c r="M343" s="8">
        <v>45625</v>
      </c>
      <c r="N343" s="2" t="s">
        <v>941</v>
      </c>
      <c r="O343" s="8">
        <v>45623</v>
      </c>
      <c r="P343" s="8">
        <v>45625</v>
      </c>
      <c r="Q343" s="2" t="s">
        <v>35</v>
      </c>
      <c r="R343" s="2" t="s">
        <v>236</v>
      </c>
      <c r="S343" s="2">
        <v>477214</v>
      </c>
      <c r="T343" s="2" t="s">
        <v>204</v>
      </c>
      <c r="U343" s="2" t="s">
        <v>205</v>
      </c>
      <c r="V343" s="2" t="s">
        <v>942</v>
      </c>
      <c r="W343" s="2">
        <v>1</v>
      </c>
      <c r="X343" s="4">
        <v>0.1</v>
      </c>
      <c r="Y343" s="3">
        <v>73.03</v>
      </c>
    </row>
    <row r="344" spans="1:25" x14ac:dyDescent="0.3">
      <c r="A344" s="2" t="s">
        <v>943</v>
      </c>
      <c r="B344" s="2" t="s">
        <v>684</v>
      </c>
      <c r="C344" s="2" t="s">
        <v>27</v>
      </c>
      <c r="D344" s="8">
        <v>30010</v>
      </c>
      <c r="E344" s="3">
        <v>1260.17</v>
      </c>
      <c r="F344" s="2">
        <v>2023</v>
      </c>
      <c r="G344" s="2" t="s">
        <v>48</v>
      </c>
      <c r="H344" s="2" t="s">
        <v>29</v>
      </c>
      <c r="I344" s="2" t="s">
        <v>78</v>
      </c>
      <c r="J344" s="2" t="s">
        <v>102</v>
      </c>
      <c r="K344" s="2" t="s">
        <v>32</v>
      </c>
      <c r="L344" s="2" t="s">
        <v>33</v>
      </c>
      <c r="M344" s="8">
        <v>44929</v>
      </c>
      <c r="N344" s="2" t="s">
        <v>944</v>
      </c>
      <c r="O344" s="8">
        <v>44927</v>
      </c>
      <c r="P344" s="8">
        <v>44929</v>
      </c>
      <c r="Q344" s="2" t="s">
        <v>35</v>
      </c>
      <c r="R344" s="2" t="s">
        <v>197</v>
      </c>
      <c r="S344" s="2">
        <v>194545</v>
      </c>
      <c r="T344" s="2" t="s">
        <v>117</v>
      </c>
      <c r="U344" s="2" t="s">
        <v>118</v>
      </c>
      <c r="V344" s="2" t="s">
        <v>945</v>
      </c>
      <c r="W344" s="2">
        <v>7</v>
      </c>
      <c r="X344" s="4">
        <v>0.05</v>
      </c>
      <c r="Y344" s="3">
        <v>216.29</v>
      </c>
    </row>
    <row r="345" spans="1:25" x14ac:dyDescent="0.3">
      <c r="A345" s="2" t="s">
        <v>943</v>
      </c>
      <c r="B345" s="2" t="s">
        <v>684</v>
      </c>
      <c r="C345" s="2" t="s">
        <v>27</v>
      </c>
      <c r="D345" s="8">
        <v>30010</v>
      </c>
      <c r="E345" s="3">
        <v>4132.8</v>
      </c>
      <c r="F345" s="2">
        <v>2023</v>
      </c>
      <c r="G345" s="2" t="s">
        <v>87</v>
      </c>
      <c r="H345" s="2" t="s">
        <v>29</v>
      </c>
      <c r="I345" s="2" t="s">
        <v>30</v>
      </c>
      <c r="J345" s="2" t="s">
        <v>102</v>
      </c>
      <c r="K345" s="2" t="s">
        <v>32</v>
      </c>
      <c r="L345" s="2" t="s">
        <v>33</v>
      </c>
      <c r="M345" s="8">
        <v>45089</v>
      </c>
      <c r="N345" s="2" t="s">
        <v>946</v>
      </c>
      <c r="O345" s="8">
        <v>45088</v>
      </c>
      <c r="P345" s="8">
        <v>45091</v>
      </c>
      <c r="Q345" s="2" t="s">
        <v>121</v>
      </c>
      <c r="R345" s="2" t="s">
        <v>197</v>
      </c>
      <c r="S345" s="2">
        <v>576849</v>
      </c>
      <c r="T345" s="2" t="s">
        <v>37</v>
      </c>
      <c r="U345" s="2" t="s">
        <v>38</v>
      </c>
      <c r="V345" s="2" t="s">
        <v>947</v>
      </c>
      <c r="W345" s="2">
        <v>9</v>
      </c>
      <c r="X345" s="4">
        <v>0</v>
      </c>
      <c r="Y345" s="3">
        <v>637.45000000000005</v>
      </c>
    </row>
    <row r="346" spans="1:25" x14ac:dyDescent="0.3">
      <c r="A346" s="2" t="s">
        <v>948</v>
      </c>
      <c r="B346" s="2" t="s">
        <v>607</v>
      </c>
      <c r="C346" s="2" t="s">
        <v>259</v>
      </c>
      <c r="D346" s="8">
        <v>31284</v>
      </c>
      <c r="E346" s="3">
        <v>915.9</v>
      </c>
      <c r="F346" s="2">
        <v>2023</v>
      </c>
      <c r="G346" s="2" t="s">
        <v>87</v>
      </c>
      <c r="H346" s="2" t="s">
        <v>29</v>
      </c>
      <c r="I346" s="2" t="s">
        <v>30</v>
      </c>
      <c r="J346" s="2" t="s">
        <v>143</v>
      </c>
      <c r="K346" s="2" t="s">
        <v>32</v>
      </c>
      <c r="L346" s="2" t="s">
        <v>33</v>
      </c>
      <c r="M346" s="8">
        <v>44933</v>
      </c>
      <c r="N346" s="2" t="s">
        <v>949</v>
      </c>
      <c r="O346" s="8">
        <v>44931</v>
      </c>
      <c r="P346" s="8">
        <v>44934</v>
      </c>
      <c r="Q346" s="2" t="s">
        <v>41</v>
      </c>
      <c r="R346" s="2" t="s">
        <v>523</v>
      </c>
      <c r="S346" s="2">
        <v>495397</v>
      </c>
      <c r="T346" s="2" t="s">
        <v>75</v>
      </c>
      <c r="U346" s="2" t="s">
        <v>76</v>
      </c>
      <c r="V346" s="2" t="s">
        <v>950</v>
      </c>
      <c r="W346" s="2">
        <v>5</v>
      </c>
      <c r="X346" s="4">
        <v>0</v>
      </c>
      <c r="Y346" s="3">
        <v>266.42</v>
      </c>
    </row>
    <row r="347" spans="1:25" x14ac:dyDescent="0.3">
      <c r="A347" s="2" t="s">
        <v>948</v>
      </c>
      <c r="B347" s="2" t="s">
        <v>607</v>
      </c>
      <c r="C347" s="2" t="s">
        <v>259</v>
      </c>
      <c r="D347" s="8">
        <v>31284</v>
      </c>
      <c r="E347" s="3">
        <v>1227.49</v>
      </c>
      <c r="F347" s="2">
        <v>2023</v>
      </c>
      <c r="G347" s="2" t="s">
        <v>48</v>
      </c>
      <c r="H347" s="2" t="s">
        <v>29</v>
      </c>
      <c r="I347" s="2" t="s">
        <v>30</v>
      </c>
      <c r="J347" s="2" t="s">
        <v>143</v>
      </c>
      <c r="K347" s="2" t="s">
        <v>32</v>
      </c>
      <c r="L347" s="2" t="s">
        <v>33</v>
      </c>
      <c r="M347" s="8">
        <v>45040</v>
      </c>
      <c r="N347" s="2" t="s">
        <v>951</v>
      </c>
      <c r="O347" s="8">
        <v>45036</v>
      </c>
      <c r="P347" s="8">
        <v>45040</v>
      </c>
      <c r="Q347" s="2" t="s">
        <v>41</v>
      </c>
      <c r="R347" s="2" t="s">
        <v>523</v>
      </c>
      <c r="S347" s="2">
        <v>221916</v>
      </c>
      <c r="T347" s="2" t="s">
        <v>37</v>
      </c>
      <c r="U347" s="2" t="s">
        <v>38</v>
      </c>
      <c r="V347" s="2" t="s">
        <v>952</v>
      </c>
      <c r="W347" s="2">
        <v>4</v>
      </c>
      <c r="X347" s="4">
        <v>0.2</v>
      </c>
      <c r="Y347" s="3">
        <v>230.34</v>
      </c>
    </row>
    <row r="348" spans="1:25" x14ac:dyDescent="0.3">
      <c r="A348" s="2" t="s">
        <v>948</v>
      </c>
      <c r="B348" s="2" t="s">
        <v>607</v>
      </c>
      <c r="C348" s="2" t="s">
        <v>259</v>
      </c>
      <c r="D348" s="8">
        <v>31284</v>
      </c>
      <c r="E348" s="3">
        <v>1379.68</v>
      </c>
      <c r="F348" s="2">
        <v>2023</v>
      </c>
      <c r="G348" s="2" t="s">
        <v>87</v>
      </c>
      <c r="H348" s="2" t="s">
        <v>29</v>
      </c>
      <c r="I348" s="2" t="s">
        <v>43</v>
      </c>
      <c r="J348" s="2" t="s">
        <v>143</v>
      </c>
      <c r="K348" s="2" t="s">
        <v>32</v>
      </c>
      <c r="L348" s="2" t="s">
        <v>33</v>
      </c>
      <c r="M348" s="8">
        <v>45108</v>
      </c>
      <c r="N348" s="2" t="s">
        <v>953</v>
      </c>
      <c r="O348" s="8">
        <v>45106</v>
      </c>
      <c r="P348" s="8">
        <v>45110</v>
      </c>
      <c r="Q348" s="2" t="s">
        <v>35</v>
      </c>
      <c r="R348" s="2" t="s">
        <v>523</v>
      </c>
      <c r="S348" s="2">
        <v>834861</v>
      </c>
      <c r="T348" s="2" t="s">
        <v>45</v>
      </c>
      <c r="U348" s="2" t="s">
        <v>46</v>
      </c>
      <c r="V348" s="2" t="s">
        <v>954</v>
      </c>
      <c r="W348" s="2">
        <v>4</v>
      </c>
      <c r="X348" s="4">
        <v>0</v>
      </c>
      <c r="Y348" s="3">
        <v>400.17</v>
      </c>
    </row>
    <row r="349" spans="1:25" x14ac:dyDescent="0.3">
      <c r="A349" s="2" t="s">
        <v>948</v>
      </c>
      <c r="B349" s="2" t="s">
        <v>607</v>
      </c>
      <c r="C349" s="2" t="s">
        <v>259</v>
      </c>
      <c r="D349" s="8">
        <v>31284</v>
      </c>
      <c r="E349" s="3">
        <v>359.53</v>
      </c>
      <c r="F349" s="2">
        <v>2023</v>
      </c>
      <c r="G349" s="2" t="s">
        <v>28</v>
      </c>
      <c r="H349" s="2" t="s">
        <v>29</v>
      </c>
      <c r="I349" s="2" t="s">
        <v>43</v>
      </c>
      <c r="J349" s="2" t="s">
        <v>143</v>
      </c>
      <c r="K349" s="2" t="s">
        <v>32</v>
      </c>
      <c r="L349" s="2" t="s">
        <v>33</v>
      </c>
      <c r="M349" s="8">
        <v>45194</v>
      </c>
      <c r="N349" s="2" t="s">
        <v>955</v>
      </c>
      <c r="O349" s="8">
        <v>45194</v>
      </c>
      <c r="P349" s="8">
        <v>45195</v>
      </c>
      <c r="Q349" s="2" t="s">
        <v>74</v>
      </c>
      <c r="R349" s="2" t="s">
        <v>523</v>
      </c>
      <c r="S349" s="2">
        <v>470711</v>
      </c>
      <c r="T349" s="2" t="s">
        <v>45</v>
      </c>
      <c r="U349" s="2" t="s">
        <v>46</v>
      </c>
      <c r="V349" s="2" t="s">
        <v>956</v>
      </c>
      <c r="W349" s="2">
        <v>2</v>
      </c>
      <c r="X349" s="4">
        <v>0.15</v>
      </c>
      <c r="Y349" s="3">
        <v>106.54</v>
      </c>
    </row>
    <row r="350" spans="1:25" x14ac:dyDescent="0.3">
      <c r="A350" s="2" t="s">
        <v>948</v>
      </c>
      <c r="B350" s="2" t="s">
        <v>607</v>
      </c>
      <c r="C350" s="2" t="s">
        <v>259</v>
      </c>
      <c r="D350" s="8">
        <v>31284</v>
      </c>
      <c r="E350" s="3">
        <v>1038.08</v>
      </c>
      <c r="F350" s="2">
        <v>2024</v>
      </c>
      <c r="G350" s="2" t="s">
        <v>48</v>
      </c>
      <c r="H350" s="2" t="s">
        <v>29</v>
      </c>
      <c r="I350" s="2" t="s">
        <v>61</v>
      </c>
      <c r="J350" s="2" t="s">
        <v>143</v>
      </c>
      <c r="K350" s="2" t="s">
        <v>32</v>
      </c>
      <c r="L350" s="2" t="s">
        <v>33</v>
      </c>
      <c r="M350" s="8">
        <v>45344</v>
      </c>
      <c r="N350" s="2" t="s">
        <v>957</v>
      </c>
      <c r="O350" s="8">
        <v>45343</v>
      </c>
      <c r="P350" s="8">
        <v>45345</v>
      </c>
      <c r="Q350" s="2" t="s">
        <v>121</v>
      </c>
      <c r="R350" s="2" t="s">
        <v>523</v>
      </c>
      <c r="S350" s="2">
        <v>312616</v>
      </c>
      <c r="T350" s="2" t="s">
        <v>204</v>
      </c>
      <c r="U350" s="2" t="s">
        <v>205</v>
      </c>
      <c r="V350" s="2" t="s">
        <v>958</v>
      </c>
      <c r="W350" s="2">
        <v>4</v>
      </c>
      <c r="X350" s="4">
        <v>0</v>
      </c>
      <c r="Y350" s="3">
        <v>125.05</v>
      </c>
    </row>
    <row r="351" spans="1:25" x14ac:dyDescent="0.3">
      <c r="A351" s="2" t="s">
        <v>948</v>
      </c>
      <c r="B351" s="2" t="s">
        <v>607</v>
      </c>
      <c r="C351" s="2" t="s">
        <v>259</v>
      </c>
      <c r="D351" s="8">
        <v>31284</v>
      </c>
      <c r="E351" s="3">
        <v>155.08000000000001</v>
      </c>
      <c r="F351" s="2">
        <v>2024</v>
      </c>
      <c r="G351" s="2" t="s">
        <v>48</v>
      </c>
      <c r="H351" s="2" t="s">
        <v>29</v>
      </c>
      <c r="I351" s="2" t="s">
        <v>61</v>
      </c>
      <c r="J351" s="2" t="s">
        <v>143</v>
      </c>
      <c r="K351" s="2" t="s">
        <v>32</v>
      </c>
      <c r="L351" s="2" t="s">
        <v>33</v>
      </c>
      <c r="M351" s="8">
        <v>45449</v>
      </c>
      <c r="N351" s="2" t="s">
        <v>959</v>
      </c>
      <c r="O351" s="8">
        <v>45445</v>
      </c>
      <c r="P351" s="8">
        <v>45449</v>
      </c>
      <c r="Q351" s="2" t="s">
        <v>35</v>
      </c>
      <c r="R351" s="2" t="s">
        <v>523</v>
      </c>
      <c r="S351" s="2">
        <v>989203</v>
      </c>
      <c r="T351" s="2" t="s">
        <v>204</v>
      </c>
      <c r="U351" s="2" t="s">
        <v>205</v>
      </c>
      <c r="V351" s="2" t="s">
        <v>960</v>
      </c>
      <c r="W351" s="2">
        <v>2</v>
      </c>
      <c r="X351" s="4">
        <v>0</v>
      </c>
      <c r="Y351" s="3">
        <v>39.200000000000003</v>
      </c>
    </row>
    <row r="352" spans="1:25" x14ac:dyDescent="0.3">
      <c r="A352" s="2" t="s">
        <v>948</v>
      </c>
      <c r="B352" s="2" t="s">
        <v>607</v>
      </c>
      <c r="C352" s="2" t="s">
        <v>259</v>
      </c>
      <c r="D352" s="8">
        <v>31284</v>
      </c>
      <c r="E352" s="3">
        <v>1384.13</v>
      </c>
      <c r="F352" s="2">
        <v>2024</v>
      </c>
      <c r="G352" s="2" t="s">
        <v>87</v>
      </c>
      <c r="H352" s="2" t="s">
        <v>29</v>
      </c>
      <c r="I352" s="2" t="s">
        <v>92</v>
      </c>
      <c r="J352" s="2" t="s">
        <v>143</v>
      </c>
      <c r="K352" s="2" t="s">
        <v>32</v>
      </c>
      <c r="L352" s="2" t="s">
        <v>33</v>
      </c>
      <c r="M352" s="8">
        <v>45516</v>
      </c>
      <c r="N352" s="2" t="s">
        <v>961</v>
      </c>
      <c r="O352" s="8">
        <v>45515</v>
      </c>
      <c r="P352" s="8">
        <v>45519</v>
      </c>
      <c r="Q352" s="2" t="s">
        <v>74</v>
      </c>
      <c r="R352" s="2" t="s">
        <v>523</v>
      </c>
      <c r="S352" s="2">
        <v>517206</v>
      </c>
      <c r="T352" s="2" t="s">
        <v>94</v>
      </c>
      <c r="U352" s="2" t="s">
        <v>95</v>
      </c>
      <c r="V352" s="2" t="s">
        <v>962</v>
      </c>
      <c r="W352" s="2">
        <v>6</v>
      </c>
      <c r="X352" s="4">
        <v>0.1</v>
      </c>
      <c r="Y352" s="3">
        <v>429.95</v>
      </c>
    </row>
    <row r="353" spans="1:25" x14ac:dyDescent="0.3">
      <c r="A353" s="2" t="s">
        <v>963</v>
      </c>
      <c r="B353" s="2" t="s">
        <v>247</v>
      </c>
      <c r="C353" s="2" t="s">
        <v>964</v>
      </c>
      <c r="D353" s="8">
        <v>34556</v>
      </c>
      <c r="E353" s="3">
        <v>320.67</v>
      </c>
      <c r="F353" s="2">
        <v>2023</v>
      </c>
      <c r="G353" s="2" t="s">
        <v>48</v>
      </c>
      <c r="H353" s="2" t="s">
        <v>29</v>
      </c>
      <c r="I353" s="2" t="s">
        <v>78</v>
      </c>
      <c r="J353" s="2" t="s">
        <v>31</v>
      </c>
      <c r="K353" s="2" t="s">
        <v>32</v>
      </c>
      <c r="L353" s="2" t="s">
        <v>144</v>
      </c>
      <c r="M353" s="8">
        <v>45059</v>
      </c>
      <c r="N353" s="2" t="s">
        <v>965</v>
      </c>
      <c r="O353" s="8">
        <v>45058</v>
      </c>
      <c r="P353" s="8">
        <v>45060</v>
      </c>
      <c r="Q353" s="2" t="s">
        <v>41</v>
      </c>
      <c r="R353" s="2" t="s">
        <v>837</v>
      </c>
      <c r="S353" s="2">
        <v>430984</v>
      </c>
      <c r="T353" s="2" t="s">
        <v>80</v>
      </c>
      <c r="U353" s="2" t="s">
        <v>81</v>
      </c>
      <c r="V353" s="2" t="s">
        <v>966</v>
      </c>
      <c r="W353" s="2">
        <v>9</v>
      </c>
      <c r="X353" s="4">
        <v>0</v>
      </c>
      <c r="Y353" s="3">
        <v>53.91</v>
      </c>
    </row>
    <row r="354" spans="1:25" x14ac:dyDescent="0.3">
      <c r="A354" s="2" t="s">
        <v>963</v>
      </c>
      <c r="B354" s="2" t="s">
        <v>247</v>
      </c>
      <c r="C354" s="2" t="s">
        <v>964</v>
      </c>
      <c r="D354" s="8">
        <v>34556</v>
      </c>
      <c r="E354" s="3">
        <v>808.52</v>
      </c>
      <c r="F354" s="2">
        <v>2024</v>
      </c>
      <c r="G354" s="2" t="s">
        <v>48</v>
      </c>
      <c r="H354" s="2" t="s">
        <v>29</v>
      </c>
      <c r="I354" s="2" t="s">
        <v>49</v>
      </c>
      <c r="J354" s="2" t="s">
        <v>31</v>
      </c>
      <c r="K354" s="2" t="s">
        <v>32</v>
      </c>
      <c r="L354" s="2" t="s">
        <v>144</v>
      </c>
      <c r="M354" s="8">
        <v>45519</v>
      </c>
      <c r="N354" s="2" t="s">
        <v>967</v>
      </c>
      <c r="O354" s="8">
        <v>45517</v>
      </c>
      <c r="P354" s="8">
        <v>45522</v>
      </c>
      <c r="Q354" s="2" t="s">
        <v>74</v>
      </c>
      <c r="R354" s="2" t="s">
        <v>837</v>
      </c>
      <c r="S354" s="2">
        <v>348658</v>
      </c>
      <c r="T354" s="2" t="s">
        <v>109</v>
      </c>
      <c r="U354" s="2" t="s">
        <v>110</v>
      </c>
      <c r="V354" s="2" t="s">
        <v>968</v>
      </c>
      <c r="W354" s="2">
        <v>4</v>
      </c>
      <c r="X354" s="4">
        <v>0</v>
      </c>
      <c r="Y354" s="3">
        <v>119.36</v>
      </c>
    </row>
    <row r="355" spans="1:25" x14ac:dyDescent="0.3">
      <c r="A355" s="2" t="s">
        <v>969</v>
      </c>
      <c r="B355" s="2" t="s">
        <v>650</v>
      </c>
      <c r="C355" s="2" t="s">
        <v>248</v>
      </c>
      <c r="D355" s="8">
        <v>24880</v>
      </c>
      <c r="E355" s="3">
        <v>707.71</v>
      </c>
      <c r="F355" s="2">
        <v>2023</v>
      </c>
      <c r="G355" s="2" t="s">
        <v>28</v>
      </c>
      <c r="H355" s="2" t="s">
        <v>29</v>
      </c>
      <c r="I355" s="2" t="s">
        <v>61</v>
      </c>
      <c r="J355" s="2" t="s">
        <v>31</v>
      </c>
      <c r="K355" s="2" t="s">
        <v>32</v>
      </c>
      <c r="L355" s="2" t="s">
        <v>63</v>
      </c>
      <c r="M355" s="8">
        <v>45280</v>
      </c>
      <c r="N355" s="2" t="s">
        <v>970</v>
      </c>
      <c r="O355" s="8">
        <v>45278</v>
      </c>
      <c r="P355" s="8">
        <v>45282</v>
      </c>
      <c r="Q355" s="2" t="s">
        <v>121</v>
      </c>
      <c r="R355" s="2" t="s">
        <v>36</v>
      </c>
      <c r="S355" s="2">
        <v>699166</v>
      </c>
      <c r="T355" s="2" t="s">
        <v>113</v>
      </c>
      <c r="U355" s="2" t="s">
        <v>114</v>
      </c>
      <c r="V355" s="2" t="s">
        <v>971</v>
      </c>
      <c r="W355" s="2">
        <v>4</v>
      </c>
      <c r="X355" s="4">
        <v>0.2</v>
      </c>
      <c r="Y355" s="3">
        <v>114.43</v>
      </c>
    </row>
    <row r="356" spans="1:25" x14ac:dyDescent="0.3">
      <c r="A356" s="2" t="s">
        <v>969</v>
      </c>
      <c r="B356" s="2" t="s">
        <v>650</v>
      </c>
      <c r="C356" s="2" t="s">
        <v>248</v>
      </c>
      <c r="D356" s="8">
        <v>24880</v>
      </c>
      <c r="E356" s="3">
        <v>585.58000000000004</v>
      </c>
      <c r="F356" s="2">
        <v>2024</v>
      </c>
      <c r="G356" s="2" t="s">
        <v>48</v>
      </c>
      <c r="H356" s="2" t="s">
        <v>29</v>
      </c>
      <c r="I356" s="2" t="s">
        <v>61</v>
      </c>
      <c r="J356" s="2" t="s">
        <v>31</v>
      </c>
      <c r="K356" s="2" t="s">
        <v>32</v>
      </c>
      <c r="L356" s="2" t="s">
        <v>63</v>
      </c>
      <c r="M356" s="8">
        <v>45304</v>
      </c>
      <c r="N356" s="2" t="s">
        <v>972</v>
      </c>
      <c r="O356" s="8">
        <v>45301</v>
      </c>
      <c r="P356" s="8">
        <v>45305</v>
      </c>
      <c r="Q356" s="2" t="s">
        <v>121</v>
      </c>
      <c r="R356" s="2" t="s">
        <v>36</v>
      </c>
      <c r="S356" s="2">
        <v>938900</v>
      </c>
      <c r="T356" s="2" t="s">
        <v>66</v>
      </c>
      <c r="U356" s="2" t="s">
        <v>67</v>
      </c>
      <c r="V356" s="2" t="s">
        <v>973</v>
      </c>
      <c r="W356" s="2">
        <v>2</v>
      </c>
      <c r="X356" s="4">
        <v>0.2</v>
      </c>
      <c r="Y356" s="3">
        <v>70.7</v>
      </c>
    </row>
    <row r="357" spans="1:25" x14ac:dyDescent="0.3">
      <c r="A357" s="2" t="s">
        <v>969</v>
      </c>
      <c r="B357" s="2" t="s">
        <v>650</v>
      </c>
      <c r="C357" s="2" t="s">
        <v>248</v>
      </c>
      <c r="D357" s="8">
        <v>24880</v>
      </c>
      <c r="E357" s="3">
        <v>99.53</v>
      </c>
      <c r="F357" s="2">
        <v>2024</v>
      </c>
      <c r="G357" s="2" t="s">
        <v>87</v>
      </c>
      <c r="H357" s="2" t="s">
        <v>29</v>
      </c>
      <c r="I357" s="2" t="s">
        <v>49</v>
      </c>
      <c r="J357" s="2" t="s">
        <v>31</v>
      </c>
      <c r="K357" s="2" t="s">
        <v>32</v>
      </c>
      <c r="L357" s="2" t="s">
        <v>63</v>
      </c>
      <c r="M357" s="8">
        <v>45558</v>
      </c>
      <c r="N357" s="2" t="s">
        <v>974</v>
      </c>
      <c r="O357" s="8">
        <v>45554</v>
      </c>
      <c r="P357" s="8">
        <v>45559</v>
      </c>
      <c r="Q357" s="2" t="s">
        <v>74</v>
      </c>
      <c r="R357" s="2" t="s">
        <v>36</v>
      </c>
      <c r="S357" s="2">
        <v>923481</v>
      </c>
      <c r="T357" s="2" t="s">
        <v>109</v>
      </c>
      <c r="U357" s="2" t="s">
        <v>110</v>
      </c>
      <c r="V357" s="2" t="s">
        <v>975</v>
      </c>
      <c r="W357" s="2">
        <v>1</v>
      </c>
      <c r="X357" s="4">
        <v>0.05</v>
      </c>
      <c r="Y357" s="3">
        <v>8.99</v>
      </c>
    </row>
    <row r="358" spans="1:25" x14ac:dyDescent="0.3">
      <c r="A358" s="2" t="s">
        <v>976</v>
      </c>
      <c r="B358" s="2" t="s">
        <v>124</v>
      </c>
      <c r="C358" s="2" t="s">
        <v>327</v>
      </c>
      <c r="D358" s="8">
        <v>34876</v>
      </c>
      <c r="E358" s="3">
        <v>117.17</v>
      </c>
      <c r="F358" s="2">
        <v>2023</v>
      </c>
      <c r="G358" s="2" t="s">
        <v>87</v>
      </c>
      <c r="H358" s="2" t="s">
        <v>29</v>
      </c>
      <c r="I358" s="2" t="s">
        <v>78</v>
      </c>
      <c r="J358" s="2" t="s">
        <v>62</v>
      </c>
      <c r="K358" s="2" t="s">
        <v>32</v>
      </c>
      <c r="L358" s="2" t="s">
        <v>33</v>
      </c>
      <c r="M358" s="8">
        <v>45184</v>
      </c>
      <c r="N358" s="2" t="s">
        <v>977</v>
      </c>
      <c r="O358" s="8">
        <v>45183</v>
      </c>
      <c r="P358" s="8">
        <v>45184</v>
      </c>
      <c r="Q358" s="2" t="s">
        <v>74</v>
      </c>
      <c r="R358" s="2" t="s">
        <v>65</v>
      </c>
      <c r="S358" s="2">
        <v>372387</v>
      </c>
      <c r="T358" s="2" t="s">
        <v>80</v>
      </c>
      <c r="U358" s="2" t="s">
        <v>81</v>
      </c>
      <c r="V358" s="2" t="s">
        <v>978</v>
      </c>
      <c r="W358" s="2">
        <v>3</v>
      </c>
      <c r="X358" s="4">
        <v>0.2</v>
      </c>
      <c r="Y358" s="3">
        <v>14.8</v>
      </c>
    </row>
    <row r="359" spans="1:25" x14ac:dyDescent="0.3">
      <c r="A359" s="2" t="s">
        <v>976</v>
      </c>
      <c r="B359" s="2" t="s">
        <v>124</v>
      </c>
      <c r="C359" s="2" t="s">
        <v>327</v>
      </c>
      <c r="D359" s="8">
        <v>34876</v>
      </c>
      <c r="E359" s="3">
        <v>4205.6099999999997</v>
      </c>
      <c r="F359" s="2">
        <v>2024</v>
      </c>
      <c r="G359" s="2" t="s">
        <v>28</v>
      </c>
      <c r="H359" s="2" t="s">
        <v>29</v>
      </c>
      <c r="I359" s="2" t="s">
        <v>43</v>
      </c>
      <c r="J359" s="2" t="s">
        <v>62</v>
      </c>
      <c r="K359" s="2" t="s">
        <v>32</v>
      </c>
      <c r="L359" s="2" t="s">
        <v>33</v>
      </c>
      <c r="M359" s="8">
        <v>45502</v>
      </c>
      <c r="N359" s="2" t="s">
        <v>979</v>
      </c>
      <c r="O359" s="8">
        <v>45502</v>
      </c>
      <c r="P359" s="8">
        <v>45506</v>
      </c>
      <c r="Q359" s="2" t="s">
        <v>121</v>
      </c>
      <c r="R359" s="2" t="s">
        <v>65</v>
      </c>
      <c r="S359" s="2">
        <v>704875</v>
      </c>
      <c r="T359" s="2" t="s">
        <v>153</v>
      </c>
      <c r="U359" s="2" t="s">
        <v>154</v>
      </c>
      <c r="V359" s="2" t="s">
        <v>980</v>
      </c>
      <c r="W359" s="2">
        <v>9</v>
      </c>
      <c r="X359" s="4">
        <v>0</v>
      </c>
      <c r="Y359" s="3">
        <v>644.48</v>
      </c>
    </row>
    <row r="360" spans="1:25" x14ac:dyDescent="0.3">
      <c r="A360" s="2" t="s">
        <v>976</v>
      </c>
      <c r="B360" s="2" t="s">
        <v>124</v>
      </c>
      <c r="C360" s="2" t="s">
        <v>327</v>
      </c>
      <c r="D360" s="8">
        <v>34876</v>
      </c>
      <c r="E360" s="3">
        <v>747.22</v>
      </c>
      <c r="F360" s="2">
        <v>2024</v>
      </c>
      <c r="G360" s="2" t="s">
        <v>87</v>
      </c>
      <c r="H360" s="2" t="s">
        <v>29</v>
      </c>
      <c r="I360" s="2" t="s">
        <v>30</v>
      </c>
      <c r="J360" s="2" t="s">
        <v>62</v>
      </c>
      <c r="K360" s="2" t="s">
        <v>32</v>
      </c>
      <c r="L360" s="2" t="s">
        <v>33</v>
      </c>
      <c r="M360" s="8">
        <v>45511</v>
      </c>
      <c r="N360" s="2" t="s">
        <v>981</v>
      </c>
      <c r="O360" s="8">
        <v>45508</v>
      </c>
      <c r="P360" s="8">
        <v>45511</v>
      </c>
      <c r="Q360" s="2" t="s">
        <v>41</v>
      </c>
      <c r="R360" s="2" t="s">
        <v>65</v>
      </c>
      <c r="S360" s="2">
        <v>182216</v>
      </c>
      <c r="T360" s="2" t="s">
        <v>55</v>
      </c>
      <c r="U360" s="2" t="s">
        <v>56</v>
      </c>
      <c r="V360" s="2" t="s">
        <v>982</v>
      </c>
      <c r="W360" s="2">
        <v>9</v>
      </c>
      <c r="X360" s="4">
        <v>0.2</v>
      </c>
      <c r="Y360" s="3">
        <v>101.16</v>
      </c>
    </row>
    <row r="361" spans="1:25" x14ac:dyDescent="0.3">
      <c r="A361" s="2" t="s">
        <v>976</v>
      </c>
      <c r="B361" s="2" t="s">
        <v>124</v>
      </c>
      <c r="C361" s="2" t="s">
        <v>327</v>
      </c>
      <c r="D361" s="8">
        <v>34876</v>
      </c>
      <c r="E361" s="3">
        <v>1113.74</v>
      </c>
      <c r="F361" s="2">
        <v>2025</v>
      </c>
      <c r="G361" s="2" t="s">
        <v>87</v>
      </c>
      <c r="H361" s="2" t="s">
        <v>29</v>
      </c>
      <c r="I361" s="2" t="s">
        <v>92</v>
      </c>
      <c r="J361" s="2" t="s">
        <v>62</v>
      </c>
      <c r="K361" s="2" t="s">
        <v>32</v>
      </c>
      <c r="L361" s="2" t="s">
        <v>33</v>
      </c>
      <c r="M361" s="8">
        <v>45809</v>
      </c>
      <c r="N361" s="2" t="s">
        <v>983</v>
      </c>
      <c r="O361" s="8">
        <v>45806</v>
      </c>
      <c r="P361" s="8">
        <v>45809</v>
      </c>
      <c r="Q361" s="2" t="s">
        <v>41</v>
      </c>
      <c r="R361" s="2" t="s">
        <v>65</v>
      </c>
      <c r="S361" s="2">
        <v>990136</v>
      </c>
      <c r="T361" s="2" t="s">
        <v>94</v>
      </c>
      <c r="U361" s="2" t="s">
        <v>95</v>
      </c>
      <c r="V361" s="2" t="s">
        <v>984</v>
      </c>
      <c r="W361" s="2">
        <v>3</v>
      </c>
      <c r="X361" s="4">
        <v>0.15</v>
      </c>
      <c r="Y361" s="3">
        <v>325.56</v>
      </c>
    </row>
    <row r="362" spans="1:25" x14ac:dyDescent="0.3">
      <c r="A362" s="2" t="s">
        <v>985</v>
      </c>
      <c r="B362" s="2" t="s">
        <v>210</v>
      </c>
      <c r="C362" s="2" t="s">
        <v>226</v>
      </c>
      <c r="D362" s="8">
        <v>28022</v>
      </c>
      <c r="E362" s="3">
        <v>3294.3</v>
      </c>
      <c r="F362" s="2">
        <v>2023</v>
      </c>
      <c r="G362" s="2" t="s">
        <v>28</v>
      </c>
      <c r="H362" s="2" t="s">
        <v>29</v>
      </c>
      <c r="I362" s="2" t="s">
        <v>43</v>
      </c>
      <c r="J362" s="2" t="s">
        <v>31</v>
      </c>
      <c r="K362" s="2" t="s">
        <v>32</v>
      </c>
      <c r="L362" s="2" t="s">
        <v>144</v>
      </c>
      <c r="M362" s="8">
        <v>45011</v>
      </c>
      <c r="N362" s="2" t="s">
        <v>986</v>
      </c>
      <c r="O362" s="8">
        <v>45008</v>
      </c>
      <c r="P362" s="8">
        <v>45011</v>
      </c>
      <c r="Q362" s="2" t="s">
        <v>121</v>
      </c>
      <c r="R362" s="2" t="s">
        <v>261</v>
      </c>
      <c r="S362" s="2">
        <v>292818</v>
      </c>
      <c r="T362" s="2" t="s">
        <v>70</v>
      </c>
      <c r="U362" s="2" t="s">
        <v>71</v>
      </c>
      <c r="V362" s="2" t="s">
        <v>987</v>
      </c>
      <c r="W362" s="2">
        <v>10</v>
      </c>
      <c r="X362" s="4">
        <v>0</v>
      </c>
      <c r="Y362" s="3">
        <v>1042.01</v>
      </c>
    </row>
    <row r="363" spans="1:25" x14ac:dyDescent="0.3">
      <c r="A363" s="2" t="s">
        <v>985</v>
      </c>
      <c r="B363" s="2" t="s">
        <v>210</v>
      </c>
      <c r="C363" s="2" t="s">
        <v>226</v>
      </c>
      <c r="D363" s="8">
        <v>28022</v>
      </c>
      <c r="E363" s="3">
        <v>1148.42</v>
      </c>
      <c r="F363" s="2">
        <v>2023</v>
      </c>
      <c r="G363" s="2" t="s">
        <v>48</v>
      </c>
      <c r="H363" s="2" t="s">
        <v>29</v>
      </c>
      <c r="I363" s="2" t="s">
        <v>78</v>
      </c>
      <c r="J363" s="2" t="s">
        <v>31</v>
      </c>
      <c r="K363" s="2" t="s">
        <v>32</v>
      </c>
      <c r="L363" s="2" t="s">
        <v>144</v>
      </c>
      <c r="M363" s="8">
        <v>45092</v>
      </c>
      <c r="N363" s="2" t="s">
        <v>988</v>
      </c>
      <c r="O363" s="8">
        <v>45092</v>
      </c>
      <c r="P363" s="8">
        <v>45093</v>
      </c>
      <c r="Q363" s="2" t="s">
        <v>41</v>
      </c>
      <c r="R363" s="2" t="s">
        <v>261</v>
      </c>
      <c r="S363" s="2">
        <v>208013</v>
      </c>
      <c r="T363" s="2" t="s">
        <v>89</v>
      </c>
      <c r="U363" s="2" t="s">
        <v>90</v>
      </c>
      <c r="V363" s="2" t="s">
        <v>989</v>
      </c>
      <c r="W363" s="2">
        <v>4</v>
      </c>
      <c r="X363" s="4">
        <v>0.15</v>
      </c>
      <c r="Y363" s="3">
        <v>298.83</v>
      </c>
    </row>
    <row r="364" spans="1:25" x14ac:dyDescent="0.3">
      <c r="A364" s="2" t="s">
        <v>985</v>
      </c>
      <c r="B364" s="2" t="s">
        <v>210</v>
      </c>
      <c r="C364" s="2" t="s">
        <v>226</v>
      </c>
      <c r="D364" s="8">
        <v>28022</v>
      </c>
      <c r="E364" s="3">
        <v>2266</v>
      </c>
      <c r="F364" s="2">
        <v>2023</v>
      </c>
      <c r="G364" s="2" t="s">
        <v>48</v>
      </c>
      <c r="H364" s="2" t="s">
        <v>29</v>
      </c>
      <c r="I364" s="2" t="s">
        <v>78</v>
      </c>
      <c r="J364" s="2" t="s">
        <v>31</v>
      </c>
      <c r="K364" s="2" t="s">
        <v>32</v>
      </c>
      <c r="L364" s="2" t="s">
        <v>144</v>
      </c>
      <c r="M364" s="8">
        <v>45160</v>
      </c>
      <c r="N364" s="2" t="s">
        <v>990</v>
      </c>
      <c r="O364" s="8">
        <v>45160</v>
      </c>
      <c r="P364" s="8">
        <v>45165</v>
      </c>
      <c r="Q364" s="2" t="s">
        <v>74</v>
      </c>
      <c r="R364" s="2" t="s">
        <v>261</v>
      </c>
      <c r="S364" s="2">
        <v>748127</v>
      </c>
      <c r="T364" s="2" t="s">
        <v>135</v>
      </c>
      <c r="U364" s="2" t="s">
        <v>136</v>
      </c>
      <c r="V364" s="2" t="s">
        <v>991</v>
      </c>
      <c r="W364" s="2">
        <v>8</v>
      </c>
      <c r="X364" s="4">
        <v>0</v>
      </c>
      <c r="Y364" s="3">
        <v>637.38</v>
      </c>
    </row>
    <row r="365" spans="1:25" x14ac:dyDescent="0.3">
      <c r="A365" s="2" t="s">
        <v>985</v>
      </c>
      <c r="B365" s="2" t="s">
        <v>210</v>
      </c>
      <c r="C365" s="2" t="s">
        <v>226</v>
      </c>
      <c r="D365" s="8">
        <v>28022</v>
      </c>
      <c r="E365" s="3">
        <v>1179.5</v>
      </c>
      <c r="F365" s="2">
        <v>2023</v>
      </c>
      <c r="G365" s="2" t="s">
        <v>48</v>
      </c>
      <c r="H365" s="2" t="s">
        <v>29</v>
      </c>
      <c r="I365" s="2" t="s">
        <v>61</v>
      </c>
      <c r="J365" s="2" t="s">
        <v>31</v>
      </c>
      <c r="K365" s="2" t="s">
        <v>32</v>
      </c>
      <c r="L365" s="2" t="s">
        <v>144</v>
      </c>
      <c r="M365" s="8">
        <v>45249</v>
      </c>
      <c r="N365" s="2" t="s">
        <v>992</v>
      </c>
      <c r="O365" s="8">
        <v>45248</v>
      </c>
      <c r="P365" s="8">
        <v>45252</v>
      </c>
      <c r="Q365" s="2" t="s">
        <v>121</v>
      </c>
      <c r="R365" s="2" t="s">
        <v>261</v>
      </c>
      <c r="S365" s="2">
        <v>129959</v>
      </c>
      <c r="T365" s="2" t="s">
        <v>312</v>
      </c>
      <c r="U365" s="2" t="s">
        <v>313</v>
      </c>
      <c r="V365" s="2" t="s">
        <v>993</v>
      </c>
      <c r="W365" s="2">
        <v>7</v>
      </c>
      <c r="X365" s="4">
        <v>0</v>
      </c>
      <c r="Y365" s="3">
        <v>319.97000000000003</v>
      </c>
    </row>
    <row r="366" spans="1:25" x14ac:dyDescent="0.3">
      <c r="A366" s="2" t="s">
        <v>985</v>
      </c>
      <c r="B366" s="2" t="s">
        <v>210</v>
      </c>
      <c r="C366" s="2" t="s">
        <v>226</v>
      </c>
      <c r="D366" s="8">
        <v>28022</v>
      </c>
      <c r="E366" s="3">
        <v>2478.59</v>
      </c>
      <c r="F366" s="2">
        <v>2023</v>
      </c>
      <c r="G366" s="2" t="s">
        <v>87</v>
      </c>
      <c r="H366" s="2" t="s">
        <v>29</v>
      </c>
      <c r="I366" s="2" t="s">
        <v>78</v>
      </c>
      <c r="J366" s="2" t="s">
        <v>31</v>
      </c>
      <c r="K366" s="2" t="s">
        <v>32</v>
      </c>
      <c r="L366" s="2" t="s">
        <v>144</v>
      </c>
      <c r="M366" s="8">
        <v>45253</v>
      </c>
      <c r="N366" s="2" t="s">
        <v>994</v>
      </c>
      <c r="O366" s="8">
        <v>45251</v>
      </c>
      <c r="P366" s="8">
        <v>45256</v>
      </c>
      <c r="Q366" s="2" t="s">
        <v>41</v>
      </c>
      <c r="R366" s="2" t="s">
        <v>261</v>
      </c>
      <c r="S366" s="2">
        <v>241678</v>
      </c>
      <c r="T366" s="2" t="s">
        <v>117</v>
      </c>
      <c r="U366" s="2" t="s">
        <v>118</v>
      </c>
      <c r="V366" s="2" t="s">
        <v>995</v>
      </c>
      <c r="W366" s="2">
        <v>6</v>
      </c>
      <c r="X366" s="4">
        <v>0.05</v>
      </c>
      <c r="Y366" s="3">
        <v>848.9</v>
      </c>
    </row>
    <row r="367" spans="1:25" x14ac:dyDescent="0.3">
      <c r="A367" s="2" t="s">
        <v>985</v>
      </c>
      <c r="B367" s="2" t="s">
        <v>210</v>
      </c>
      <c r="C367" s="2" t="s">
        <v>226</v>
      </c>
      <c r="D367" s="8">
        <v>28022</v>
      </c>
      <c r="E367" s="3">
        <v>2608.14</v>
      </c>
      <c r="F367" s="2">
        <v>2023</v>
      </c>
      <c r="G367" s="2" t="s">
        <v>87</v>
      </c>
      <c r="H367" s="2" t="s">
        <v>29</v>
      </c>
      <c r="I367" s="2" t="s">
        <v>49</v>
      </c>
      <c r="J367" s="2" t="s">
        <v>31</v>
      </c>
      <c r="K367" s="2" t="s">
        <v>32</v>
      </c>
      <c r="L367" s="2" t="s">
        <v>144</v>
      </c>
      <c r="M367" s="8">
        <v>45281</v>
      </c>
      <c r="N367" s="2" t="s">
        <v>996</v>
      </c>
      <c r="O367" s="8">
        <v>45278</v>
      </c>
      <c r="P367" s="8">
        <v>45283</v>
      </c>
      <c r="Q367" s="2" t="s">
        <v>74</v>
      </c>
      <c r="R367" s="2" t="s">
        <v>261</v>
      </c>
      <c r="S367" s="2">
        <v>464032</v>
      </c>
      <c r="T367" s="2" t="s">
        <v>51</v>
      </c>
      <c r="U367" s="2" t="s">
        <v>52</v>
      </c>
      <c r="V367" s="2" t="s">
        <v>997</v>
      </c>
      <c r="W367" s="2">
        <v>10</v>
      </c>
      <c r="X367" s="4">
        <v>0.15</v>
      </c>
      <c r="Y367" s="3">
        <v>716.39</v>
      </c>
    </row>
    <row r="368" spans="1:25" x14ac:dyDescent="0.3">
      <c r="A368" s="2" t="s">
        <v>985</v>
      </c>
      <c r="B368" s="2" t="s">
        <v>210</v>
      </c>
      <c r="C368" s="2" t="s">
        <v>226</v>
      </c>
      <c r="D368" s="8">
        <v>28022</v>
      </c>
      <c r="E368" s="3">
        <v>464.18</v>
      </c>
      <c r="F368" s="2">
        <v>2024</v>
      </c>
      <c r="G368" s="2" t="s">
        <v>48</v>
      </c>
      <c r="H368" s="2" t="s">
        <v>29</v>
      </c>
      <c r="I368" s="2" t="s">
        <v>92</v>
      </c>
      <c r="J368" s="2" t="s">
        <v>31</v>
      </c>
      <c r="K368" s="2" t="s">
        <v>32</v>
      </c>
      <c r="L368" s="2" t="s">
        <v>144</v>
      </c>
      <c r="M368" s="8">
        <v>45596</v>
      </c>
      <c r="N368" s="2" t="s">
        <v>998</v>
      </c>
      <c r="O368" s="8">
        <v>45595</v>
      </c>
      <c r="P368" s="8">
        <v>45597</v>
      </c>
      <c r="Q368" s="2" t="s">
        <v>35</v>
      </c>
      <c r="R368" s="2" t="s">
        <v>261</v>
      </c>
      <c r="S368" s="2">
        <v>648736</v>
      </c>
      <c r="T368" s="2" t="s">
        <v>147</v>
      </c>
      <c r="U368" s="2" t="s">
        <v>148</v>
      </c>
      <c r="V368" s="2" t="s">
        <v>999</v>
      </c>
      <c r="W368" s="2">
        <v>2</v>
      </c>
      <c r="X368" s="4">
        <v>0</v>
      </c>
      <c r="Y368" s="3">
        <v>80.61</v>
      </c>
    </row>
    <row r="369" spans="1:25" x14ac:dyDescent="0.3">
      <c r="A369" s="2" t="s">
        <v>1000</v>
      </c>
      <c r="B369" s="2" t="s">
        <v>562</v>
      </c>
      <c r="C369" s="2" t="s">
        <v>27</v>
      </c>
      <c r="D369" s="8">
        <v>33517</v>
      </c>
      <c r="E369" s="3">
        <v>1048.3800000000001</v>
      </c>
      <c r="F369" s="2">
        <v>2023</v>
      </c>
      <c r="G369" s="2" t="s">
        <v>48</v>
      </c>
      <c r="H369" s="2" t="s">
        <v>29</v>
      </c>
      <c r="I369" s="2" t="s">
        <v>78</v>
      </c>
      <c r="J369" s="2" t="s">
        <v>143</v>
      </c>
      <c r="K369" s="2" t="s">
        <v>32</v>
      </c>
      <c r="L369" s="2" t="s">
        <v>63</v>
      </c>
      <c r="M369" s="8">
        <v>45067</v>
      </c>
      <c r="N369" s="2" t="s">
        <v>1001</v>
      </c>
      <c r="O369" s="8">
        <v>45066</v>
      </c>
      <c r="P369" s="8">
        <v>45069</v>
      </c>
      <c r="Q369" s="2" t="s">
        <v>74</v>
      </c>
      <c r="R369" s="2" t="s">
        <v>146</v>
      </c>
      <c r="S369" s="2">
        <v>297731</v>
      </c>
      <c r="T369" s="2" t="s">
        <v>80</v>
      </c>
      <c r="U369" s="2" t="s">
        <v>81</v>
      </c>
      <c r="V369" s="2" t="s">
        <v>1002</v>
      </c>
      <c r="W369" s="2">
        <v>8</v>
      </c>
      <c r="X369" s="4">
        <v>0.2</v>
      </c>
      <c r="Y369" s="3">
        <v>187.8</v>
      </c>
    </row>
    <row r="370" spans="1:25" x14ac:dyDescent="0.3">
      <c r="A370" s="2" t="s">
        <v>1000</v>
      </c>
      <c r="B370" s="2" t="s">
        <v>562</v>
      </c>
      <c r="C370" s="2" t="s">
        <v>27</v>
      </c>
      <c r="D370" s="8">
        <v>33517</v>
      </c>
      <c r="E370" s="3">
        <v>334.46</v>
      </c>
      <c r="F370" s="2">
        <v>2023</v>
      </c>
      <c r="G370" s="2" t="s">
        <v>28</v>
      </c>
      <c r="H370" s="2" t="s">
        <v>29</v>
      </c>
      <c r="I370" s="2" t="s">
        <v>92</v>
      </c>
      <c r="J370" s="2" t="s">
        <v>143</v>
      </c>
      <c r="K370" s="2" t="s">
        <v>32</v>
      </c>
      <c r="L370" s="2" t="s">
        <v>63</v>
      </c>
      <c r="M370" s="8">
        <v>45221</v>
      </c>
      <c r="N370" s="2" t="s">
        <v>1003</v>
      </c>
      <c r="O370" s="8">
        <v>45220</v>
      </c>
      <c r="P370" s="8">
        <v>45224</v>
      </c>
      <c r="Q370" s="2" t="s">
        <v>35</v>
      </c>
      <c r="R370" s="2" t="s">
        <v>146</v>
      </c>
      <c r="S370" s="2">
        <v>542750</v>
      </c>
      <c r="T370" s="2" t="s">
        <v>127</v>
      </c>
      <c r="U370" s="2" t="s">
        <v>128</v>
      </c>
      <c r="V370" s="2" t="s">
        <v>1004</v>
      </c>
      <c r="W370" s="2">
        <v>4</v>
      </c>
      <c r="X370" s="4">
        <v>0.15</v>
      </c>
      <c r="Y370" s="3">
        <v>81.540000000000006</v>
      </c>
    </row>
    <row r="371" spans="1:25" x14ac:dyDescent="0.3">
      <c r="A371" s="2" t="s">
        <v>1000</v>
      </c>
      <c r="B371" s="2" t="s">
        <v>562</v>
      </c>
      <c r="C371" s="2" t="s">
        <v>27</v>
      </c>
      <c r="D371" s="8">
        <v>33517</v>
      </c>
      <c r="E371" s="3">
        <v>3464.94</v>
      </c>
      <c r="F371" s="2">
        <v>2023</v>
      </c>
      <c r="G371" s="2" t="s">
        <v>28</v>
      </c>
      <c r="H371" s="2" t="s">
        <v>29</v>
      </c>
      <c r="I371" s="2" t="s">
        <v>49</v>
      </c>
      <c r="J371" s="2" t="s">
        <v>143</v>
      </c>
      <c r="K371" s="2" t="s">
        <v>32</v>
      </c>
      <c r="L371" s="2" t="s">
        <v>63</v>
      </c>
      <c r="M371" s="8">
        <v>45281</v>
      </c>
      <c r="N371" s="2" t="s">
        <v>1005</v>
      </c>
      <c r="O371" s="8">
        <v>45279</v>
      </c>
      <c r="P371" s="8">
        <v>45284</v>
      </c>
      <c r="Q371" s="2" t="s">
        <v>121</v>
      </c>
      <c r="R371" s="2" t="s">
        <v>146</v>
      </c>
      <c r="S371" s="2">
        <v>994940</v>
      </c>
      <c r="T371" s="2" t="s">
        <v>109</v>
      </c>
      <c r="U371" s="2" t="s">
        <v>110</v>
      </c>
      <c r="V371" s="2" t="s">
        <v>1006</v>
      </c>
      <c r="W371" s="2">
        <v>10</v>
      </c>
      <c r="X371" s="4">
        <v>0.15</v>
      </c>
      <c r="Y371" s="3">
        <v>455.85</v>
      </c>
    </row>
    <row r="372" spans="1:25" x14ac:dyDescent="0.3">
      <c r="A372" s="2" t="s">
        <v>1000</v>
      </c>
      <c r="B372" s="2" t="s">
        <v>562</v>
      </c>
      <c r="C372" s="2" t="s">
        <v>27</v>
      </c>
      <c r="D372" s="8">
        <v>33517</v>
      </c>
      <c r="E372" s="3">
        <v>346.61</v>
      </c>
      <c r="F372" s="2">
        <v>2024</v>
      </c>
      <c r="G372" s="2" t="s">
        <v>48</v>
      </c>
      <c r="H372" s="2" t="s">
        <v>29</v>
      </c>
      <c r="I372" s="2" t="s">
        <v>78</v>
      </c>
      <c r="J372" s="2" t="s">
        <v>143</v>
      </c>
      <c r="K372" s="2" t="s">
        <v>32</v>
      </c>
      <c r="L372" s="2" t="s">
        <v>63</v>
      </c>
      <c r="M372" s="8">
        <v>45410</v>
      </c>
      <c r="N372" s="2" t="s">
        <v>1007</v>
      </c>
      <c r="O372" s="8">
        <v>45407</v>
      </c>
      <c r="P372" s="8">
        <v>45410</v>
      </c>
      <c r="Q372" s="2" t="s">
        <v>74</v>
      </c>
      <c r="R372" s="2" t="s">
        <v>146</v>
      </c>
      <c r="S372" s="2">
        <v>120337</v>
      </c>
      <c r="T372" s="2" t="s">
        <v>89</v>
      </c>
      <c r="U372" s="2" t="s">
        <v>90</v>
      </c>
      <c r="V372" s="2" t="s">
        <v>1008</v>
      </c>
      <c r="W372" s="2">
        <v>5</v>
      </c>
      <c r="X372" s="4">
        <v>0.05</v>
      </c>
      <c r="Y372" s="3">
        <v>81.56</v>
      </c>
    </row>
    <row r="373" spans="1:25" x14ac:dyDescent="0.3">
      <c r="A373" s="2" t="s">
        <v>1000</v>
      </c>
      <c r="B373" s="2" t="s">
        <v>562</v>
      </c>
      <c r="C373" s="2" t="s">
        <v>27</v>
      </c>
      <c r="D373" s="8">
        <v>33517</v>
      </c>
      <c r="E373" s="3">
        <v>109.25</v>
      </c>
      <c r="F373" s="2">
        <v>2024</v>
      </c>
      <c r="G373" s="2" t="s">
        <v>28</v>
      </c>
      <c r="H373" s="2" t="s">
        <v>29</v>
      </c>
      <c r="I373" s="2" t="s">
        <v>61</v>
      </c>
      <c r="J373" s="2" t="s">
        <v>143</v>
      </c>
      <c r="K373" s="2" t="s">
        <v>32</v>
      </c>
      <c r="L373" s="2" t="s">
        <v>63</v>
      </c>
      <c r="M373" s="8">
        <v>45476</v>
      </c>
      <c r="N373" s="2" t="s">
        <v>1009</v>
      </c>
      <c r="O373" s="8">
        <v>45474</v>
      </c>
      <c r="P373" s="8">
        <v>45476</v>
      </c>
      <c r="Q373" s="2" t="s">
        <v>35</v>
      </c>
      <c r="R373" s="2" t="s">
        <v>146</v>
      </c>
      <c r="S373" s="2">
        <v>344119</v>
      </c>
      <c r="T373" s="2" t="s">
        <v>312</v>
      </c>
      <c r="U373" s="2" t="s">
        <v>313</v>
      </c>
      <c r="V373" s="2" t="s">
        <v>1010</v>
      </c>
      <c r="W373" s="2">
        <v>1</v>
      </c>
      <c r="X373" s="4">
        <v>0</v>
      </c>
      <c r="Y373" s="3">
        <v>14.71</v>
      </c>
    </row>
    <row r="374" spans="1:25" x14ac:dyDescent="0.3">
      <c r="A374" s="2" t="s">
        <v>1000</v>
      </c>
      <c r="B374" s="2" t="s">
        <v>562</v>
      </c>
      <c r="C374" s="2" t="s">
        <v>27</v>
      </c>
      <c r="D374" s="8">
        <v>33517</v>
      </c>
      <c r="E374" s="3">
        <v>944.3</v>
      </c>
      <c r="F374" s="2">
        <v>2025</v>
      </c>
      <c r="G374" s="2" t="s">
        <v>28</v>
      </c>
      <c r="H374" s="2" t="s">
        <v>29</v>
      </c>
      <c r="I374" s="2" t="s">
        <v>78</v>
      </c>
      <c r="J374" s="2" t="s">
        <v>143</v>
      </c>
      <c r="K374" s="2" t="s">
        <v>32</v>
      </c>
      <c r="L374" s="2" t="s">
        <v>63</v>
      </c>
      <c r="M374" s="8">
        <v>45797</v>
      </c>
      <c r="N374" s="2" t="s">
        <v>1011</v>
      </c>
      <c r="O374" s="8">
        <v>45795</v>
      </c>
      <c r="P374" s="8">
        <v>45799</v>
      </c>
      <c r="Q374" s="2" t="s">
        <v>35</v>
      </c>
      <c r="R374" s="2" t="s">
        <v>146</v>
      </c>
      <c r="S374" s="2">
        <v>446290</v>
      </c>
      <c r="T374" s="2" t="s">
        <v>89</v>
      </c>
      <c r="U374" s="2" t="s">
        <v>90</v>
      </c>
      <c r="V374" s="2" t="s">
        <v>1012</v>
      </c>
      <c r="W374" s="2">
        <v>8</v>
      </c>
      <c r="X374" s="4">
        <v>0.05</v>
      </c>
      <c r="Y374" s="3">
        <v>135.47999999999999</v>
      </c>
    </row>
    <row r="375" spans="1:25" x14ac:dyDescent="0.3">
      <c r="A375" s="2" t="s">
        <v>1013</v>
      </c>
      <c r="B375" s="2" t="s">
        <v>454</v>
      </c>
      <c r="C375" s="2" t="s">
        <v>348</v>
      </c>
      <c r="D375" s="8">
        <v>33675</v>
      </c>
      <c r="E375" s="3">
        <v>360.83</v>
      </c>
      <c r="F375" s="2">
        <v>2025</v>
      </c>
      <c r="G375" s="2" t="s">
        <v>48</v>
      </c>
      <c r="H375" s="2" t="s">
        <v>29</v>
      </c>
      <c r="I375" s="2" t="s">
        <v>61</v>
      </c>
      <c r="J375" s="2" t="s">
        <v>62</v>
      </c>
      <c r="K375" s="2" t="s">
        <v>32</v>
      </c>
      <c r="L375" s="2" t="s">
        <v>144</v>
      </c>
      <c r="M375" s="8">
        <v>45698</v>
      </c>
      <c r="N375" s="2" t="s">
        <v>1014</v>
      </c>
      <c r="O375" s="8">
        <v>45695</v>
      </c>
      <c r="P375" s="8">
        <v>45698</v>
      </c>
      <c r="Q375" s="2" t="s">
        <v>35</v>
      </c>
      <c r="R375" s="2" t="s">
        <v>386</v>
      </c>
      <c r="S375" s="2">
        <v>905459</v>
      </c>
      <c r="T375" s="2" t="s">
        <v>312</v>
      </c>
      <c r="U375" s="2" t="s">
        <v>313</v>
      </c>
      <c r="V375" s="2" t="s">
        <v>1015</v>
      </c>
      <c r="W375" s="2">
        <v>7</v>
      </c>
      <c r="X375" s="4">
        <v>0.05</v>
      </c>
      <c r="Y375" s="3">
        <v>37.700000000000003</v>
      </c>
    </row>
    <row r="376" spans="1:25" x14ac:dyDescent="0.3">
      <c r="A376" s="2" t="s">
        <v>1016</v>
      </c>
      <c r="B376" s="2" t="s">
        <v>591</v>
      </c>
      <c r="C376" s="2" t="s">
        <v>322</v>
      </c>
      <c r="D376" s="8">
        <v>27916</v>
      </c>
      <c r="E376" s="3">
        <v>540.29999999999995</v>
      </c>
      <c r="F376" s="2">
        <v>2023</v>
      </c>
      <c r="G376" s="2" t="s">
        <v>48</v>
      </c>
      <c r="H376" s="2" t="s">
        <v>29</v>
      </c>
      <c r="I376" s="2" t="s">
        <v>78</v>
      </c>
      <c r="J376" s="2" t="s">
        <v>102</v>
      </c>
      <c r="K376" s="2" t="s">
        <v>32</v>
      </c>
      <c r="L376" s="2" t="s">
        <v>33</v>
      </c>
      <c r="M376" s="8">
        <v>45182</v>
      </c>
      <c r="N376" s="2" t="s">
        <v>1017</v>
      </c>
      <c r="O376" s="8">
        <v>45180</v>
      </c>
      <c r="P376" s="8">
        <v>45183</v>
      </c>
      <c r="Q376" s="2" t="s">
        <v>35</v>
      </c>
      <c r="R376" s="2" t="s">
        <v>197</v>
      </c>
      <c r="S376" s="2">
        <v>880900</v>
      </c>
      <c r="T376" s="2" t="s">
        <v>89</v>
      </c>
      <c r="U376" s="2" t="s">
        <v>90</v>
      </c>
      <c r="V376" s="2" t="s">
        <v>1018</v>
      </c>
      <c r="W376" s="2">
        <v>2</v>
      </c>
      <c r="X376" s="4">
        <v>0</v>
      </c>
      <c r="Y376" s="3">
        <v>103.66</v>
      </c>
    </row>
    <row r="377" spans="1:25" x14ac:dyDescent="0.3">
      <c r="A377" s="2" t="s">
        <v>1016</v>
      </c>
      <c r="B377" s="2" t="s">
        <v>591</v>
      </c>
      <c r="C377" s="2" t="s">
        <v>322</v>
      </c>
      <c r="D377" s="8">
        <v>27916</v>
      </c>
      <c r="E377" s="3">
        <v>1254.95</v>
      </c>
      <c r="F377" s="2">
        <v>2024</v>
      </c>
      <c r="G377" s="2" t="s">
        <v>48</v>
      </c>
      <c r="H377" s="2" t="s">
        <v>29</v>
      </c>
      <c r="I377" s="2" t="s">
        <v>30</v>
      </c>
      <c r="J377" s="2" t="s">
        <v>102</v>
      </c>
      <c r="K377" s="2" t="s">
        <v>32</v>
      </c>
      <c r="L377" s="2" t="s">
        <v>33</v>
      </c>
      <c r="M377" s="8">
        <v>45321</v>
      </c>
      <c r="N377" s="2" t="s">
        <v>1019</v>
      </c>
      <c r="O377" s="8">
        <v>45321</v>
      </c>
      <c r="P377" s="8">
        <v>45322</v>
      </c>
      <c r="Q377" s="2" t="s">
        <v>121</v>
      </c>
      <c r="R377" s="2" t="s">
        <v>197</v>
      </c>
      <c r="S377" s="2">
        <v>763653</v>
      </c>
      <c r="T377" s="2" t="s">
        <v>55</v>
      </c>
      <c r="U377" s="2" t="s">
        <v>56</v>
      </c>
      <c r="V377" s="2" t="s">
        <v>1020</v>
      </c>
      <c r="W377" s="2">
        <v>5</v>
      </c>
      <c r="X377" s="4">
        <v>0</v>
      </c>
      <c r="Y377" s="3">
        <v>137.56</v>
      </c>
    </row>
    <row r="378" spans="1:25" x14ac:dyDescent="0.3">
      <c r="A378" s="2" t="s">
        <v>1016</v>
      </c>
      <c r="B378" s="2" t="s">
        <v>591</v>
      </c>
      <c r="C378" s="2" t="s">
        <v>322</v>
      </c>
      <c r="D378" s="8">
        <v>27916</v>
      </c>
      <c r="E378" s="3">
        <v>1083.54</v>
      </c>
      <c r="F378" s="2">
        <v>2024</v>
      </c>
      <c r="G378" s="2" t="s">
        <v>48</v>
      </c>
      <c r="H378" s="2" t="s">
        <v>29</v>
      </c>
      <c r="I378" s="2" t="s">
        <v>92</v>
      </c>
      <c r="J378" s="2" t="s">
        <v>102</v>
      </c>
      <c r="K378" s="2" t="s">
        <v>32</v>
      </c>
      <c r="L378" s="2" t="s">
        <v>33</v>
      </c>
      <c r="M378" s="8">
        <v>45380</v>
      </c>
      <c r="N378" s="2" t="s">
        <v>1021</v>
      </c>
      <c r="O378" s="8">
        <v>45380</v>
      </c>
      <c r="P378" s="8">
        <v>45382</v>
      </c>
      <c r="Q378" s="2" t="s">
        <v>41</v>
      </c>
      <c r="R378" s="2" t="s">
        <v>197</v>
      </c>
      <c r="S378" s="2">
        <v>821846</v>
      </c>
      <c r="T378" s="2" t="s">
        <v>94</v>
      </c>
      <c r="U378" s="2" t="s">
        <v>95</v>
      </c>
      <c r="V378" s="2" t="s">
        <v>1022</v>
      </c>
      <c r="W378" s="2">
        <v>3</v>
      </c>
      <c r="X378" s="4">
        <v>0.1</v>
      </c>
      <c r="Y378" s="3">
        <v>93.07</v>
      </c>
    </row>
    <row r="379" spans="1:25" x14ac:dyDescent="0.3">
      <c r="A379" s="2" t="s">
        <v>1016</v>
      </c>
      <c r="B379" s="2" t="s">
        <v>591</v>
      </c>
      <c r="C379" s="2" t="s">
        <v>322</v>
      </c>
      <c r="D379" s="8">
        <v>27916</v>
      </c>
      <c r="E379" s="3">
        <v>264.83999999999997</v>
      </c>
      <c r="F379" s="2">
        <v>2025</v>
      </c>
      <c r="G379" s="2" t="s">
        <v>87</v>
      </c>
      <c r="H379" s="2" t="s">
        <v>29</v>
      </c>
      <c r="I379" s="2" t="s">
        <v>30</v>
      </c>
      <c r="J379" s="2" t="s">
        <v>102</v>
      </c>
      <c r="K379" s="2" t="s">
        <v>32</v>
      </c>
      <c r="L379" s="2" t="s">
        <v>33</v>
      </c>
      <c r="M379" s="8">
        <v>45684</v>
      </c>
      <c r="N379" s="2" t="s">
        <v>1023</v>
      </c>
      <c r="O379" s="8">
        <v>45682</v>
      </c>
      <c r="P379" s="8">
        <v>45687</v>
      </c>
      <c r="Q379" s="2" t="s">
        <v>35</v>
      </c>
      <c r="R379" s="2" t="s">
        <v>197</v>
      </c>
      <c r="S379" s="2">
        <v>162678</v>
      </c>
      <c r="T379" s="2" t="s">
        <v>75</v>
      </c>
      <c r="U379" s="2" t="s">
        <v>76</v>
      </c>
      <c r="V379" s="2" t="s">
        <v>1024</v>
      </c>
      <c r="W379" s="2">
        <v>2</v>
      </c>
      <c r="X379" s="4">
        <v>0.05</v>
      </c>
      <c r="Y379" s="3">
        <v>20.5</v>
      </c>
    </row>
    <row r="380" spans="1:25" x14ac:dyDescent="0.3">
      <c r="A380" s="2" t="s">
        <v>1016</v>
      </c>
      <c r="B380" s="2" t="s">
        <v>591</v>
      </c>
      <c r="C380" s="2" t="s">
        <v>322</v>
      </c>
      <c r="D380" s="8">
        <v>27916</v>
      </c>
      <c r="E380" s="3">
        <v>3599.1</v>
      </c>
      <c r="F380" s="2">
        <v>2025</v>
      </c>
      <c r="G380" s="2" t="s">
        <v>28</v>
      </c>
      <c r="H380" s="2" t="s">
        <v>29</v>
      </c>
      <c r="I380" s="2" t="s">
        <v>43</v>
      </c>
      <c r="J380" s="2" t="s">
        <v>102</v>
      </c>
      <c r="K380" s="2" t="s">
        <v>32</v>
      </c>
      <c r="L380" s="2" t="s">
        <v>33</v>
      </c>
      <c r="M380" s="8">
        <v>45718</v>
      </c>
      <c r="N380" s="2" t="s">
        <v>1025</v>
      </c>
      <c r="O380" s="8">
        <v>45716</v>
      </c>
      <c r="P380" s="8">
        <v>45719</v>
      </c>
      <c r="Q380" s="2" t="s">
        <v>121</v>
      </c>
      <c r="R380" s="2" t="s">
        <v>197</v>
      </c>
      <c r="S380" s="2">
        <v>122390</v>
      </c>
      <c r="T380" s="2" t="s">
        <v>70</v>
      </c>
      <c r="U380" s="2" t="s">
        <v>71</v>
      </c>
      <c r="V380" s="2" t="s">
        <v>515</v>
      </c>
      <c r="W380" s="2">
        <v>9</v>
      </c>
      <c r="X380" s="4">
        <v>0</v>
      </c>
      <c r="Y380" s="3">
        <v>706.69</v>
      </c>
    </row>
    <row r="381" spans="1:25" x14ac:dyDescent="0.3">
      <c r="A381" s="2" t="s">
        <v>1026</v>
      </c>
      <c r="B381" s="2" t="s">
        <v>711</v>
      </c>
      <c r="C381" s="2" t="s">
        <v>211</v>
      </c>
      <c r="D381" s="8">
        <v>36956</v>
      </c>
      <c r="E381" s="3">
        <v>1332.42</v>
      </c>
      <c r="F381" s="2">
        <v>2023</v>
      </c>
      <c r="G381" s="2" t="s">
        <v>28</v>
      </c>
      <c r="H381" s="2" t="s">
        <v>29</v>
      </c>
      <c r="I381" s="2" t="s">
        <v>92</v>
      </c>
      <c r="J381" s="2" t="s">
        <v>62</v>
      </c>
      <c r="K381" s="2" t="s">
        <v>32</v>
      </c>
      <c r="L381" s="2" t="s">
        <v>144</v>
      </c>
      <c r="M381" s="8">
        <v>44969</v>
      </c>
      <c r="N381" s="2" t="s">
        <v>1027</v>
      </c>
      <c r="O381" s="8">
        <v>44967</v>
      </c>
      <c r="P381" s="8">
        <v>44969</v>
      </c>
      <c r="Q381" s="2" t="s">
        <v>74</v>
      </c>
      <c r="R381" s="2" t="s">
        <v>65</v>
      </c>
      <c r="S381" s="2">
        <v>867979</v>
      </c>
      <c r="T381" s="2" t="s">
        <v>127</v>
      </c>
      <c r="U381" s="2" t="s">
        <v>128</v>
      </c>
      <c r="V381" s="2" t="s">
        <v>1028</v>
      </c>
      <c r="W381" s="2">
        <v>5</v>
      </c>
      <c r="X381" s="4">
        <v>0.05</v>
      </c>
      <c r="Y381" s="3">
        <v>142.47999999999999</v>
      </c>
    </row>
    <row r="382" spans="1:25" x14ac:dyDescent="0.3">
      <c r="A382" s="2" t="s">
        <v>1026</v>
      </c>
      <c r="B382" s="2" t="s">
        <v>711</v>
      </c>
      <c r="C382" s="2" t="s">
        <v>211</v>
      </c>
      <c r="D382" s="8">
        <v>36956</v>
      </c>
      <c r="E382" s="3">
        <v>4130.55</v>
      </c>
      <c r="F382" s="2">
        <v>2023</v>
      </c>
      <c r="G382" s="2" t="s">
        <v>28</v>
      </c>
      <c r="H382" s="2" t="s">
        <v>29</v>
      </c>
      <c r="I382" s="2" t="s">
        <v>92</v>
      </c>
      <c r="J382" s="2" t="s">
        <v>62</v>
      </c>
      <c r="K382" s="2" t="s">
        <v>32</v>
      </c>
      <c r="L382" s="2" t="s">
        <v>144</v>
      </c>
      <c r="M382" s="8">
        <v>45065</v>
      </c>
      <c r="N382" s="2" t="s">
        <v>1029</v>
      </c>
      <c r="O382" s="8">
        <v>45064</v>
      </c>
      <c r="P382" s="8">
        <v>45069</v>
      </c>
      <c r="Q382" s="2" t="s">
        <v>74</v>
      </c>
      <c r="R382" s="2" t="s">
        <v>65</v>
      </c>
      <c r="S382" s="2">
        <v>959222</v>
      </c>
      <c r="T382" s="2" t="s">
        <v>94</v>
      </c>
      <c r="U382" s="2" t="s">
        <v>95</v>
      </c>
      <c r="V382" s="2" t="s">
        <v>1030</v>
      </c>
      <c r="W382" s="2">
        <v>10</v>
      </c>
      <c r="X382" s="4">
        <v>0.1</v>
      </c>
      <c r="Y382" s="3">
        <v>405.22</v>
      </c>
    </row>
    <row r="383" spans="1:25" x14ac:dyDescent="0.3">
      <c r="A383" s="2" t="s">
        <v>1026</v>
      </c>
      <c r="B383" s="2" t="s">
        <v>711</v>
      </c>
      <c r="C383" s="2" t="s">
        <v>211</v>
      </c>
      <c r="D383" s="8">
        <v>36956</v>
      </c>
      <c r="E383" s="3">
        <v>138.38</v>
      </c>
      <c r="F383" s="2">
        <v>2023</v>
      </c>
      <c r="G383" s="2" t="s">
        <v>87</v>
      </c>
      <c r="H383" s="2" t="s">
        <v>29</v>
      </c>
      <c r="I383" s="2" t="s">
        <v>43</v>
      </c>
      <c r="J383" s="2" t="s">
        <v>62</v>
      </c>
      <c r="K383" s="2" t="s">
        <v>32</v>
      </c>
      <c r="L383" s="2" t="s">
        <v>144</v>
      </c>
      <c r="M383" s="8">
        <v>45183</v>
      </c>
      <c r="N383" s="2" t="s">
        <v>1031</v>
      </c>
      <c r="O383" s="8">
        <v>45183</v>
      </c>
      <c r="P383" s="8">
        <v>45185</v>
      </c>
      <c r="Q383" s="2" t="s">
        <v>74</v>
      </c>
      <c r="R383" s="2" t="s">
        <v>65</v>
      </c>
      <c r="S383" s="2">
        <v>913712</v>
      </c>
      <c r="T383" s="2" t="s">
        <v>70</v>
      </c>
      <c r="U383" s="2" t="s">
        <v>71</v>
      </c>
      <c r="V383" s="2" t="s">
        <v>1032</v>
      </c>
      <c r="W383" s="2">
        <v>8</v>
      </c>
      <c r="X383" s="4">
        <v>0.15</v>
      </c>
      <c r="Y383" s="3">
        <v>27.92</v>
      </c>
    </row>
    <row r="384" spans="1:25" x14ac:dyDescent="0.3">
      <c r="A384" s="2" t="s">
        <v>1026</v>
      </c>
      <c r="B384" s="2" t="s">
        <v>711</v>
      </c>
      <c r="C384" s="2" t="s">
        <v>211</v>
      </c>
      <c r="D384" s="8">
        <v>36956</v>
      </c>
      <c r="E384" s="3">
        <v>604.76</v>
      </c>
      <c r="F384" s="2">
        <v>2024</v>
      </c>
      <c r="G384" s="2" t="s">
        <v>87</v>
      </c>
      <c r="H384" s="2" t="s">
        <v>29</v>
      </c>
      <c r="I384" s="2" t="s">
        <v>30</v>
      </c>
      <c r="J384" s="2" t="s">
        <v>62</v>
      </c>
      <c r="K384" s="2" t="s">
        <v>32</v>
      </c>
      <c r="L384" s="2" t="s">
        <v>144</v>
      </c>
      <c r="M384" s="8">
        <v>45295</v>
      </c>
      <c r="N384" s="2" t="s">
        <v>1033</v>
      </c>
      <c r="O384" s="8">
        <v>45293</v>
      </c>
      <c r="P384" s="8">
        <v>45295</v>
      </c>
      <c r="Q384" s="2" t="s">
        <v>41</v>
      </c>
      <c r="R384" s="2" t="s">
        <v>65</v>
      </c>
      <c r="S384" s="2">
        <v>902930</v>
      </c>
      <c r="T384" s="2" t="s">
        <v>75</v>
      </c>
      <c r="U384" s="2" t="s">
        <v>76</v>
      </c>
      <c r="V384" s="2" t="s">
        <v>1034</v>
      </c>
      <c r="W384" s="2">
        <v>2</v>
      </c>
      <c r="X384" s="4">
        <v>0.1</v>
      </c>
      <c r="Y384" s="3">
        <v>178.84</v>
      </c>
    </row>
    <row r="385" spans="1:25" x14ac:dyDescent="0.3">
      <c r="A385" s="2" t="s">
        <v>1026</v>
      </c>
      <c r="B385" s="2" t="s">
        <v>711</v>
      </c>
      <c r="C385" s="2" t="s">
        <v>211</v>
      </c>
      <c r="D385" s="8">
        <v>36956</v>
      </c>
      <c r="E385" s="3">
        <v>743.11</v>
      </c>
      <c r="F385" s="2">
        <v>2025</v>
      </c>
      <c r="G385" s="2" t="s">
        <v>48</v>
      </c>
      <c r="H385" s="2" t="s">
        <v>29</v>
      </c>
      <c r="I385" s="2" t="s">
        <v>30</v>
      </c>
      <c r="J385" s="2" t="s">
        <v>62</v>
      </c>
      <c r="K385" s="2" t="s">
        <v>32</v>
      </c>
      <c r="L385" s="2" t="s">
        <v>144</v>
      </c>
      <c r="M385" s="8">
        <v>45668</v>
      </c>
      <c r="N385" s="2" t="s">
        <v>1035</v>
      </c>
      <c r="O385" s="8">
        <v>45668</v>
      </c>
      <c r="P385" s="8">
        <v>45669</v>
      </c>
      <c r="Q385" s="2" t="s">
        <v>121</v>
      </c>
      <c r="R385" s="2" t="s">
        <v>65</v>
      </c>
      <c r="S385" s="2">
        <v>287316</v>
      </c>
      <c r="T385" s="2" t="s">
        <v>75</v>
      </c>
      <c r="U385" s="2" t="s">
        <v>76</v>
      </c>
      <c r="V385" s="2" t="s">
        <v>1036</v>
      </c>
      <c r="W385" s="2">
        <v>5</v>
      </c>
      <c r="X385" s="4">
        <v>0.15</v>
      </c>
      <c r="Y385" s="3">
        <v>108.95</v>
      </c>
    </row>
    <row r="386" spans="1:25" x14ac:dyDescent="0.3">
      <c r="A386" s="2" t="s">
        <v>1037</v>
      </c>
      <c r="B386" s="2" t="s">
        <v>100</v>
      </c>
      <c r="C386" s="2" t="s">
        <v>184</v>
      </c>
      <c r="D386" s="8">
        <v>34625</v>
      </c>
      <c r="E386" s="3">
        <v>2115.54</v>
      </c>
      <c r="F386" s="2">
        <v>2023</v>
      </c>
      <c r="G386" s="2" t="s">
        <v>48</v>
      </c>
      <c r="H386" s="2" t="s">
        <v>29</v>
      </c>
      <c r="I386" s="2" t="s">
        <v>30</v>
      </c>
      <c r="J386" s="2" t="s">
        <v>143</v>
      </c>
      <c r="K386" s="2" t="s">
        <v>32</v>
      </c>
      <c r="L386" s="2" t="s">
        <v>63</v>
      </c>
      <c r="M386" s="8">
        <v>44961</v>
      </c>
      <c r="N386" s="2" t="s">
        <v>1038</v>
      </c>
      <c r="O386" s="8">
        <v>44959</v>
      </c>
      <c r="P386" s="8">
        <v>44964</v>
      </c>
      <c r="Q386" s="2" t="s">
        <v>74</v>
      </c>
      <c r="R386" s="2" t="s">
        <v>309</v>
      </c>
      <c r="S386" s="2">
        <v>331444</v>
      </c>
      <c r="T386" s="2" t="s">
        <v>55</v>
      </c>
      <c r="U386" s="2" t="s">
        <v>56</v>
      </c>
      <c r="V386" s="2" t="s">
        <v>1039</v>
      </c>
      <c r="W386" s="2">
        <v>7</v>
      </c>
      <c r="X386" s="4">
        <v>0.1</v>
      </c>
      <c r="Y386" s="3">
        <v>501.79</v>
      </c>
    </row>
    <row r="387" spans="1:25" x14ac:dyDescent="0.3">
      <c r="A387" s="2" t="s">
        <v>1037</v>
      </c>
      <c r="B387" s="2" t="s">
        <v>100</v>
      </c>
      <c r="C387" s="2" t="s">
        <v>184</v>
      </c>
      <c r="D387" s="8">
        <v>34625</v>
      </c>
      <c r="E387" s="3">
        <v>466.5</v>
      </c>
      <c r="F387" s="2">
        <v>2023</v>
      </c>
      <c r="G387" s="2" t="s">
        <v>87</v>
      </c>
      <c r="H387" s="2" t="s">
        <v>29</v>
      </c>
      <c r="I387" s="2" t="s">
        <v>30</v>
      </c>
      <c r="J387" s="2" t="s">
        <v>143</v>
      </c>
      <c r="K387" s="2" t="s">
        <v>32</v>
      </c>
      <c r="L387" s="2" t="s">
        <v>63</v>
      </c>
      <c r="M387" s="8">
        <v>45029</v>
      </c>
      <c r="N387" s="2" t="s">
        <v>1040</v>
      </c>
      <c r="O387" s="8">
        <v>45028</v>
      </c>
      <c r="P387" s="8">
        <v>45029</v>
      </c>
      <c r="Q387" s="2" t="s">
        <v>35</v>
      </c>
      <c r="R387" s="2" t="s">
        <v>309</v>
      </c>
      <c r="S387" s="2">
        <v>478458</v>
      </c>
      <c r="T387" s="2" t="s">
        <v>55</v>
      </c>
      <c r="U387" s="2" t="s">
        <v>56</v>
      </c>
      <c r="V387" s="2" t="s">
        <v>1041</v>
      </c>
      <c r="W387" s="2">
        <v>1</v>
      </c>
      <c r="X387" s="4">
        <v>0</v>
      </c>
      <c r="Y387" s="3">
        <v>115.1</v>
      </c>
    </row>
    <row r="388" spans="1:25" x14ac:dyDescent="0.3">
      <c r="A388" s="2" t="s">
        <v>1037</v>
      </c>
      <c r="B388" s="2" t="s">
        <v>100</v>
      </c>
      <c r="C388" s="2" t="s">
        <v>184</v>
      </c>
      <c r="D388" s="8">
        <v>34625</v>
      </c>
      <c r="E388" s="3">
        <v>2407.44</v>
      </c>
      <c r="F388" s="2">
        <v>2023</v>
      </c>
      <c r="G388" s="2" t="s">
        <v>87</v>
      </c>
      <c r="H388" s="2" t="s">
        <v>29</v>
      </c>
      <c r="I388" s="2" t="s">
        <v>30</v>
      </c>
      <c r="J388" s="2" t="s">
        <v>143</v>
      </c>
      <c r="K388" s="2" t="s">
        <v>32</v>
      </c>
      <c r="L388" s="2" t="s">
        <v>63</v>
      </c>
      <c r="M388" s="8">
        <v>45036</v>
      </c>
      <c r="N388" s="2" t="s">
        <v>1042</v>
      </c>
      <c r="O388" s="8">
        <v>45036</v>
      </c>
      <c r="P388" s="8">
        <v>45039</v>
      </c>
      <c r="Q388" s="2" t="s">
        <v>35</v>
      </c>
      <c r="R388" s="2" t="s">
        <v>309</v>
      </c>
      <c r="S388" s="2">
        <v>974991</v>
      </c>
      <c r="T388" s="2" t="s">
        <v>55</v>
      </c>
      <c r="U388" s="2" t="s">
        <v>56</v>
      </c>
      <c r="V388" s="2" t="s">
        <v>1043</v>
      </c>
      <c r="W388" s="2">
        <v>6</v>
      </c>
      <c r="X388" s="4">
        <v>0</v>
      </c>
      <c r="Y388" s="3">
        <v>715.23</v>
      </c>
    </row>
    <row r="389" spans="1:25" x14ac:dyDescent="0.3">
      <c r="A389" s="2" t="s">
        <v>1037</v>
      </c>
      <c r="B389" s="2" t="s">
        <v>100</v>
      </c>
      <c r="C389" s="2" t="s">
        <v>184</v>
      </c>
      <c r="D389" s="8">
        <v>34625</v>
      </c>
      <c r="E389" s="3">
        <v>509.64</v>
      </c>
      <c r="F389" s="2">
        <v>2023</v>
      </c>
      <c r="G389" s="2" t="s">
        <v>48</v>
      </c>
      <c r="H389" s="2" t="s">
        <v>29</v>
      </c>
      <c r="I389" s="2" t="s">
        <v>43</v>
      </c>
      <c r="J389" s="2" t="s">
        <v>143</v>
      </c>
      <c r="K389" s="2" t="s">
        <v>32</v>
      </c>
      <c r="L389" s="2" t="s">
        <v>63</v>
      </c>
      <c r="M389" s="8">
        <v>45124</v>
      </c>
      <c r="N389" s="2" t="s">
        <v>1044</v>
      </c>
      <c r="O389" s="8">
        <v>45123</v>
      </c>
      <c r="P389" s="8">
        <v>45127</v>
      </c>
      <c r="Q389" s="2" t="s">
        <v>121</v>
      </c>
      <c r="R389" s="2" t="s">
        <v>309</v>
      </c>
      <c r="S389" s="2">
        <v>697717</v>
      </c>
      <c r="T389" s="2" t="s">
        <v>45</v>
      </c>
      <c r="U389" s="2" t="s">
        <v>46</v>
      </c>
      <c r="V389" s="2" t="s">
        <v>1045</v>
      </c>
      <c r="W389" s="2">
        <v>9</v>
      </c>
      <c r="X389" s="4">
        <v>0.15</v>
      </c>
      <c r="Y389" s="3">
        <v>60.8</v>
      </c>
    </row>
    <row r="390" spans="1:25" x14ac:dyDescent="0.3">
      <c r="A390" s="2" t="s">
        <v>1037</v>
      </c>
      <c r="B390" s="2" t="s">
        <v>100</v>
      </c>
      <c r="C390" s="2" t="s">
        <v>184</v>
      </c>
      <c r="D390" s="8">
        <v>34625</v>
      </c>
      <c r="E390" s="3">
        <v>1973.61</v>
      </c>
      <c r="F390" s="2">
        <v>2023</v>
      </c>
      <c r="G390" s="2" t="s">
        <v>87</v>
      </c>
      <c r="H390" s="2" t="s">
        <v>29</v>
      </c>
      <c r="I390" s="2" t="s">
        <v>49</v>
      </c>
      <c r="J390" s="2" t="s">
        <v>143</v>
      </c>
      <c r="K390" s="2" t="s">
        <v>32</v>
      </c>
      <c r="L390" s="2" t="s">
        <v>63</v>
      </c>
      <c r="M390" s="8">
        <v>45135</v>
      </c>
      <c r="N390" s="2" t="s">
        <v>1046</v>
      </c>
      <c r="O390" s="8">
        <v>45133</v>
      </c>
      <c r="P390" s="8">
        <v>45138</v>
      </c>
      <c r="Q390" s="2" t="s">
        <v>41</v>
      </c>
      <c r="R390" s="2" t="s">
        <v>309</v>
      </c>
      <c r="S390" s="2">
        <v>836677</v>
      </c>
      <c r="T390" s="2" t="s">
        <v>109</v>
      </c>
      <c r="U390" s="2" t="s">
        <v>110</v>
      </c>
      <c r="V390" s="2" t="s">
        <v>1047</v>
      </c>
      <c r="W390" s="2">
        <v>9</v>
      </c>
      <c r="X390" s="4">
        <v>0</v>
      </c>
      <c r="Y390" s="3">
        <v>552.38</v>
      </c>
    </row>
    <row r="391" spans="1:25" x14ac:dyDescent="0.3">
      <c r="A391" s="2" t="s">
        <v>1037</v>
      </c>
      <c r="B391" s="2" t="s">
        <v>100</v>
      </c>
      <c r="C391" s="2" t="s">
        <v>184</v>
      </c>
      <c r="D391" s="8">
        <v>34625</v>
      </c>
      <c r="E391" s="3">
        <v>1081.03</v>
      </c>
      <c r="F391" s="2">
        <v>2024</v>
      </c>
      <c r="G391" s="2" t="s">
        <v>87</v>
      </c>
      <c r="H391" s="2" t="s">
        <v>29</v>
      </c>
      <c r="I391" s="2" t="s">
        <v>49</v>
      </c>
      <c r="J391" s="2" t="s">
        <v>143</v>
      </c>
      <c r="K391" s="2" t="s">
        <v>32</v>
      </c>
      <c r="L391" s="2" t="s">
        <v>63</v>
      </c>
      <c r="M391" s="8">
        <v>45425</v>
      </c>
      <c r="N391" s="2" t="s">
        <v>1048</v>
      </c>
      <c r="O391" s="8">
        <v>45424</v>
      </c>
      <c r="P391" s="8">
        <v>45427</v>
      </c>
      <c r="Q391" s="2" t="s">
        <v>41</v>
      </c>
      <c r="R391" s="2" t="s">
        <v>309</v>
      </c>
      <c r="S391" s="2">
        <v>469438</v>
      </c>
      <c r="T391" s="2" t="s">
        <v>84</v>
      </c>
      <c r="U391" s="2" t="s">
        <v>85</v>
      </c>
      <c r="V391" s="2" t="s">
        <v>1049</v>
      </c>
      <c r="W391" s="2">
        <v>3</v>
      </c>
      <c r="X391" s="4">
        <v>0.1</v>
      </c>
      <c r="Y391" s="3">
        <v>184.28</v>
      </c>
    </row>
    <row r="392" spans="1:25" x14ac:dyDescent="0.3">
      <c r="A392" s="2" t="s">
        <v>1050</v>
      </c>
      <c r="B392" s="2" t="s">
        <v>210</v>
      </c>
      <c r="C392" s="2" t="s">
        <v>60</v>
      </c>
      <c r="D392" s="8">
        <v>28663</v>
      </c>
      <c r="E392" s="3">
        <v>1161.24</v>
      </c>
      <c r="F392" s="2">
        <v>2023</v>
      </c>
      <c r="G392" s="2" t="s">
        <v>28</v>
      </c>
      <c r="H392" s="2" t="s">
        <v>29</v>
      </c>
      <c r="I392" s="2" t="s">
        <v>92</v>
      </c>
      <c r="J392" s="2" t="s">
        <v>62</v>
      </c>
      <c r="K392" s="2" t="s">
        <v>32</v>
      </c>
      <c r="L392" s="2" t="s">
        <v>63</v>
      </c>
      <c r="M392" s="8">
        <v>45264</v>
      </c>
      <c r="N392" s="2" t="s">
        <v>1051</v>
      </c>
      <c r="O392" s="8">
        <v>45259</v>
      </c>
      <c r="P392" s="8">
        <v>45264</v>
      </c>
      <c r="Q392" s="2" t="s">
        <v>74</v>
      </c>
      <c r="R392" s="2" t="s">
        <v>386</v>
      </c>
      <c r="S392" s="2">
        <v>574379</v>
      </c>
      <c r="T392" s="2" t="s">
        <v>94</v>
      </c>
      <c r="U392" s="2" t="s">
        <v>95</v>
      </c>
      <c r="V392" s="2" t="s">
        <v>1052</v>
      </c>
      <c r="W392" s="2">
        <v>4</v>
      </c>
      <c r="X392" s="4">
        <v>0</v>
      </c>
      <c r="Y392" s="3">
        <v>188.72</v>
      </c>
    </row>
    <row r="393" spans="1:25" x14ac:dyDescent="0.3">
      <c r="A393" s="2" t="s">
        <v>1050</v>
      </c>
      <c r="B393" s="2" t="s">
        <v>210</v>
      </c>
      <c r="C393" s="2" t="s">
        <v>60</v>
      </c>
      <c r="D393" s="8">
        <v>28663</v>
      </c>
      <c r="E393" s="3">
        <v>442.64</v>
      </c>
      <c r="F393" s="2">
        <v>2024</v>
      </c>
      <c r="G393" s="2" t="s">
        <v>48</v>
      </c>
      <c r="H393" s="2" t="s">
        <v>29</v>
      </c>
      <c r="I393" s="2" t="s">
        <v>92</v>
      </c>
      <c r="J393" s="2" t="s">
        <v>62</v>
      </c>
      <c r="K393" s="2" t="s">
        <v>32</v>
      </c>
      <c r="L393" s="2" t="s">
        <v>63</v>
      </c>
      <c r="M393" s="8">
        <v>45308</v>
      </c>
      <c r="N393" s="2" t="s">
        <v>1053</v>
      </c>
      <c r="O393" s="8">
        <v>45307</v>
      </c>
      <c r="P393" s="8">
        <v>45309</v>
      </c>
      <c r="Q393" s="2" t="s">
        <v>74</v>
      </c>
      <c r="R393" s="2" t="s">
        <v>386</v>
      </c>
      <c r="S393" s="2">
        <v>332665</v>
      </c>
      <c r="T393" s="2" t="s">
        <v>127</v>
      </c>
      <c r="U393" s="2" t="s">
        <v>128</v>
      </c>
      <c r="V393" s="2" t="s">
        <v>1054</v>
      </c>
      <c r="W393" s="2">
        <v>1</v>
      </c>
      <c r="X393" s="4">
        <v>0.1</v>
      </c>
      <c r="Y393" s="3">
        <v>24.3</v>
      </c>
    </row>
    <row r="394" spans="1:25" x14ac:dyDescent="0.3">
      <c r="A394" s="2" t="s">
        <v>1050</v>
      </c>
      <c r="B394" s="2" t="s">
        <v>210</v>
      </c>
      <c r="C394" s="2" t="s">
        <v>60</v>
      </c>
      <c r="D394" s="8">
        <v>28663</v>
      </c>
      <c r="E394" s="3">
        <v>2075.2600000000002</v>
      </c>
      <c r="F394" s="2">
        <v>2024</v>
      </c>
      <c r="G394" s="2" t="s">
        <v>48</v>
      </c>
      <c r="H394" s="2" t="s">
        <v>29</v>
      </c>
      <c r="I394" s="2" t="s">
        <v>61</v>
      </c>
      <c r="J394" s="2" t="s">
        <v>62</v>
      </c>
      <c r="K394" s="2" t="s">
        <v>32</v>
      </c>
      <c r="L394" s="2" t="s">
        <v>63</v>
      </c>
      <c r="M394" s="8">
        <v>45350</v>
      </c>
      <c r="N394" s="2" t="s">
        <v>1055</v>
      </c>
      <c r="O394" s="8">
        <v>45349</v>
      </c>
      <c r="P394" s="8">
        <v>45354</v>
      </c>
      <c r="Q394" s="2" t="s">
        <v>35</v>
      </c>
      <c r="R394" s="2" t="s">
        <v>386</v>
      </c>
      <c r="S394" s="2">
        <v>582732</v>
      </c>
      <c r="T394" s="2" t="s">
        <v>204</v>
      </c>
      <c r="U394" s="2" t="s">
        <v>205</v>
      </c>
      <c r="V394" s="2" t="s">
        <v>1056</v>
      </c>
      <c r="W394" s="2">
        <v>5</v>
      </c>
      <c r="X394" s="4">
        <v>0.1</v>
      </c>
      <c r="Y394" s="3">
        <v>450.12</v>
      </c>
    </row>
    <row r="395" spans="1:25" x14ac:dyDescent="0.3">
      <c r="A395" s="2" t="s">
        <v>1050</v>
      </c>
      <c r="B395" s="2" t="s">
        <v>210</v>
      </c>
      <c r="C395" s="2" t="s">
        <v>60</v>
      </c>
      <c r="D395" s="8">
        <v>28663</v>
      </c>
      <c r="E395" s="3">
        <v>882.9</v>
      </c>
      <c r="F395" s="2">
        <v>2024</v>
      </c>
      <c r="G395" s="2" t="s">
        <v>48</v>
      </c>
      <c r="H395" s="2" t="s">
        <v>29</v>
      </c>
      <c r="I395" s="2" t="s">
        <v>43</v>
      </c>
      <c r="J395" s="2" t="s">
        <v>62</v>
      </c>
      <c r="K395" s="2" t="s">
        <v>32</v>
      </c>
      <c r="L395" s="2" t="s">
        <v>63</v>
      </c>
      <c r="M395" s="8">
        <v>45492</v>
      </c>
      <c r="N395" s="2" t="s">
        <v>1057</v>
      </c>
      <c r="O395" s="8">
        <v>45490</v>
      </c>
      <c r="P395" s="8">
        <v>45493</v>
      </c>
      <c r="Q395" s="2" t="s">
        <v>41</v>
      </c>
      <c r="R395" s="2" t="s">
        <v>386</v>
      </c>
      <c r="S395" s="2">
        <v>696707</v>
      </c>
      <c r="T395" s="2" t="s">
        <v>45</v>
      </c>
      <c r="U395" s="2" t="s">
        <v>46</v>
      </c>
      <c r="V395" s="2" t="s">
        <v>1058</v>
      </c>
      <c r="W395" s="2">
        <v>5</v>
      </c>
      <c r="X395" s="4">
        <v>0.1</v>
      </c>
      <c r="Y395" s="3">
        <v>110.32</v>
      </c>
    </row>
    <row r="396" spans="1:25" x14ac:dyDescent="0.3">
      <c r="A396" s="2" t="s">
        <v>1050</v>
      </c>
      <c r="B396" s="2" t="s">
        <v>210</v>
      </c>
      <c r="C396" s="2" t="s">
        <v>60</v>
      </c>
      <c r="D396" s="8">
        <v>28663</v>
      </c>
      <c r="E396" s="3">
        <v>2403.54</v>
      </c>
      <c r="F396" s="2">
        <v>2024</v>
      </c>
      <c r="G396" s="2" t="s">
        <v>87</v>
      </c>
      <c r="H396" s="2" t="s">
        <v>29</v>
      </c>
      <c r="I396" s="2" t="s">
        <v>61</v>
      </c>
      <c r="J396" s="2" t="s">
        <v>62</v>
      </c>
      <c r="K396" s="2" t="s">
        <v>32</v>
      </c>
      <c r="L396" s="2" t="s">
        <v>63</v>
      </c>
      <c r="M396" s="8">
        <v>45575</v>
      </c>
      <c r="N396" s="2" t="s">
        <v>1059</v>
      </c>
      <c r="O396" s="8">
        <v>45575</v>
      </c>
      <c r="P396" s="8">
        <v>45580</v>
      </c>
      <c r="Q396" s="2" t="s">
        <v>74</v>
      </c>
      <c r="R396" s="2" t="s">
        <v>386</v>
      </c>
      <c r="S396" s="2">
        <v>139186</v>
      </c>
      <c r="T396" s="2" t="s">
        <v>312</v>
      </c>
      <c r="U396" s="2" t="s">
        <v>313</v>
      </c>
      <c r="V396" s="2" t="s">
        <v>1060</v>
      </c>
      <c r="W396" s="2">
        <v>6</v>
      </c>
      <c r="X396" s="4">
        <v>0</v>
      </c>
      <c r="Y396" s="3">
        <v>472.25</v>
      </c>
    </row>
    <row r="397" spans="1:25" x14ac:dyDescent="0.3">
      <c r="A397" s="2" t="s">
        <v>1050</v>
      </c>
      <c r="B397" s="2" t="s">
        <v>210</v>
      </c>
      <c r="C397" s="2" t="s">
        <v>60</v>
      </c>
      <c r="D397" s="8">
        <v>28663</v>
      </c>
      <c r="E397" s="3">
        <v>631.14</v>
      </c>
      <c r="F397" s="2">
        <v>2025</v>
      </c>
      <c r="G397" s="2" t="s">
        <v>48</v>
      </c>
      <c r="H397" s="2" t="s">
        <v>29</v>
      </c>
      <c r="I397" s="2" t="s">
        <v>49</v>
      </c>
      <c r="J397" s="2" t="s">
        <v>62</v>
      </c>
      <c r="K397" s="2" t="s">
        <v>32</v>
      </c>
      <c r="L397" s="2" t="s">
        <v>63</v>
      </c>
      <c r="M397" s="8">
        <v>45712</v>
      </c>
      <c r="N397" s="2" t="s">
        <v>1061</v>
      </c>
      <c r="O397" s="8">
        <v>45709</v>
      </c>
      <c r="P397" s="8">
        <v>45713</v>
      </c>
      <c r="Q397" s="2" t="s">
        <v>121</v>
      </c>
      <c r="R397" s="2" t="s">
        <v>386</v>
      </c>
      <c r="S397" s="2">
        <v>883997</v>
      </c>
      <c r="T397" s="2" t="s">
        <v>51</v>
      </c>
      <c r="U397" s="2" t="s">
        <v>52</v>
      </c>
      <c r="V397" s="2" t="s">
        <v>448</v>
      </c>
      <c r="W397" s="2">
        <v>2</v>
      </c>
      <c r="X397" s="4">
        <v>0.2</v>
      </c>
      <c r="Y397" s="3">
        <v>94.87</v>
      </c>
    </row>
    <row r="398" spans="1:25" x14ac:dyDescent="0.3">
      <c r="A398" s="2" t="s">
        <v>1050</v>
      </c>
      <c r="B398" s="2" t="s">
        <v>210</v>
      </c>
      <c r="C398" s="2" t="s">
        <v>60</v>
      </c>
      <c r="D398" s="8">
        <v>28663</v>
      </c>
      <c r="E398" s="3">
        <v>289.67</v>
      </c>
      <c r="F398" s="2">
        <v>2025</v>
      </c>
      <c r="G398" s="2" t="s">
        <v>48</v>
      </c>
      <c r="H398" s="2" t="s">
        <v>29</v>
      </c>
      <c r="I398" s="2" t="s">
        <v>49</v>
      </c>
      <c r="J398" s="2" t="s">
        <v>62</v>
      </c>
      <c r="K398" s="2" t="s">
        <v>32</v>
      </c>
      <c r="L398" s="2" t="s">
        <v>63</v>
      </c>
      <c r="M398" s="8">
        <v>45796</v>
      </c>
      <c r="N398" s="2" t="s">
        <v>1062</v>
      </c>
      <c r="O398" s="8">
        <v>45792</v>
      </c>
      <c r="P398" s="8">
        <v>45797</v>
      </c>
      <c r="Q398" s="2" t="s">
        <v>74</v>
      </c>
      <c r="R398" s="2" t="s">
        <v>386</v>
      </c>
      <c r="S398" s="2">
        <v>626806</v>
      </c>
      <c r="T398" s="2" t="s">
        <v>51</v>
      </c>
      <c r="U398" s="2" t="s">
        <v>52</v>
      </c>
      <c r="V398" s="2" t="s">
        <v>1063</v>
      </c>
      <c r="W398" s="2">
        <v>7</v>
      </c>
      <c r="X398" s="4">
        <v>0.1</v>
      </c>
      <c r="Y398" s="3">
        <v>18.059999999999999</v>
      </c>
    </row>
    <row r="399" spans="1:25" x14ac:dyDescent="0.3">
      <c r="A399" s="2" t="s">
        <v>1064</v>
      </c>
      <c r="B399" s="2" t="s">
        <v>617</v>
      </c>
      <c r="C399" s="2" t="s">
        <v>176</v>
      </c>
      <c r="D399" s="8">
        <v>30335</v>
      </c>
      <c r="E399" s="3">
        <v>1058.02</v>
      </c>
      <c r="F399" s="2">
        <v>2023</v>
      </c>
      <c r="G399" s="2" t="s">
        <v>28</v>
      </c>
      <c r="H399" s="2" t="s">
        <v>163</v>
      </c>
      <c r="I399" s="2" t="s">
        <v>92</v>
      </c>
      <c r="J399" s="2" t="s">
        <v>143</v>
      </c>
      <c r="K399" s="2" t="s">
        <v>32</v>
      </c>
      <c r="L399" s="2" t="s">
        <v>33</v>
      </c>
      <c r="M399" s="8">
        <v>44978</v>
      </c>
      <c r="N399" s="2" t="s">
        <v>1065</v>
      </c>
      <c r="O399" s="8">
        <v>44978</v>
      </c>
      <c r="P399" s="8">
        <v>44981</v>
      </c>
      <c r="Q399" s="2" t="s">
        <v>35</v>
      </c>
      <c r="R399" s="2" t="s">
        <v>421</v>
      </c>
      <c r="S399" s="2">
        <v>674779</v>
      </c>
      <c r="T399" s="2" t="s">
        <v>187</v>
      </c>
      <c r="U399" s="2" t="s">
        <v>188</v>
      </c>
      <c r="V399" s="2" t="s">
        <v>1066</v>
      </c>
      <c r="W399" s="2">
        <v>7</v>
      </c>
      <c r="X399" s="4">
        <v>0.05</v>
      </c>
      <c r="Y399" s="3">
        <v>99.88</v>
      </c>
    </row>
    <row r="400" spans="1:25" x14ac:dyDescent="0.3">
      <c r="A400" s="2" t="s">
        <v>1064</v>
      </c>
      <c r="B400" s="2" t="s">
        <v>617</v>
      </c>
      <c r="C400" s="2" t="s">
        <v>176</v>
      </c>
      <c r="D400" s="8">
        <v>30335</v>
      </c>
      <c r="E400" s="3">
        <v>1460.93</v>
      </c>
      <c r="F400" s="2">
        <v>2023</v>
      </c>
      <c r="G400" s="2" t="s">
        <v>87</v>
      </c>
      <c r="H400" s="2" t="s">
        <v>163</v>
      </c>
      <c r="I400" s="2" t="s">
        <v>92</v>
      </c>
      <c r="J400" s="2" t="s">
        <v>143</v>
      </c>
      <c r="K400" s="2" t="s">
        <v>32</v>
      </c>
      <c r="L400" s="2" t="s">
        <v>33</v>
      </c>
      <c r="M400" s="8">
        <v>45084</v>
      </c>
      <c r="N400" s="2" t="s">
        <v>1067</v>
      </c>
      <c r="O400" s="8">
        <v>45083</v>
      </c>
      <c r="P400" s="8">
        <v>45085</v>
      </c>
      <c r="Q400" s="2" t="s">
        <v>121</v>
      </c>
      <c r="R400" s="2" t="s">
        <v>421</v>
      </c>
      <c r="S400" s="2">
        <v>611559</v>
      </c>
      <c r="T400" s="2" t="s">
        <v>94</v>
      </c>
      <c r="U400" s="2" t="s">
        <v>95</v>
      </c>
      <c r="V400" s="2" t="s">
        <v>1068</v>
      </c>
      <c r="W400" s="2">
        <v>7</v>
      </c>
      <c r="X400" s="4">
        <v>0.2</v>
      </c>
      <c r="Y400" s="3">
        <v>378.91</v>
      </c>
    </row>
    <row r="401" spans="1:25" x14ac:dyDescent="0.3">
      <c r="A401" s="2" t="s">
        <v>1064</v>
      </c>
      <c r="B401" s="2" t="s">
        <v>617</v>
      </c>
      <c r="C401" s="2" t="s">
        <v>176</v>
      </c>
      <c r="D401" s="8">
        <v>30335</v>
      </c>
      <c r="E401" s="3">
        <v>4487.3999999999996</v>
      </c>
      <c r="F401" s="2">
        <v>2024</v>
      </c>
      <c r="G401" s="2" t="s">
        <v>28</v>
      </c>
      <c r="H401" s="2" t="s">
        <v>163</v>
      </c>
      <c r="I401" s="2" t="s">
        <v>92</v>
      </c>
      <c r="J401" s="2" t="s">
        <v>143</v>
      </c>
      <c r="K401" s="2" t="s">
        <v>32</v>
      </c>
      <c r="L401" s="2" t="s">
        <v>33</v>
      </c>
      <c r="M401" s="8">
        <v>45330</v>
      </c>
      <c r="N401" s="2" t="s">
        <v>1069</v>
      </c>
      <c r="O401" s="8">
        <v>45329</v>
      </c>
      <c r="P401" s="8">
        <v>45330</v>
      </c>
      <c r="Q401" s="2" t="s">
        <v>74</v>
      </c>
      <c r="R401" s="2" t="s">
        <v>421</v>
      </c>
      <c r="S401" s="2">
        <v>817999</v>
      </c>
      <c r="T401" s="2" t="s">
        <v>147</v>
      </c>
      <c r="U401" s="2" t="s">
        <v>148</v>
      </c>
      <c r="V401" s="2" t="s">
        <v>1070</v>
      </c>
      <c r="W401" s="2">
        <v>10</v>
      </c>
      <c r="X401" s="4">
        <v>0.1</v>
      </c>
      <c r="Y401" s="3">
        <v>555.87</v>
      </c>
    </row>
    <row r="402" spans="1:25" x14ac:dyDescent="0.3">
      <c r="A402" s="2" t="s">
        <v>1064</v>
      </c>
      <c r="B402" s="2" t="s">
        <v>617</v>
      </c>
      <c r="C402" s="2" t="s">
        <v>176</v>
      </c>
      <c r="D402" s="8">
        <v>30335</v>
      </c>
      <c r="E402" s="3">
        <v>1563.1</v>
      </c>
      <c r="F402" s="2">
        <v>2024</v>
      </c>
      <c r="G402" s="2" t="s">
        <v>28</v>
      </c>
      <c r="H402" s="2" t="s">
        <v>163</v>
      </c>
      <c r="I402" s="2" t="s">
        <v>30</v>
      </c>
      <c r="J402" s="2" t="s">
        <v>143</v>
      </c>
      <c r="K402" s="2" t="s">
        <v>32</v>
      </c>
      <c r="L402" s="2" t="s">
        <v>33</v>
      </c>
      <c r="M402" s="8">
        <v>45616</v>
      </c>
      <c r="N402" s="2" t="s">
        <v>1071</v>
      </c>
      <c r="O402" s="8">
        <v>45616</v>
      </c>
      <c r="P402" s="8">
        <v>45619</v>
      </c>
      <c r="Q402" s="2" t="s">
        <v>121</v>
      </c>
      <c r="R402" s="2" t="s">
        <v>421</v>
      </c>
      <c r="S402" s="2">
        <v>466704</v>
      </c>
      <c r="T402" s="2" t="s">
        <v>75</v>
      </c>
      <c r="U402" s="2" t="s">
        <v>76</v>
      </c>
      <c r="V402" s="2" t="s">
        <v>1072</v>
      </c>
      <c r="W402" s="2">
        <v>7</v>
      </c>
      <c r="X402" s="4">
        <v>0</v>
      </c>
      <c r="Y402" s="3">
        <v>167.48</v>
      </c>
    </row>
    <row r="403" spans="1:25" x14ac:dyDescent="0.3">
      <c r="A403" s="2" t="s">
        <v>1064</v>
      </c>
      <c r="B403" s="2" t="s">
        <v>617</v>
      </c>
      <c r="C403" s="2" t="s">
        <v>176</v>
      </c>
      <c r="D403" s="8">
        <v>30335</v>
      </c>
      <c r="E403" s="3">
        <v>555.41</v>
      </c>
      <c r="F403" s="2">
        <v>2025</v>
      </c>
      <c r="G403" s="2" t="s">
        <v>87</v>
      </c>
      <c r="H403" s="2" t="s">
        <v>163</v>
      </c>
      <c r="I403" s="2" t="s">
        <v>30</v>
      </c>
      <c r="J403" s="2" t="s">
        <v>143</v>
      </c>
      <c r="K403" s="2" t="s">
        <v>32</v>
      </c>
      <c r="L403" s="2" t="s">
        <v>33</v>
      </c>
      <c r="M403" s="8">
        <v>45677</v>
      </c>
      <c r="N403" s="2" t="s">
        <v>1073</v>
      </c>
      <c r="O403" s="8">
        <v>45676</v>
      </c>
      <c r="P403" s="8">
        <v>45679</v>
      </c>
      <c r="Q403" s="2" t="s">
        <v>35</v>
      </c>
      <c r="R403" s="2" t="s">
        <v>421</v>
      </c>
      <c r="S403" s="2">
        <v>217830</v>
      </c>
      <c r="T403" s="2" t="s">
        <v>37</v>
      </c>
      <c r="U403" s="2" t="s">
        <v>38</v>
      </c>
      <c r="V403" s="2" t="s">
        <v>1074</v>
      </c>
      <c r="W403" s="2">
        <v>3</v>
      </c>
      <c r="X403" s="4">
        <v>0.2</v>
      </c>
      <c r="Y403" s="3">
        <v>66.680000000000007</v>
      </c>
    </row>
    <row r="404" spans="1:25" x14ac:dyDescent="0.3">
      <c r="A404" s="2" t="s">
        <v>1075</v>
      </c>
      <c r="B404" s="2" t="s">
        <v>617</v>
      </c>
      <c r="C404" s="2" t="s">
        <v>271</v>
      </c>
      <c r="D404" s="8">
        <v>29954</v>
      </c>
      <c r="E404" s="3">
        <v>316.27</v>
      </c>
      <c r="F404" s="2">
        <v>2023</v>
      </c>
      <c r="G404" s="2" t="s">
        <v>87</v>
      </c>
      <c r="H404" s="2" t="s">
        <v>29</v>
      </c>
      <c r="I404" s="2" t="s">
        <v>43</v>
      </c>
      <c r="J404" s="2" t="s">
        <v>31</v>
      </c>
      <c r="K404" s="2" t="s">
        <v>32</v>
      </c>
      <c r="L404" s="2" t="s">
        <v>63</v>
      </c>
      <c r="M404" s="8">
        <v>45080</v>
      </c>
      <c r="N404" s="2" t="s">
        <v>1076</v>
      </c>
      <c r="O404" s="8">
        <v>45078</v>
      </c>
      <c r="P404" s="8">
        <v>45080</v>
      </c>
      <c r="Q404" s="2" t="s">
        <v>121</v>
      </c>
      <c r="R404" s="2" t="s">
        <v>261</v>
      </c>
      <c r="S404" s="2">
        <v>313701</v>
      </c>
      <c r="T404" s="2" t="s">
        <v>45</v>
      </c>
      <c r="U404" s="2" t="s">
        <v>46</v>
      </c>
      <c r="V404" s="2" t="s">
        <v>1077</v>
      </c>
      <c r="W404" s="2">
        <v>2</v>
      </c>
      <c r="X404" s="4">
        <v>0.05</v>
      </c>
      <c r="Y404" s="3">
        <v>17.97</v>
      </c>
    </row>
    <row r="405" spans="1:25" x14ac:dyDescent="0.3">
      <c r="A405" s="2" t="s">
        <v>1075</v>
      </c>
      <c r="B405" s="2" t="s">
        <v>617</v>
      </c>
      <c r="C405" s="2" t="s">
        <v>271</v>
      </c>
      <c r="D405" s="8">
        <v>29954</v>
      </c>
      <c r="E405" s="3">
        <v>1275.3900000000001</v>
      </c>
      <c r="F405" s="2">
        <v>2023</v>
      </c>
      <c r="G405" s="2" t="s">
        <v>87</v>
      </c>
      <c r="H405" s="2" t="s">
        <v>29</v>
      </c>
      <c r="I405" s="2" t="s">
        <v>30</v>
      </c>
      <c r="J405" s="2" t="s">
        <v>31</v>
      </c>
      <c r="K405" s="2" t="s">
        <v>32</v>
      </c>
      <c r="L405" s="2" t="s">
        <v>63</v>
      </c>
      <c r="M405" s="8">
        <v>45177</v>
      </c>
      <c r="N405" s="2" t="s">
        <v>1078</v>
      </c>
      <c r="O405" s="8">
        <v>45175</v>
      </c>
      <c r="P405" s="8">
        <v>45177</v>
      </c>
      <c r="Q405" s="2" t="s">
        <v>35</v>
      </c>
      <c r="R405" s="2" t="s">
        <v>261</v>
      </c>
      <c r="S405" s="2">
        <v>494900</v>
      </c>
      <c r="T405" s="2" t="s">
        <v>55</v>
      </c>
      <c r="U405" s="2" t="s">
        <v>56</v>
      </c>
      <c r="V405" s="2" t="s">
        <v>1079</v>
      </c>
      <c r="W405" s="2">
        <v>5</v>
      </c>
      <c r="X405" s="4">
        <v>0.1</v>
      </c>
      <c r="Y405" s="3">
        <v>343.05</v>
      </c>
    </row>
    <row r="406" spans="1:25" x14ac:dyDescent="0.3">
      <c r="A406" s="2" t="s">
        <v>1075</v>
      </c>
      <c r="B406" s="2" t="s">
        <v>617</v>
      </c>
      <c r="C406" s="2" t="s">
        <v>271</v>
      </c>
      <c r="D406" s="8">
        <v>29954</v>
      </c>
      <c r="E406" s="3">
        <v>142.62</v>
      </c>
      <c r="F406" s="2">
        <v>2024</v>
      </c>
      <c r="G406" s="2" t="s">
        <v>48</v>
      </c>
      <c r="H406" s="2" t="s">
        <v>29</v>
      </c>
      <c r="I406" s="2" t="s">
        <v>30</v>
      </c>
      <c r="J406" s="2" t="s">
        <v>31</v>
      </c>
      <c r="K406" s="2" t="s">
        <v>32</v>
      </c>
      <c r="L406" s="2" t="s">
        <v>63</v>
      </c>
      <c r="M406" s="8">
        <v>45564</v>
      </c>
      <c r="N406" s="2" t="s">
        <v>1080</v>
      </c>
      <c r="O406" s="8">
        <v>45562</v>
      </c>
      <c r="P406" s="8">
        <v>45567</v>
      </c>
      <c r="Q406" s="2" t="s">
        <v>41</v>
      </c>
      <c r="R406" s="2" t="s">
        <v>261</v>
      </c>
      <c r="S406" s="2">
        <v>786563</v>
      </c>
      <c r="T406" s="2" t="s">
        <v>55</v>
      </c>
      <c r="U406" s="2" t="s">
        <v>56</v>
      </c>
      <c r="V406" s="2" t="s">
        <v>1081</v>
      </c>
      <c r="W406" s="2">
        <v>1</v>
      </c>
      <c r="X406" s="4">
        <v>0</v>
      </c>
      <c r="Y406" s="3">
        <v>19.28</v>
      </c>
    </row>
    <row r="407" spans="1:25" x14ac:dyDescent="0.3">
      <c r="A407" s="2" t="s">
        <v>1075</v>
      </c>
      <c r="B407" s="2" t="s">
        <v>617</v>
      </c>
      <c r="C407" s="2" t="s">
        <v>271</v>
      </c>
      <c r="D407" s="8">
        <v>29954</v>
      </c>
      <c r="E407" s="3">
        <v>1437.48</v>
      </c>
      <c r="F407" s="2">
        <v>2025</v>
      </c>
      <c r="G407" s="2" t="s">
        <v>28</v>
      </c>
      <c r="H407" s="2" t="s">
        <v>29</v>
      </c>
      <c r="I407" s="2" t="s">
        <v>78</v>
      </c>
      <c r="J407" s="2" t="s">
        <v>31</v>
      </c>
      <c r="K407" s="2" t="s">
        <v>32</v>
      </c>
      <c r="L407" s="2" t="s">
        <v>63</v>
      </c>
      <c r="M407" s="8">
        <v>45779</v>
      </c>
      <c r="N407" s="2" t="s">
        <v>1082</v>
      </c>
      <c r="O407" s="8">
        <v>45779</v>
      </c>
      <c r="P407" s="8">
        <v>45780</v>
      </c>
      <c r="Q407" s="2" t="s">
        <v>41</v>
      </c>
      <c r="R407" s="2" t="s">
        <v>261</v>
      </c>
      <c r="S407" s="2">
        <v>342397</v>
      </c>
      <c r="T407" s="2" t="s">
        <v>135</v>
      </c>
      <c r="U407" s="2" t="s">
        <v>136</v>
      </c>
      <c r="V407" s="2" t="s">
        <v>1083</v>
      </c>
      <c r="W407" s="2">
        <v>5</v>
      </c>
      <c r="X407" s="4">
        <v>0.15</v>
      </c>
      <c r="Y407" s="3">
        <v>227.22</v>
      </c>
    </row>
    <row r="408" spans="1:25" x14ac:dyDescent="0.3">
      <c r="A408" s="2" t="s">
        <v>1075</v>
      </c>
      <c r="B408" s="2" t="s">
        <v>617</v>
      </c>
      <c r="C408" s="2" t="s">
        <v>271</v>
      </c>
      <c r="D408" s="8">
        <v>29954</v>
      </c>
      <c r="E408" s="3">
        <v>3139.56</v>
      </c>
      <c r="F408" s="2">
        <v>2025</v>
      </c>
      <c r="G408" s="2" t="s">
        <v>28</v>
      </c>
      <c r="H408" s="2" t="s">
        <v>29</v>
      </c>
      <c r="I408" s="2" t="s">
        <v>92</v>
      </c>
      <c r="J408" s="2" t="s">
        <v>31</v>
      </c>
      <c r="K408" s="2" t="s">
        <v>32</v>
      </c>
      <c r="L408" s="2" t="s">
        <v>63</v>
      </c>
      <c r="M408" s="8">
        <v>45818</v>
      </c>
      <c r="N408" s="2" t="s">
        <v>1084</v>
      </c>
      <c r="O408" s="8">
        <v>45816</v>
      </c>
      <c r="P408" s="8">
        <v>45818</v>
      </c>
      <c r="Q408" s="2" t="s">
        <v>35</v>
      </c>
      <c r="R408" s="2" t="s">
        <v>261</v>
      </c>
      <c r="S408" s="2">
        <v>141683</v>
      </c>
      <c r="T408" s="2" t="s">
        <v>187</v>
      </c>
      <c r="U408" s="2" t="s">
        <v>188</v>
      </c>
      <c r="V408" s="2" t="s">
        <v>1085</v>
      </c>
      <c r="W408" s="2">
        <v>8</v>
      </c>
      <c r="X408" s="4">
        <v>0.1</v>
      </c>
      <c r="Y408" s="3">
        <v>239.88</v>
      </c>
    </row>
    <row r="409" spans="1:25" x14ac:dyDescent="0.3">
      <c r="A409" s="2" t="s">
        <v>1086</v>
      </c>
      <c r="B409" s="2" t="s">
        <v>521</v>
      </c>
      <c r="C409" s="2" t="s">
        <v>327</v>
      </c>
      <c r="D409" s="8">
        <v>32720</v>
      </c>
      <c r="E409" s="3">
        <v>73.489999999999995</v>
      </c>
      <c r="F409" s="2">
        <v>2023</v>
      </c>
      <c r="G409" s="2" t="s">
        <v>87</v>
      </c>
      <c r="H409" s="2" t="s">
        <v>29</v>
      </c>
      <c r="I409" s="2" t="s">
        <v>43</v>
      </c>
      <c r="J409" s="2" t="s">
        <v>102</v>
      </c>
      <c r="K409" s="2" t="s">
        <v>32</v>
      </c>
      <c r="L409" s="2" t="s">
        <v>144</v>
      </c>
      <c r="M409" s="8">
        <v>45240</v>
      </c>
      <c r="N409" s="2" t="s">
        <v>1087</v>
      </c>
      <c r="O409" s="8">
        <v>45239</v>
      </c>
      <c r="P409" s="8">
        <v>45242</v>
      </c>
      <c r="Q409" s="2" t="s">
        <v>74</v>
      </c>
      <c r="R409" s="2" t="s">
        <v>165</v>
      </c>
      <c r="S409" s="2">
        <v>951331</v>
      </c>
      <c r="T409" s="2" t="s">
        <v>153</v>
      </c>
      <c r="U409" s="2" t="s">
        <v>154</v>
      </c>
      <c r="V409" s="2" t="s">
        <v>1088</v>
      </c>
      <c r="W409" s="2">
        <v>3</v>
      </c>
      <c r="X409" s="4">
        <v>0.15</v>
      </c>
      <c r="Y409" s="3">
        <v>11.43</v>
      </c>
    </row>
    <row r="410" spans="1:25" x14ac:dyDescent="0.3">
      <c r="A410" s="2" t="s">
        <v>1086</v>
      </c>
      <c r="B410" s="2" t="s">
        <v>521</v>
      </c>
      <c r="C410" s="2" t="s">
        <v>327</v>
      </c>
      <c r="D410" s="8">
        <v>32720</v>
      </c>
      <c r="E410" s="3">
        <v>2505.38</v>
      </c>
      <c r="F410" s="2">
        <v>2024</v>
      </c>
      <c r="G410" s="2" t="s">
        <v>48</v>
      </c>
      <c r="H410" s="2" t="s">
        <v>29</v>
      </c>
      <c r="I410" s="2" t="s">
        <v>78</v>
      </c>
      <c r="J410" s="2" t="s">
        <v>102</v>
      </c>
      <c r="K410" s="2" t="s">
        <v>32</v>
      </c>
      <c r="L410" s="2" t="s">
        <v>144</v>
      </c>
      <c r="M410" s="8">
        <v>45471</v>
      </c>
      <c r="N410" s="2" t="s">
        <v>1089</v>
      </c>
      <c r="O410" s="8">
        <v>45469</v>
      </c>
      <c r="P410" s="8">
        <v>45474</v>
      </c>
      <c r="Q410" s="2" t="s">
        <v>121</v>
      </c>
      <c r="R410" s="2" t="s">
        <v>165</v>
      </c>
      <c r="S410" s="2">
        <v>458388</v>
      </c>
      <c r="T410" s="2" t="s">
        <v>117</v>
      </c>
      <c r="U410" s="2" t="s">
        <v>118</v>
      </c>
      <c r="V410" s="2" t="s">
        <v>1090</v>
      </c>
      <c r="W410" s="2">
        <v>7</v>
      </c>
      <c r="X410" s="4">
        <v>0.2</v>
      </c>
      <c r="Y410" s="3">
        <v>869.64</v>
      </c>
    </row>
    <row r="411" spans="1:25" x14ac:dyDescent="0.3">
      <c r="A411" s="2" t="s">
        <v>1091</v>
      </c>
      <c r="B411" s="2" t="s">
        <v>270</v>
      </c>
      <c r="C411" s="2" t="s">
        <v>348</v>
      </c>
      <c r="D411" s="8">
        <v>36616</v>
      </c>
      <c r="E411" s="3">
        <v>793.15</v>
      </c>
      <c r="F411" s="2">
        <v>2023</v>
      </c>
      <c r="G411" s="2" t="s">
        <v>28</v>
      </c>
      <c r="H411" s="2" t="s">
        <v>29</v>
      </c>
      <c r="I411" s="2" t="s">
        <v>49</v>
      </c>
      <c r="J411" s="2" t="s">
        <v>227</v>
      </c>
      <c r="K411" s="2" t="s">
        <v>32</v>
      </c>
      <c r="L411" s="2" t="s">
        <v>144</v>
      </c>
      <c r="M411" s="8">
        <v>45018</v>
      </c>
      <c r="N411" s="2" t="s">
        <v>1092</v>
      </c>
      <c r="O411" s="8">
        <v>45016</v>
      </c>
      <c r="P411" s="8">
        <v>45019</v>
      </c>
      <c r="Q411" s="2" t="s">
        <v>121</v>
      </c>
      <c r="R411" s="2" t="s">
        <v>229</v>
      </c>
      <c r="S411" s="2">
        <v>316800</v>
      </c>
      <c r="T411" s="2" t="s">
        <v>51</v>
      </c>
      <c r="U411" s="2" t="s">
        <v>52</v>
      </c>
      <c r="V411" s="2" t="s">
        <v>1093</v>
      </c>
      <c r="W411" s="2">
        <v>4</v>
      </c>
      <c r="X411" s="4">
        <v>0.1</v>
      </c>
      <c r="Y411" s="3">
        <v>76</v>
      </c>
    </row>
    <row r="412" spans="1:25" x14ac:dyDescent="0.3">
      <c r="A412" s="2" t="s">
        <v>1091</v>
      </c>
      <c r="B412" s="2" t="s">
        <v>270</v>
      </c>
      <c r="C412" s="2" t="s">
        <v>348</v>
      </c>
      <c r="D412" s="8">
        <v>36616</v>
      </c>
      <c r="E412" s="3">
        <v>3135.06</v>
      </c>
      <c r="F412" s="2">
        <v>2023</v>
      </c>
      <c r="G412" s="2" t="s">
        <v>28</v>
      </c>
      <c r="H412" s="2" t="s">
        <v>29</v>
      </c>
      <c r="I412" s="2" t="s">
        <v>49</v>
      </c>
      <c r="J412" s="2" t="s">
        <v>227</v>
      </c>
      <c r="K412" s="2" t="s">
        <v>32</v>
      </c>
      <c r="L412" s="2" t="s">
        <v>144</v>
      </c>
      <c r="M412" s="8">
        <v>45068</v>
      </c>
      <c r="N412" s="2" t="s">
        <v>1094</v>
      </c>
      <c r="O412" s="8">
        <v>45067</v>
      </c>
      <c r="P412" s="8">
        <v>45070</v>
      </c>
      <c r="Q412" s="2" t="s">
        <v>121</v>
      </c>
      <c r="R412" s="2" t="s">
        <v>229</v>
      </c>
      <c r="S412" s="2">
        <v>788108</v>
      </c>
      <c r="T412" s="2" t="s">
        <v>109</v>
      </c>
      <c r="U412" s="2" t="s">
        <v>110</v>
      </c>
      <c r="V412" s="2" t="s">
        <v>1095</v>
      </c>
      <c r="W412" s="2">
        <v>9</v>
      </c>
      <c r="X412" s="4">
        <v>0</v>
      </c>
      <c r="Y412" s="3">
        <v>968.03</v>
      </c>
    </row>
    <row r="413" spans="1:25" x14ac:dyDescent="0.3">
      <c r="A413" s="2" t="s">
        <v>1091</v>
      </c>
      <c r="B413" s="2" t="s">
        <v>270</v>
      </c>
      <c r="C413" s="2" t="s">
        <v>348</v>
      </c>
      <c r="D413" s="8">
        <v>36616</v>
      </c>
      <c r="E413" s="3">
        <v>488.78</v>
      </c>
      <c r="F413" s="2">
        <v>2024</v>
      </c>
      <c r="G413" s="2" t="s">
        <v>87</v>
      </c>
      <c r="H413" s="2" t="s">
        <v>29</v>
      </c>
      <c r="I413" s="2" t="s">
        <v>30</v>
      </c>
      <c r="J413" s="2" t="s">
        <v>227</v>
      </c>
      <c r="K413" s="2" t="s">
        <v>32</v>
      </c>
      <c r="L413" s="2" t="s">
        <v>144</v>
      </c>
      <c r="M413" s="8">
        <v>45319</v>
      </c>
      <c r="N413" s="2" t="s">
        <v>1096</v>
      </c>
      <c r="O413" s="8">
        <v>45318</v>
      </c>
      <c r="P413" s="8">
        <v>45321</v>
      </c>
      <c r="Q413" s="2" t="s">
        <v>35</v>
      </c>
      <c r="R413" s="2" t="s">
        <v>229</v>
      </c>
      <c r="S413" s="2">
        <v>902616</v>
      </c>
      <c r="T413" s="2" t="s">
        <v>75</v>
      </c>
      <c r="U413" s="2" t="s">
        <v>76</v>
      </c>
      <c r="V413" s="2" t="s">
        <v>1097</v>
      </c>
      <c r="W413" s="2">
        <v>2</v>
      </c>
      <c r="X413" s="4">
        <v>0.15</v>
      </c>
      <c r="Y413" s="3">
        <v>41.8</v>
      </c>
    </row>
    <row r="414" spans="1:25" x14ac:dyDescent="0.3">
      <c r="A414" s="2" t="s">
        <v>1091</v>
      </c>
      <c r="B414" s="2" t="s">
        <v>270</v>
      </c>
      <c r="C414" s="2" t="s">
        <v>348</v>
      </c>
      <c r="D414" s="8">
        <v>36616</v>
      </c>
      <c r="E414" s="3">
        <v>930.56</v>
      </c>
      <c r="F414" s="2">
        <v>2024</v>
      </c>
      <c r="G414" s="2" t="s">
        <v>48</v>
      </c>
      <c r="H414" s="2" t="s">
        <v>29</v>
      </c>
      <c r="I414" s="2" t="s">
        <v>43</v>
      </c>
      <c r="J414" s="2" t="s">
        <v>227</v>
      </c>
      <c r="K414" s="2" t="s">
        <v>32</v>
      </c>
      <c r="L414" s="2" t="s">
        <v>144</v>
      </c>
      <c r="M414" s="8">
        <v>45461</v>
      </c>
      <c r="N414" s="2" t="s">
        <v>1098</v>
      </c>
      <c r="O414" s="8">
        <v>45460</v>
      </c>
      <c r="P414" s="8">
        <v>45463</v>
      </c>
      <c r="Q414" s="2" t="s">
        <v>35</v>
      </c>
      <c r="R414" s="2" t="s">
        <v>229</v>
      </c>
      <c r="S414" s="2">
        <v>237935</v>
      </c>
      <c r="T414" s="2" t="s">
        <v>153</v>
      </c>
      <c r="U414" s="2" t="s">
        <v>154</v>
      </c>
      <c r="V414" s="2" t="s">
        <v>1099</v>
      </c>
      <c r="W414" s="2">
        <v>5</v>
      </c>
      <c r="X414" s="4">
        <v>0.2</v>
      </c>
      <c r="Y414" s="3">
        <v>296.14</v>
      </c>
    </row>
    <row r="415" spans="1:25" x14ac:dyDescent="0.3">
      <c r="A415" s="2" t="s">
        <v>1091</v>
      </c>
      <c r="B415" s="2" t="s">
        <v>270</v>
      </c>
      <c r="C415" s="2" t="s">
        <v>348</v>
      </c>
      <c r="D415" s="8">
        <v>36616</v>
      </c>
      <c r="E415" s="3">
        <v>2845.17</v>
      </c>
      <c r="F415" s="2">
        <v>2024</v>
      </c>
      <c r="G415" s="2" t="s">
        <v>48</v>
      </c>
      <c r="H415" s="2" t="s">
        <v>29</v>
      </c>
      <c r="I415" s="2" t="s">
        <v>61</v>
      </c>
      <c r="J415" s="2" t="s">
        <v>227</v>
      </c>
      <c r="K415" s="2" t="s">
        <v>32</v>
      </c>
      <c r="L415" s="2" t="s">
        <v>144</v>
      </c>
      <c r="M415" s="8">
        <v>45601</v>
      </c>
      <c r="N415" s="2" t="s">
        <v>1100</v>
      </c>
      <c r="O415" s="8">
        <v>45599</v>
      </c>
      <c r="P415" s="8">
        <v>45601</v>
      </c>
      <c r="Q415" s="2" t="s">
        <v>121</v>
      </c>
      <c r="R415" s="2" t="s">
        <v>229</v>
      </c>
      <c r="S415" s="2">
        <v>820767</v>
      </c>
      <c r="T415" s="2" t="s">
        <v>312</v>
      </c>
      <c r="U415" s="2" t="s">
        <v>313</v>
      </c>
      <c r="V415" s="2" t="s">
        <v>1101</v>
      </c>
      <c r="W415" s="2">
        <v>10</v>
      </c>
      <c r="X415" s="4">
        <v>0.1</v>
      </c>
      <c r="Y415" s="3">
        <v>626.26</v>
      </c>
    </row>
    <row r="416" spans="1:25" x14ac:dyDescent="0.3">
      <c r="A416" s="2" t="s">
        <v>1091</v>
      </c>
      <c r="B416" s="2" t="s">
        <v>270</v>
      </c>
      <c r="C416" s="2" t="s">
        <v>348</v>
      </c>
      <c r="D416" s="8">
        <v>36616</v>
      </c>
      <c r="E416" s="3">
        <v>539.9</v>
      </c>
      <c r="F416" s="2">
        <v>2025</v>
      </c>
      <c r="G416" s="2" t="s">
        <v>28</v>
      </c>
      <c r="H416" s="2" t="s">
        <v>29</v>
      </c>
      <c r="I416" s="2" t="s">
        <v>78</v>
      </c>
      <c r="J416" s="2" t="s">
        <v>227</v>
      </c>
      <c r="K416" s="2" t="s">
        <v>32</v>
      </c>
      <c r="L416" s="2" t="s">
        <v>144</v>
      </c>
      <c r="M416" s="8">
        <v>45675</v>
      </c>
      <c r="N416" s="2" t="s">
        <v>1102</v>
      </c>
      <c r="O416" s="8">
        <v>45674</v>
      </c>
      <c r="P416" s="8">
        <v>45677</v>
      </c>
      <c r="Q416" s="2" t="s">
        <v>41</v>
      </c>
      <c r="R416" s="2" t="s">
        <v>229</v>
      </c>
      <c r="S416" s="2">
        <v>596864</v>
      </c>
      <c r="T416" s="2" t="s">
        <v>117</v>
      </c>
      <c r="U416" s="2" t="s">
        <v>118</v>
      </c>
      <c r="V416" s="2" t="s">
        <v>1103</v>
      </c>
      <c r="W416" s="2">
        <v>8</v>
      </c>
      <c r="X416" s="4">
        <v>0.2</v>
      </c>
      <c r="Y416" s="3">
        <v>124.94</v>
      </c>
    </row>
    <row r="417" spans="1:25" x14ac:dyDescent="0.3">
      <c r="A417" s="2" t="s">
        <v>1104</v>
      </c>
      <c r="B417" s="2" t="s">
        <v>526</v>
      </c>
      <c r="C417" s="2" t="s">
        <v>618</v>
      </c>
      <c r="D417" s="8">
        <v>34812</v>
      </c>
      <c r="E417" s="3">
        <v>441</v>
      </c>
      <c r="F417" s="2">
        <v>2023</v>
      </c>
      <c r="G417" s="2" t="s">
        <v>48</v>
      </c>
      <c r="H417" s="2" t="s">
        <v>29</v>
      </c>
      <c r="I417" s="2" t="s">
        <v>78</v>
      </c>
      <c r="J417" s="2" t="s">
        <v>31</v>
      </c>
      <c r="K417" s="2" t="s">
        <v>32</v>
      </c>
      <c r="L417" s="2" t="s">
        <v>63</v>
      </c>
      <c r="M417" s="8">
        <v>45124</v>
      </c>
      <c r="N417" s="2" t="s">
        <v>1105</v>
      </c>
      <c r="O417" s="8">
        <v>45124</v>
      </c>
      <c r="P417" s="8">
        <v>45126</v>
      </c>
      <c r="Q417" s="2" t="s">
        <v>121</v>
      </c>
      <c r="R417" s="2" t="s">
        <v>837</v>
      </c>
      <c r="S417" s="2">
        <v>560623</v>
      </c>
      <c r="T417" s="2" t="s">
        <v>80</v>
      </c>
      <c r="U417" s="2" t="s">
        <v>81</v>
      </c>
      <c r="V417" s="2" t="s">
        <v>1106</v>
      </c>
      <c r="W417" s="2">
        <v>1</v>
      </c>
      <c r="X417" s="4">
        <v>0.05</v>
      </c>
      <c r="Y417" s="3">
        <v>51.49</v>
      </c>
    </row>
    <row r="418" spans="1:25" x14ac:dyDescent="0.3">
      <c r="A418" s="2" t="s">
        <v>1104</v>
      </c>
      <c r="B418" s="2" t="s">
        <v>526</v>
      </c>
      <c r="C418" s="2" t="s">
        <v>618</v>
      </c>
      <c r="D418" s="8">
        <v>34812</v>
      </c>
      <c r="E418" s="3">
        <v>2616.3000000000002</v>
      </c>
      <c r="F418" s="2">
        <v>2023</v>
      </c>
      <c r="G418" s="2" t="s">
        <v>87</v>
      </c>
      <c r="H418" s="2" t="s">
        <v>29</v>
      </c>
      <c r="I418" s="2" t="s">
        <v>30</v>
      </c>
      <c r="J418" s="2" t="s">
        <v>31</v>
      </c>
      <c r="K418" s="2" t="s">
        <v>32</v>
      </c>
      <c r="L418" s="2" t="s">
        <v>63</v>
      </c>
      <c r="M418" s="8">
        <v>45159</v>
      </c>
      <c r="N418" s="2" t="s">
        <v>1107</v>
      </c>
      <c r="O418" s="8">
        <v>45158</v>
      </c>
      <c r="P418" s="8">
        <v>45159</v>
      </c>
      <c r="Q418" s="2" t="s">
        <v>74</v>
      </c>
      <c r="R418" s="2" t="s">
        <v>837</v>
      </c>
      <c r="S418" s="2">
        <v>513296</v>
      </c>
      <c r="T418" s="2" t="s">
        <v>37</v>
      </c>
      <c r="U418" s="2" t="s">
        <v>38</v>
      </c>
      <c r="V418" s="2" t="s">
        <v>1108</v>
      </c>
      <c r="W418" s="2">
        <v>6</v>
      </c>
      <c r="X418" s="4">
        <v>0</v>
      </c>
      <c r="Y418" s="3">
        <v>466.4</v>
      </c>
    </row>
    <row r="419" spans="1:25" x14ac:dyDescent="0.3">
      <c r="A419" s="2" t="s">
        <v>1109</v>
      </c>
      <c r="B419" s="2" t="s">
        <v>1110</v>
      </c>
      <c r="C419" s="2" t="s">
        <v>271</v>
      </c>
      <c r="D419" s="8">
        <v>25132</v>
      </c>
      <c r="E419" s="3">
        <v>256.41000000000003</v>
      </c>
      <c r="F419" s="2">
        <v>2024</v>
      </c>
      <c r="G419" s="2" t="s">
        <v>87</v>
      </c>
      <c r="H419" s="2" t="s">
        <v>163</v>
      </c>
      <c r="I419" s="2" t="s">
        <v>30</v>
      </c>
      <c r="J419" s="2" t="s">
        <v>143</v>
      </c>
      <c r="K419" s="2" t="s">
        <v>32</v>
      </c>
      <c r="L419" s="2" t="s">
        <v>33</v>
      </c>
      <c r="M419" s="8">
        <v>45476</v>
      </c>
      <c r="N419" s="2" t="s">
        <v>1111</v>
      </c>
      <c r="O419" s="8">
        <v>45476</v>
      </c>
      <c r="P419" s="8">
        <v>45477</v>
      </c>
      <c r="Q419" s="2" t="s">
        <v>41</v>
      </c>
      <c r="R419" s="2" t="s">
        <v>421</v>
      </c>
      <c r="S419" s="2">
        <v>870881</v>
      </c>
      <c r="T419" s="2" t="s">
        <v>55</v>
      </c>
      <c r="U419" s="2" t="s">
        <v>56</v>
      </c>
      <c r="V419" s="2" t="s">
        <v>1112</v>
      </c>
      <c r="W419" s="2">
        <v>1</v>
      </c>
      <c r="X419" s="4">
        <v>0.05</v>
      </c>
      <c r="Y419" s="3">
        <v>47.97</v>
      </c>
    </row>
    <row r="420" spans="1:25" x14ac:dyDescent="0.3">
      <c r="A420" s="2" t="s">
        <v>1109</v>
      </c>
      <c r="B420" s="2" t="s">
        <v>1110</v>
      </c>
      <c r="C420" s="2" t="s">
        <v>271</v>
      </c>
      <c r="D420" s="8">
        <v>25132</v>
      </c>
      <c r="E420" s="3">
        <v>105.57</v>
      </c>
      <c r="F420" s="2">
        <v>2024</v>
      </c>
      <c r="G420" s="2" t="s">
        <v>28</v>
      </c>
      <c r="H420" s="2" t="s">
        <v>163</v>
      </c>
      <c r="I420" s="2" t="s">
        <v>78</v>
      </c>
      <c r="J420" s="2" t="s">
        <v>143</v>
      </c>
      <c r="K420" s="2" t="s">
        <v>32</v>
      </c>
      <c r="L420" s="2" t="s">
        <v>33</v>
      </c>
      <c r="M420" s="8">
        <v>45514</v>
      </c>
      <c r="N420" s="2" t="s">
        <v>1113</v>
      </c>
      <c r="O420" s="8">
        <v>45512</v>
      </c>
      <c r="P420" s="8">
        <v>45515</v>
      </c>
      <c r="Q420" s="2" t="s">
        <v>121</v>
      </c>
      <c r="R420" s="2" t="s">
        <v>421</v>
      </c>
      <c r="S420" s="2">
        <v>542983</v>
      </c>
      <c r="T420" s="2" t="s">
        <v>80</v>
      </c>
      <c r="U420" s="2" t="s">
        <v>81</v>
      </c>
      <c r="V420" s="2" t="s">
        <v>1114</v>
      </c>
      <c r="W420" s="2">
        <v>1</v>
      </c>
      <c r="X420" s="4">
        <v>0.05</v>
      </c>
      <c r="Y420" s="3">
        <v>17.88</v>
      </c>
    </row>
    <row r="421" spans="1:25" x14ac:dyDescent="0.3">
      <c r="A421" s="2" t="s">
        <v>1109</v>
      </c>
      <c r="B421" s="2" t="s">
        <v>1110</v>
      </c>
      <c r="C421" s="2" t="s">
        <v>271</v>
      </c>
      <c r="D421" s="8">
        <v>25132</v>
      </c>
      <c r="E421" s="3">
        <v>3879.65</v>
      </c>
      <c r="F421" s="2">
        <v>2024</v>
      </c>
      <c r="G421" s="2" t="s">
        <v>87</v>
      </c>
      <c r="H421" s="2" t="s">
        <v>163</v>
      </c>
      <c r="I421" s="2" t="s">
        <v>43</v>
      </c>
      <c r="J421" s="2" t="s">
        <v>143</v>
      </c>
      <c r="K421" s="2" t="s">
        <v>32</v>
      </c>
      <c r="L421" s="2" t="s">
        <v>33</v>
      </c>
      <c r="M421" s="8">
        <v>45535</v>
      </c>
      <c r="N421" s="2" t="s">
        <v>1115</v>
      </c>
      <c r="O421" s="8">
        <v>45535</v>
      </c>
      <c r="P421" s="8">
        <v>45539</v>
      </c>
      <c r="Q421" s="2" t="s">
        <v>35</v>
      </c>
      <c r="R421" s="2" t="s">
        <v>421</v>
      </c>
      <c r="S421" s="2">
        <v>288503</v>
      </c>
      <c r="T421" s="2" t="s">
        <v>70</v>
      </c>
      <c r="U421" s="2" t="s">
        <v>71</v>
      </c>
      <c r="V421" s="2" t="s">
        <v>1116</v>
      </c>
      <c r="W421" s="2">
        <v>9</v>
      </c>
      <c r="X421" s="4">
        <v>0.05</v>
      </c>
      <c r="Y421" s="3">
        <v>1159.8900000000001</v>
      </c>
    </row>
    <row r="422" spans="1:25" x14ac:dyDescent="0.3">
      <c r="A422" s="2" t="s">
        <v>1109</v>
      </c>
      <c r="B422" s="2" t="s">
        <v>1110</v>
      </c>
      <c r="C422" s="2" t="s">
        <v>271</v>
      </c>
      <c r="D422" s="8">
        <v>25132</v>
      </c>
      <c r="E422" s="3">
        <v>626.01</v>
      </c>
      <c r="F422" s="2">
        <v>2025</v>
      </c>
      <c r="G422" s="2" t="s">
        <v>87</v>
      </c>
      <c r="H422" s="2" t="s">
        <v>163</v>
      </c>
      <c r="I422" s="2" t="s">
        <v>30</v>
      </c>
      <c r="J422" s="2" t="s">
        <v>143</v>
      </c>
      <c r="K422" s="2" t="s">
        <v>32</v>
      </c>
      <c r="L422" s="2" t="s">
        <v>33</v>
      </c>
      <c r="M422" s="8">
        <v>45688</v>
      </c>
      <c r="N422" s="2" t="s">
        <v>1117</v>
      </c>
      <c r="O422" s="8">
        <v>45687</v>
      </c>
      <c r="P422" s="8">
        <v>45689</v>
      </c>
      <c r="Q422" s="2" t="s">
        <v>121</v>
      </c>
      <c r="R422" s="2" t="s">
        <v>421</v>
      </c>
      <c r="S422" s="2">
        <v>576769</v>
      </c>
      <c r="T422" s="2" t="s">
        <v>55</v>
      </c>
      <c r="U422" s="2" t="s">
        <v>56</v>
      </c>
      <c r="V422" s="2" t="s">
        <v>1118</v>
      </c>
      <c r="W422" s="2">
        <v>3</v>
      </c>
      <c r="X422" s="4">
        <v>0</v>
      </c>
      <c r="Y422" s="3">
        <v>115.98</v>
      </c>
    </row>
    <row r="423" spans="1:25" x14ac:dyDescent="0.3">
      <c r="A423" s="2" t="s">
        <v>1119</v>
      </c>
      <c r="B423" s="2" t="s">
        <v>661</v>
      </c>
      <c r="C423" s="2" t="s">
        <v>284</v>
      </c>
      <c r="D423" s="8">
        <v>34766</v>
      </c>
      <c r="E423" s="3">
        <v>1094.46</v>
      </c>
      <c r="F423" s="2">
        <v>2023</v>
      </c>
      <c r="G423" s="2" t="s">
        <v>48</v>
      </c>
      <c r="H423" s="2" t="s">
        <v>163</v>
      </c>
      <c r="I423" s="2" t="s">
        <v>49</v>
      </c>
      <c r="J423" s="2" t="s">
        <v>143</v>
      </c>
      <c r="K423" s="2" t="s">
        <v>32</v>
      </c>
      <c r="L423" s="2" t="s">
        <v>33</v>
      </c>
      <c r="M423" s="8">
        <v>45260</v>
      </c>
      <c r="N423" s="2" t="s">
        <v>1120</v>
      </c>
      <c r="O423" s="8">
        <v>45258</v>
      </c>
      <c r="P423" s="8">
        <v>45262</v>
      </c>
      <c r="Q423" s="2" t="s">
        <v>41</v>
      </c>
      <c r="R423" s="2" t="s">
        <v>421</v>
      </c>
      <c r="S423" s="2">
        <v>862182</v>
      </c>
      <c r="T423" s="2" t="s">
        <v>51</v>
      </c>
      <c r="U423" s="2" t="s">
        <v>52</v>
      </c>
      <c r="V423" s="2" t="s">
        <v>1121</v>
      </c>
      <c r="W423" s="2">
        <v>3</v>
      </c>
      <c r="X423" s="4">
        <v>0</v>
      </c>
      <c r="Y423" s="3">
        <v>84.66</v>
      </c>
    </row>
    <row r="424" spans="1:25" x14ac:dyDescent="0.3">
      <c r="A424" s="2" t="s">
        <v>1122</v>
      </c>
      <c r="B424" s="2" t="s">
        <v>375</v>
      </c>
      <c r="C424" s="2" t="s">
        <v>964</v>
      </c>
      <c r="D424" s="8">
        <v>24500</v>
      </c>
      <c r="E424" s="3">
        <v>1236.28</v>
      </c>
      <c r="F424" s="2">
        <v>2023</v>
      </c>
      <c r="G424" s="2" t="s">
        <v>48</v>
      </c>
      <c r="H424" s="2" t="s">
        <v>29</v>
      </c>
      <c r="I424" s="2" t="s">
        <v>92</v>
      </c>
      <c r="J424" s="2" t="s">
        <v>31</v>
      </c>
      <c r="K424" s="2" t="s">
        <v>32</v>
      </c>
      <c r="L424" s="2" t="s">
        <v>63</v>
      </c>
      <c r="M424" s="8">
        <v>45090</v>
      </c>
      <c r="N424" s="2" t="s">
        <v>1123</v>
      </c>
      <c r="O424" s="8">
        <v>45090</v>
      </c>
      <c r="P424" s="8">
        <v>45092</v>
      </c>
      <c r="Q424" s="2" t="s">
        <v>121</v>
      </c>
      <c r="R424" s="2" t="s">
        <v>236</v>
      </c>
      <c r="S424" s="2">
        <v>906519</v>
      </c>
      <c r="T424" s="2" t="s">
        <v>187</v>
      </c>
      <c r="U424" s="2" t="s">
        <v>188</v>
      </c>
      <c r="V424" s="2" t="s">
        <v>1124</v>
      </c>
      <c r="W424" s="2">
        <v>3</v>
      </c>
      <c r="X424" s="4">
        <v>0.1</v>
      </c>
      <c r="Y424" s="3">
        <v>384.97</v>
      </c>
    </row>
    <row r="425" spans="1:25" x14ac:dyDescent="0.3">
      <c r="A425" s="2" t="s">
        <v>1122</v>
      </c>
      <c r="B425" s="2" t="s">
        <v>375</v>
      </c>
      <c r="C425" s="2" t="s">
        <v>964</v>
      </c>
      <c r="D425" s="8">
        <v>24500</v>
      </c>
      <c r="E425" s="3">
        <v>674.28</v>
      </c>
      <c r="F425" s="2">
        <v>2024</v>
      </c>
      <c r="G425" s="2" t="s">
        <v>48</v>
      </c>
      <c r="H425" s="2" t="s">
        <v>29</v>
      </c>
      <c r="I425" s="2" t="s">
        <v>49</v>
      </c>
      <c r="J425" s="2" t="s">
        <v>31</v>
      </c>
      <c r="K425" s="2" t="s">
        <v>32</v>
      </c>
      <c r="L425" s="2" t="s">
        <v>63</v>
      </c>
      <c r="M425" s="8">
        <v>45315</v>
      </c>
      <c r="N425" s="2" t="s">
        <v>1125</v>
      </c>
      <c r="O425" s="8">
        <v>45314</v>
      </c>
      <c r="P425" s="8">
        <v>45317</v>
      </c>
      <c r="Q425" s="2" t="s">
        <v>121</v>
      </c>
      <c r="R425" s="2" t="s">
        <v>236</v>
      </c>
      <c r="S425" s="2">
        <v>312705</v>
      </c>
      <c r="T425" s="2" t="s">
        <v>109</v>
      </c>
      <c r="U425" s="2" t="s">
        <v>110</v>
      </c>
      <c r="V425" s="2" t="s">
        <v>1126</v>
      </c>
      <c r="W425" s="2">
        <v>5</v>
      </c>
      <c r="X425" s="4">
        <v>0.2</v>
      </c>
      <c r="Y425" s="3">
        <v>228.1</v>
      </c>
    </row>
    <row r="426" spans="1:25" x14ac:dyDescent="0.3">
      <c r="A426" s="2" t="s">
        <v>1122</v>
      </c>
      <c r="B426" s="2" t="s">
        <v>375</v>
      </c>
      <c r="C426" s="2" t="s">
        <v>964</v>
      </c>
      <c r="D426" s="8">
        <v>24500</v>
      </c>
      <c r="E426" s="3">
        <v>1967.34</v>
      </c>
      <c r="F426" s="2">
        <v>2024</v>
      </c>
      <c r="G426" s="2" t="s">
        <v>48</v>
      </c>
      <c r="H426" s="2" t="s">
        <v>29</v>
      </c>
      <c r="I426" s="2" t="s">
        <v>78</v>
      </c>
      <c r="J426" s="2" t="s">
        <v>31</v>
      </c>
      <c r="K426" s="2" t="s">
        <v>32</v>
      </c>
      <c r="L426" s="2" t="s">
        <v>63</v>
      </c>
      <c r="M426" s="8">
        <v>45451</v>
      </c>
      <c r="N426" s="2" t="s">
        <v>1127</v>
      </c>
      <c r="O426" s="8">
        <v>45450</v>
      </c>
      <c r="P426" s="8">
        <v>45451</v>
      </c>
      <c r="Q426" s="2" t="s">
        <v>121</v>
      </c>
      <c r="R426" s="2" t="s">
        <v>236</v>
      </c>
      <c r="S426" s="2">
        <v>717466</v>
      </c>
      <c r="T426" s="2" t="s">
        <v>117</v>
      </c>
      <c r="U426" s="2" t="s">
        <v>118</v>
      </c>
      <c r="V426" s="2" t="s">
        <v>1128</v>
      </c>
      <c r="W426" s="2">
        <v>8</v>
      </c>
      <c r="X426" s="4">
        <v>0.05</v>
      </c>
      <c r="Y426" s="3">
        <v>419.14</v>
      </c>
    </row>
    <row r="427" spans="1:25" x14ac:dyDescent="0.3">
      <c r="A427" s="2" t="s">
        <v>1122</v>
      </c>
      <c r="B427" s="2" t="s">
        <v>375</v>
      </c>
      <c r="C427" s="2" t="s">
        <v>964</v>
      </c>
      <c r="D427" s="8">
        <v>24500</v>
      </c>
      <c r="E427" s="3">
        <v>1462.23</v>
      </c>
      <c r="F427" s="2">
        <v>2024</v>
      </c>
      <c r="G427" s="2" t="s">
        <v>28</v>
      </c>
      <c r="H427" s="2" t="s">
        <v>29</v>
      </c>
      <c r="I427" s="2" t="s">
        <v>49</v>
      </c>
      <c r="J427" s="2" t="s">
        <v>31</v>
      </c>
      <c r="K427" s="2" t="s">
        <v>32</v>
      </c>
      <c r="L427" s="2" t="s">
        <v>63</v>
      </c>
      <c r="M427" s="8">
        <v>45492</v>
      </c>
      <c r="N427" s="2" t="s">
        <v>1129</v>
      </c>
      <c r="O427" s="8">
        <v>45490</v>
      </c>
      <c r="P427" s="8">
        <v>45492</v>
      </c>
      <c r="Q427" s="2" t="s">
        <v>121</v>
      </c>
      <c r="R427" s="2" t="s">
        <v>236</v>
      </c>
      <c r="S427" s="2">
        <v>151295</v>
      </c>
      <c r="T427" s="2" t="s">
        <v>84</v>
      </c>
      <c r="U427" s="2" t="s">
        <v>85</v>
      </c>
      <c r="V427" s="2" t="s">
        <v>1130</v>
      </c>
      <c r="W427" s="2">
        <v>7</v>
      </c>
      <c r="X427" s="4">
        <v>0.1</v>
      </c>
      <c r="Y427" s="3">
        <v>336.36</v>
      </c>
    </row>
    <row r="428" spans="1:25" x14ac:dyDescent="0.3">
      <c r="A428" s="2" t="s">
        <v>1122</v>
      </c>
      <c r="B428" s="2" t="s">
        <v>375</v>
      </c>
      <c r="C428" s="2" t="s">
        <v>964</v>
      </c>
      <c r="D428" s="8">
        <v>24500</v>
      </c>
      <c r="E428" s="3">
        <v>180.62</v>
      </c>
      <c r="F428" s="2">
        <v>2024</v>
      </c>
      <c r="G428" s="2" t="s">
        <v>28</v>
      </c>
      <c r="H428" s="2" t="s">
        <v>29</v>
      </c>
      <c r="I428" s="2" t="s">
        <v>61</v>
      </c>
      <c r="J428" s="2" t="s">
        <v>31</v>
      </c>
      <c r="K428" s="2" t="s">
        <v>32</v>
      </c>
      <c r="L428" s="2" t="s">
        <v>63</v>
      </c>
      <c r="M428" s="8">
        <v>45557</v>
      </c>
      <c r="N428" s="2" t="s">
        <v>1131</v>
      </c>
      <c r="O428" s="8">
        <v>45553</v>
      </c>
      <c r="P428" s="8">
        <v>45558</v>
      </c>
      <c r="Q428" s="2" t="s">
        <v>74</v>
      </c>
      <c r="R428" s="2" t="s">
        <v>236</v>
      </c>
      <c r="S428" s="2">
        <v>191962</v>
      </c>
      <c r="T428" s="2" t="s">
        <v>66</v>
      </c>
      <c r="U428" s="2" t="s">
        <v>67</v>
      </c>
      <c r="V428" s="2" t="s">
        <v>1132</v>
      </c>
      <c r="W428" s="2">
        <v>6</v>
      </c>
      <c r="X428" s="4">
        <v>0.2</v>
      </c>
      <c r="Y428" s="3">
        <v>10.79</v>
      </c>
    </row>
    <row r="429" spans="1:25" x14ac:dyDescent="0.3">
      <c r="A429" s="2" t="s">
        <v>1133</v>
      </c>
      <c r="B429" s="2" t="s">
        <v>872</v>
      </c>
      <c r="C429" s="2" t="s">
        <v>184</v>
      </c>
      <c r="D429" s="8">
        <v>31204</v>
      </c>
      <c r="E429" s="3">
        <v>1331.61</v>
      </c>
      <c r="F429" s="2">
        <v>2024</v>
      </c>
      <c r="G429" s="2" t="s">
        <v>48</v>
      </c>
      <c r="H429" s="2" t="s">
        <v>29</v>
      </c>
      <c r="I429" s="2" t="s">
        <v>61</v>
      </c>
      <c r="J429" s="2" t="s">
        <v>143</v>
      </c>
      <c r="K429" s="2" t="s">
        <v>32</v>
      </c>
      <c r="L429" s="2" t="s">
        <v>63</v>
      </c>
      <c r="M429" s="8">
        <v>45357</v>
      </c>
      <c r="N429" s="2" t="s">
        <v>1134</v>
      </c>
      <c r="O429" s="8">
        <v>45353</v>
      </c>
      <c r="P429" s="8">
        <v>45358</v>
      </c>
      <c r="Q429" s="2" t="s">
        <v>41</v>
      </c>
      <c r="R429" s="2" t="s">
        <v>146</v>
      </c>
      <c r="S429" s="2">
        <v>885734</v>
      </c>
      <c r="T429" s="2" t="s">
        <v>66</v>
      </c>
      <c r="U429" s="2" t="s">
        <v>67</v>
      </c>
      <c r="V429" s="2" t="s">
        <v>1135</v>
      </c>
      <c r="W429" s="2">
        <v>5</v>
      </c>
      <c r="X429" s="4">
        <v>0.15</v>
      </c>
      <c r="Y429" s="3">
        <v>346.16</v>
      </c>
    </row>
    <row r="430" spans="1:25" x14ac:dyDescent="0.3">
      <c r="A430" s="2" t="s">
        <v>1136</v>
      </c>
      <c r="B430" s="2" t="s">
        <v>684</v>
      </c>
      <c r="C430" s="2" t="s">
        <v>327</v>
      </c>
      <c r="D430" s="8">
        <v>31842</v>
      </c>
      <c r="E430" s="3">
        <v>614.48</v>
      </c>
      <c r="F430" s="2">
        <v>2023</v>
      </c>
      <c r="G430" s="2" t="s">
        <v>48</v>
      </c>
      <c r="H430" s="2" t="s">
        <v>29</v>
      </c>
      <c r="I430" s="2" t="s">
        <v>43</v>
      </c>
      <c r="J430" s="2" t="s">
        <v>143</v>
      </c>
      <c r="K430" s="2" t="s">
        <v>32</v>
      </c>
      <c r="L430" s="2" t="s">
        <v>33</v>
      </c>
      <c r="M430" s="8">
        <v>44966</v>
      </c>
      <c r="N430" s="2" t="s">
        <v>1137</v>
      </c>
      <c r="O430" s="8">
        <v>44963</v>
      </c>
      <c r="P430" s="8">
        <v>44966</v>
      </c>
      <c r="Q430" s="2" t="s">
        <v>35</v>
      </c>
      <c r="R430" s="2" t="s">
        <v>250</v>
      </c>
      <c r="S430" s="2">
        <v>828361</v>
      </c>
      <c r="T430" s="2" t="s">
        <v>153</v>
      </c>
      <c r="U430" s="2" t="s">
        <v>154</v>
      </c>
      <c r="V430" s="2" t="s">
        <v>1138</v>
      </c>
      <c r="W430" s="2">
        <v>2</v>
      </c>
      <c r="X430" s="4">
        <v>0.2</v>
      </c>
      <c r="Y430" s="3">
        <v>132.19999999999999</v>
      </c>
    </row>
    <row r="431" spans="1:25" x14ac:dyDescent="0.3">
      <c r="A431" s="2" t="s">
        <v>1136</v>
      </c>
      <c r="B431" s="2" t="s">
        <v>684</v>
      </c>
      <c r="C431" s="2" t="s">
        <v>327</v>
      </c>
      <c r="D431" s="8">
        <v>31842</v>
      </c>
      <c r="E431" s="3">
        <v>1617.39</v>
      </c>
      <c r="F431" s="2">
        <v>2023</v>
      </c>
      <c r="G431" s="2" t="s">
        <v>87</v>
      </c>
      <c r="H431" s="2" t="s">
        <v>29</v>
      </c>
      <c r="I431" s="2" t="s">
        <v>43</v>
      </c>
      <c r="J431" s="2" t="s">
        <v>143</v>
      </c>
      <c r="K431" s="2" t="s">
        <v>32</v>
      </c>
      <c r="L431" s="2" t="s">
        <v>33</v>
      </c>
      <c r="M431" s="8">
        <v>45022</v>
      </c>
      <c r="N431" s="2" t="s">
        <v>1139</v>
      </c>
      <c r="O431" s="8">
        <v>45022</v>
      </c>
      <c r="P431" s="8">
        <v>45023</v>
      </c>
      <c r="Q431" s="2" t="s">
        <v>35</v>
      </c>
      <c r="R431" s="2" t="s">
        <v>250</v>
      </c>
      <c r="S431" s="2">
        <v>607157</v>
      </c>
      <c r="T431" s="2" t="s">
        <v>153</v>
      </c>
      <c r="U431" s="2" t="s">
        <v>154</v>
      </c>
      <c r="V431" s="2" t="s">
        <v>1140</v>
      </c>
      <c r="W431" s="2">
        <v>7</v>
      </c>
      <c r="X431" s="4">
        <v>0.15</v>
      </c>
      <c r="Y431" s="3">
        <v>182.3</v>
      </c>
    </row>
    <row r="432" spans="1:25" x14ac:dyDescent="0.3">
      <c r="A432" s="2" t="s">
        <v>1136</v>
      </c>
      <c r="B432" s="2" t="s">
        <v>684</v>
      </c>
      <c r="C432" s="2" t="s">
        <v>327</v>
      </c>
      <c r="D432" s="8">
        <v>31842</v>
      </c>
      <c r="E432" s="3">
        <v>899.96</v>
      </c>
      <c r="F432" s="2">
        <v>2023</v>
      </c>
      <c r="G432" s="2" t="s">
        <v>87</v>
      </c>
      <c r="H432" s="2" t="s">
        <v>29</v>
      </c>
      <c r="I432" s="2" t="s">
        <v>49</v>
      </c>
      <c r="J432" s="2" t="s">
        <v>143</v>
      </c>
      <c r="K432" s="2" t="s">
        <v>32</v>
      </c>
      <c r="L432" s="2" t="s">
        <v>33</v>
      </c>
      <c r="M432" s="8">
        <v>45237</v>
      </c>
      <c r="N432" s="2" t="s">
        <v>1141</v>
      </c>
      <c r="O432" s="8">
        <v>45233</v>
      </c>
      <c r="P432" s="8">
        <v>45238</v>
      </c>
      <c r="Q432" s="2" t="s">
        <v>74</v>
      </c>
      <c r="R432" s="2" t="s">
        <v>250</v>
      </c>
      <c r="S432" s="2">
        <v>236014</v>
      </c>
      <c r="T432" s="2" t="s">
        <v>51</v>
      </c>
      <c r="U432" s="2" t="s">
        <v>52</v>
      </c>
      <c r="V432" s="2" t="s">
        <v>1142</v>
      </c>
      <c r="W432" s="2">
        <v>5</v>
      </c>
      <c r="X432" s="4">
        <v>0.2</v>
      </c>
      <c r="Y432" s="3">
        <v>130.44999999999999</v>
      </c>
    </row>
    <row r="433" spans="1:25" x14ac:dyDescent="0.3">
      <c r="A433" s="2" t="s">
        <v>1136</v>
      </c>
      <c r="B433" s="2" t="s">
        <v>684</v>
      </c>
      <c r="C433" s="2" t="s">
        <v>327</v>
      </c>
      <c r="D433" s="8">
        <v>31842</v>
      </c>
      <c r="E433" s="3">
        <v>3163.59</v>
      </c>
      <c r="F433" s="2">
        <v>2025</v>
      </c>
      <c r="G433" s="2" t="s">
        <v>48</v>
      </c>
      <c r="H433" s="2" t="s">
        <v>29</v>
      </c>
      <c r="I433" s="2" t="s">
        <v>30</v>
      </c>
      <c r="J433" s="2" t="s">
        <v>143</v>
      </c>
      <c r="K433" s="2" t="s">
        <v>32</v>
      </c>
      <c r="L433" s="2" t="s">
        <v>33</v>
      </c>
      <c r="M433" s="8">
        <v>45715</v>
      </c>
      <c r="N433" s="2" t="s">
        <v>1143</v>
      </c>
      <c r="O433" s="8">
        <v>45713</v>
      </c>
      <c r="P433" s="8">
        <v>45715</v>
      </c>
      <c r="Q433" s="2" t="s">
        <v>74</v>
      </c>
      <c r="R433" s="2" t="s">
        <v>250</v>
      </c>
      <c r="S433" s="2">
        <v>302957</v>
      </c>
      <c r="T433" s="2" t="s">
        <v>55</v>
      </c>
      <c r="U433" s="2" t="s">
        <v>56</v>
      </c>
      <c r="V433" s="2" t="s">
        <v>1144</v>
      </c>
      <c r="W433" s="2">
        <v>9</v>
      </c>
      <c r="X433" s="4">
        <v>0.05</v>
      </c>
      <c r="Y433" s="3">
        <v>625.6</v>
      </c>
    </row>
    <row r="434" spans="1:25" x14ac:dyDescent="0.3">
      <c r="A434" s="2" t="s">
        <v>1145</v>
      </c>
      <c r="B434" s="2" t="s">
        <v>141</v>
      </c>
      <c r="C434" s="2" t="s">
        <v>142</v>
      </c>
      <c r="D434" s="8">
        <v>23833</v>
      </c>
      <c r="E434" s="3">
        <v>1534.4</v>
      </c>
      <c r="F434" s="2">
        <v>2023</v>
      </c>
      <c r="G434" s="2" t="s">
        <v>87</v>
      </c>
      <c r="H434" s="2" t="s">
        <v>29</v>
      </c>
      <c r="I434" s="2" t="s">
        <v>92</v>
      </c>
      <c r="J434" s="2" t="s">
        <v>102</v>
      </c>
      <c r="K434" s="2" t="s">
        <v>32</v>
      </c>
      <c r="L434" s="2" t="s">
        <v>33</v>
      </c>
      <c r="M434" s="8">
        <v>44953</v>
      </c>
      <c r="N434" s="2" t="s">
        <v>1146</v>
      </c>
      <c r="O434" s="8">
        <v>44951</v>
      </c>
      <c r="P434" s="8">
        <v>44954</v>
      </c>
      <c r="Q434" s="2" t="s">
        <v>121</v>
      </c>
      <c r="R434" s="2" t="s">
        <v>186</v>
      </c>
      <c r="S434" s="2">
        <v>111846</v>
      </c>
      <c r="T434" s="2" t="s">
        <v>187</v>
      </c>
      <c r="U434" s="2" t="s">
        <v>188</v>
      </c>
      <c r="V434" s="2" t="s">
        <v>1147</v>
      </c>
      <c r="W434" s="2">
        <v>4</v>
      </c>
      <c r="X434" s="4">
        <v>0.05</v>
      </c>
      <c r="Y434" s="3">
        <v>267.31</v>
      </c>
    </row>
    <row r="435" spans="1:25" x14ac:dyDescent="0.3">
      <c r="A435" s="2" t="s">
        <v>1148</v>
      </c>
      <c r="B435" s="2" t="s">
        <v>924</v>
      </c>
      <c r="C435" s="2" t="s">
        <v>930</v>
      </c>
      <c r="D435" s="8">
        <v>35144</v>
      </c>
      <c r="E435" s="3">
        <v>2044.8</v>
      </c>
      <c r="F435" s="2">
        <v>2023</v>
      </c>
      <c r="G435" s="2" t="s">
        <v>28</v>
      </c>
      <c r="H435" s="2" t="s">
        <v>29</v>
      </c>
      <c r="I435" s="2" t="s">
        <v>78</v>
      </c>
      <c r="J435" s="2" t="s">
        <v>62</v>
      </c>
      <c r="K435" s="2" t="s">
        <v>32</v>
      </c>
      <c r="L435" s="2" t="s">
        <v>33</v>
      </c>
      <c r="M435" s="8">
        <v>45189</v>
      </c>
      <c r="N435" s="2" t="s">
        <v>1149</v>
      </c>
      <c r="O435" s="8">
        <v>45187</v>
      </c>
      <c r="P435" s="8">
        <v>45190</v>
      </c>
      <c r="Q435" s="2" t="s">
        <v>35</v>
      </c>
      <c r="R435" s="2" t="s">
        <v>386</v>
      </c>
      <c r="S435" s="2">
        <v>972460</v>
      </c>
      <c r="T435" s="2" t="s">
        <v>117</v>
      </c>
      <c r="U435" s="2" t="s">
        <v>118</v>
      </c>
      <c r="V435" s="2" t="s">
        <v>339</v>
      </c>
      <c r="W435" s="2">
        <v>9</v>
      </c>
      <c r="X435" s="4">
        <v>0.2</v>
      </c>
      <c r="Y435" s="3">
        <v>106</v>
      </c>
    </row>
    <row r="436" spans="1:25" x14ac:dyDescent="0.3">
      <c r="A436" s="2" t="s">
        <v>1148</v>
      </c>
      <c r="B436" s="2" t="s">
        <v>924</v>
      </c>
      <c r="C436" s="2" t="s">
        <v>930</v>
      </c>
      <c r="D436" s="8">
        <v>35144</v>
      </c>
      <c r="E436" s="3">
        <v>2637.33</v>
      </c>
      <c r="F436" s="2">
        <v>2023</v>
      </c>
      <c r="G436" s="2" t="s">
        <v>28</v>
      </c>
      <c r="H436" s="2" t="s">
        <v>29</v>
      </c>
      <c r="I436" s="2" t="s">
        <v>61</v>
      </c>
      <c r="J436" s="2" t="s">
        <v>62</v>
      </c>
      <c r="K436" s="2" t="s">
        <v>32</v>
      </c>
      <c r="L436" s="2" t="s">
        <v>33</v>
      </c>
      <c r="M436" s="8">
        <v>45215</v>
      </c>
      <c r="N436" s="2" t="s">
        <v>1150</v>
      </c>
      <c r="O436" s="8">
        <v>45215</v>
      </c>
      <c r="P436" s="8">
        <v>45216</v>
      </c>
      <c r="Q436" s="2" t="s">
        <v>121</v>
      </c>
      <c r="R436" s="2" t="s">
        <v>386</v>
      </c>
      <c r="S436" s="2">
        <v>757667</v>
      </c>
      <c r="T436" s="2" t="s">
        <v>66</v>
      </c>
      <c r="U436" s="2" t="s">
        <v>67</v>
      </c>
      <c r="V436" s="2" t="s">
        <v>1151</v>
      </c>
      <c r="W436" s="2">
        <v>6</v>
      </c>
      <c r="X436" s="4">
        <v>0.05</v>
      </c>
      <c r="Y436" s="3">
        <v>856.73</v>
      </c>
    </row>
    <row r="437" spans="1:25" x14ac:dyDescent="0.3">
      <c r="A437" s="2" t="s">
        <v>1148</v>
      </c>
      <c r="B437" s="2" t="s">
        <v>924</v>
      </c>
      <c r="C437" s="2" t="s">
        <v>930</v>
      </c>
      <c r="D437" s="8">
        <v>35144</v>
      </c>
      <c r="E437" s="3">
        <v>3257.38</v>
      </c>
      <c r="F437" s="2">
        <v>2024</v>
      </c>
      <c r="G437" s="2" t="s">
        <v>87</v>
      </c>
      <c r="H437" s="2" t="s">
        <v>29</v>
      </c>
      <c r="I437" s="2" t="s">
        <v>92</v>
      </c>
      <c r="J437" s="2" t="s">
        <v>62</v>
      </c>
      <c r="K437" s="2" t="s">
        <v>32</v>
      </c>
      <c r="L437" s="2" t="s">
        <v>33</v>
      </c>
      <c r="M437" s="8">
        <v>45635</v>
      </c>
      <c r="N437" s="2" t="s">
        <v>1152</v>
      </c>
      <c r="O437" s="8">
        <v>45633</v>
      </c>
      <c r="P437" s="8">
        <v>45636</v>
      </c>
      <c r="Q437" s="2" t="s">
        <v>35</v>
      </c>
      <c r="R437" s="2" t="s">
        <v>386</v>
      </c>
      <c r="S437" s="2">
        <v>318379</v>
      </c>
      <c r="T437" s="2" t="s">
        <v>94</v>
      </c>
      <c r="U437" s="2" t="s">
        <v>95</v>
      </c>
      <c r="V437" s="2" t="s">
        <v>1153</v>
      </c>
      <c r="W437" s="2">
        <v>7</v>
      </c>
      <c r="X437" s="4">
        <v>0</v>
      </c>
      <c r="Y437" s="3">
        <v>978.95</v>
      </c>
    </row>
    <row r="438" spans="1:25" x14ac:dyDescent="0.3">
      <c r="A438" s="2" t="s">
        <v>1148</v>
      </c>
      <c r="B438" s="2" t="s">
        <v>924</v>
      </c>
      <c r="C438" s="2" t="s">
        <v>930</v>
      </c>
      <c r="D438" s="8">
        <v>35144</v>
      </c>
      <c r="E438" s="3">
        <v>310.68</v>
      </c>
      <c r="F438" s="2">
        <v>2025</v>
      </c>
      <c r="G438" s="2" t="s">
        <v>28</v>
      </c>
      <c r="H438" s="2" t="s">
        <v>29</v>
      </c>
      <c r="I438" s="2" t="s">
        <v>30</v>
      </c>
      <c r="J438" s="2" t="s">
        <v>62</v>
      </c>
      <c r="K438" s="2" t="s">
        <v>32</v>
      </c>
      <c r="L438" s="2" t="s">
        <v>33</v>
      </c>
      <c r="M438" s="8">
        <v>45737</v>
      </c>
      <c r="N438" s="2" t="s">
        <v>1154</v>
      </c>
      <c r="O438" s="8">
        <v>45736</v>
      </c>
      <c r="P438" s="8">
        <v>45737</v>
      </c>
      <c r="Q438" s="2" t="s">
        <v>121</v>
      </c>
      <c r="R438" s="2" t="s">
        <v>386</v>
      </c>
      <c r="S438" s="2">
        <v>698717</v>
      </c>
      <c r="T438" s="2" t="s">
        <v>55</v>
      </c>
      <c r="U438" s="2" t="s">
        <v>56</v>
      </c>
      <c r="V438" s="2" t="s">
        <v>1155</v>
      </c>
      <c r="W438" s="2">
        <v>6</v>
      </c>
      <c r="X438" s="4">
        <v>0</v>
      </c>
      <c r="Y438" s="3">
        <v>41.67</v>
      </c>
    </row>
    <row r="439" spans="1:25" x14ac:dyDescent="0.3">
      <c r="A439" s="2" t="s">
        <v>1156</v>
      </c>
      <c r="B439" s="2" t="s">
        <v>1157</v>
      </c>
      <c r="C439" s="2" t="s">
        <v>284</v>
      </c>
      <c r="D439" s="8">
        <v>25731</v>
      </c>
      <c r="E439" s="3">
        <v>2164.3200000000002</v>
      </c>
      <c r="F439" s="2">
        <v>2023</v>
      </c>
      <c r="G439" s="2" t="s">
        <v>28</v>
      </c>
      <c r="H439" s="2" t="s">
        <v>163</v>
      </c>
      <c r="I439" s="2" t="s">
        <v>43</v>
      </c>
      <c r="J439" s="2" t="s">
        <v>62</v>
      </c>
      <c r="K439" s="2" t="s">
        <v>32</v>
      </c>
      <c r="L439" s="2" t="s">
        <v>144</v>
      </c>
      <c r="M439" s="8">
        <v>45047</v>
      </c>
      <c r="N439" s="2" t="s">
        <v>1158</v>
      </c>
      <c r="O439" s="8">
        <v>45046</v>
      </c>
      <c r="P439" s="8">
        <v>45050</v>
      </c>
      <c r="Q439" s="2" t="s">
        <v>41</v>
      </c>
      <c r="R439" s="2" t="s">
        <v>286</v>
      </c>
      <c r="S439" s="2">
        <v>969749</v>
      </c>
      <c r="T439" s="2" t="s">
        <v>70</v>
      </c>
      <c r="U439" s="2" t="s">
        <v>71</v>
      </c>
      <c r="V439" s="2" t="s">
        <v>1159</v>
      </c>
      <c r="W439" s="2">
        <v>6</v>
      </c>
      <c r="X439" s="4">
        <v>0</v>
      </c>
      <c r="Y439" s="3">
        <v>376.94</v>
      </c>
    </row>
    <row r="440" spans="1:25" x14ac:dyDescent="0.3">
      <c r="A440" s="2" t="s">
        <v>1156</v>
      </c>
      <c r="B440" s="2" t="s">
        <v>1157</v>
      </c>
      <c r="C440" s="2" t="s">
        <v>284</v>
      </c>
      <c r="D440" s="8">
        <v>25731</v>
      </c>
      <c r="E440" s="3">
        <v>520.04999999999995</v>
      </c>
      <c r="F440" s="2">
        <v>2023</v>
      </c>
      <c r="G440" s="2" t="s">
        <v>28</v>
      </c>
      <c r="H440" s="2" t="s">
        <v>163</v>
      </c>
      <c r="I440" s="2" t="s">
        <v>43</v>
      </c>
      <c r="J440" s="2" t="s">
        <v>62</v>
      </c>
      <c r="K440" s="2" t="s">
        <v>32</v>
      </c>
      <c r="L440" s="2" t="s">
        <v>144</v>
      </c>
      <c r="M440" s="8">
        <v>45118</v>
      </c>
      <c r="N440" s="2" t="s">
        <v>1160</v>
      </c>
      <c r="O440" s="8">
        <v>45118</v>
      </c>
      <c r="P440" s="8">
        <v>45120</v>
      </c>
      <c r="Q440" s="2" t="s">
        <v>35</v>
      </c>
      <c r="R440" s="2" t="s">
        <v>286</v>
      </c>
      <c r="S440" s="2">
        <v>937838</v>
      </c>
      <c r="T440" s="2" t="s">
        <v>45</v>
      </c>
      <c r="U440" s="2" t="s">
        <v>46</v>
      </c>
      <c r="V440" s="2" t="s">
        <v>1161</v>
      </c>
      <c r="W440" s="2">
        <v>5</v>
      </c>
      <c r="X440" s="4">
        <v>0</v>
      </c>
      <c r="Y440" s="3">
        <v>148.47</v>
      </c>
    </row>
    <row r="441" spans="1:25" x14ac:dyDescent="0.3">
      <c r="A441" s="2" t="s">
        <v>1156</v>
      </c>
      <c r="B441" s="2" t="s">
        <v>1157</v>
      </c>
      <c r="C441" s="2" t="s">
        <v>284</v>
      </c>
      <c r="D441" s="8">
        <v>25731</v>
      </c>
      <c r="E441" s="3">
        <v>2363.09</v>
      </c>
      <c r="F441" s="2">
        <v>2024</v>
      </c>
      <c r="G441" s="2" t="s">
        <v>48</v>
      </c>
      <c r="H441" s="2" t="s">
        <v>163</v>
      </c>
      <c r="I441" s="2" t="s">
        <v>92</v>
      </c>
      <c r="J441" s="2" t="s">
        <v>62</v>
      </c>
      <c r="K441" s="2" t="s">
        <v>32</v>
      </c>
      <c r="L441" s="2" t="s">
        <v>144</v>
      </c>
      <c r="M441" s="8">
        <v>45538</v>
      </c>
      <c r="N441" s="2" t="s">
        <v>1162</v>
      </c>
      <c r="O441" s="8">
        <v>45536</v>
      </c>
      <c r="P441" s="8">
        <v>45539</v>
      </c>
      <c r="Q441" s="2" t="s">
        <v>35</v>
      </c>
      <c r="R441" s="2" t="s">
        <v>286</v>
      </c>
      <c r="S441" s="2">
        <v>962074</v>
      </c>
      <c r="T441" s="2" t="s">
        <v>147</v>
      </c>
      <c r="U441" s="2" t="s">
        <v>148</v>
      </c>
      <c r="V441" s="2" t="s">
        <v>1163</v>
      </c>
      <c r="W441" s="2">
        <v>6</v>
      </c>
      <c r="X441" s="4">
        <v>0.15</v>
      </c>
      <c r="Y441" s="3">
        <v>737.67</v>
      </c>
    </row>
    <row r="442" spans="1:25" x14ac:dyDescent="0.3">
      <c r="A442" s="2" t="s">
        <v>1156</v>
      </c>
      <c r="B442" s="2" t="s">
        <v>1157</v>
      </c>
      <c r="C442" s="2" t="s">
        <v>284</v>
      </c>
      <c r="D442" s="8">
        <v>25731</v>
      </c>
      <c r="E442" s="3">
        <v>1397.6</v>
      </c>
      <c r="F442" s="2">
        <v>2025</v>
      </c>
      <c r="G442" s="2" t="s">
        <v>48</v>
      </c>
      <c r="H442" s="2" t="s">
        <v>163</v>
      </c>
      <c r="I442" s="2" t="s">
        <v>30</v>
      </c>
      <c r="J442" s="2" t="s">
        <v>62</v>
      </c>
      <c r="K442" s="2" t="s">
        <v>32</v>
      </c>
      <c r="L442" s="2" t="s">
        <v>144</v>
      </c>
      <c r="M442" s="8">
        <v>45812</v>
      </c>
      <c r="N442" s="2" t="s">
        <v>1164</v>
      </c>
      <c r="O442" s="8">
        <v>45812</v>
      </c>
      <c r="P442" s="8">
        <v>45817</v>
      </c>
      <c r="Q442" s="2" t="s">
        <v>74</v>
      </c>
      <c r="R442" s="2" t="s">
        <v>286</v>
      </c>
      <c r="S442" s="2">
        <v>146168</v>
      </c>
      <c r="T442" s="2" t="s">
        <v>55</v>
      </c>
      <c r="U442" s="2" t="s">
        <v>56</v>
      </c>
      <c r="V442" s="2" t="s">
        <v>1165</v>
      </c>
      <c r="W442" s="2">
        <v>4</v>
      </c>
      <c r="X442" s="4">
        <v>0.05</v>
      </c>
      <c r="Y442" s="3">
        <v>232.39</v>
      </c>
    </row>
    <row r="443" spans="1:25" x14ac:dyDescent="0.3">
      <c r="A443" s="2" t="s">
        <v>1166</v>
      </c>
      <c r="B443" s="2" t="s">
        <v>492</v>
      </c>
      <c r="C443" s="2" t="s">
        <v>364</v>
      </c>
      <c r="D443" s="8">
        <v>32900</v>
      </c>
      <c r="E443" s="3">
        <v>123.16</v>
      </c>
      <c r="F443" s="2">
        <v>2023</v>
      </c>
      <c r="G443" s="2" t="s">
        <v>48</v>
      </c>
      <c r="H443" s="2" t="s">
        <v>29</v>
      </c>
      <c r="I443" s="2" t="s">
        <v>78</v>
      </c>
      <c r="J443" s="2" t="s">
        <v>227</v>
      </c>
      <c r="K443" s="2" t="s">
        <v>32</v>
      </c>
      <c r="L443" s="2" t="s">
        <v>144</v>
      </c>
      <c r="M443" s="8">
        <v>45017</v>
      </c>
      <c r="N443" s="2" t="s">
        <v>1167</v>
      </c>
      <c r="O443" s="8">
        <v>45016</v>
      </c>
      <c r="P443" s="8">
        <v>45018</v>
      </c>
      <c r="Q443" s="2" t="s">
        <v>121</v>
      </c>
      <c r="R443" s="2" t="s">
        <v>738</v>
      </c>
      <c r="S443" s="2">
        <v>400487</v>
      </c>
      <c r="T443" s="2" t="s">
        <v>135</v>
      </c>
      <c r="U443" s="2" t="s">
        <v>136</v>
      </c>
      <c r="V443" s="2" t="s">
        <v>1168</v>
      </c>
      <c r="W443" s="2">
        <v>5</v>
      </c>
      <c r="X443" s="4">
        <v>0.2</v>
      </c>
      <c r="Y443" s="3">
        <v>17.690000000000001</v>
      </c>
    </row>
    <row r="444" spans="1:25" x14ac:dyDescent="0.3">
      <c r="A444" s="2" t="s">
        <v>1166</v>
      </c>
      <c r="B444" s="2" t="s">
        <v>492</v>
      </c>
      <c r="C444" s="2" t="s">
        <v>364</v>
      </c>
      <c r="D444" s="8">
        <v>32900</v>
      </c>
      <c r="E444" s="3">
        <v>2737.12</v>
      </c>
      <c r="F444" s="2">
        <v>2023</v>
      </c>
      <c r="G444" s="2" t="s">
        <v>48</v>
      </c>
      <c r="H444" s="2" t="s">
        <v>29</v>
      </c>
      <c r="I444" s="2" t="s">
        <v>43</v>
      </c>
      <c r="J444" s="2" t="s">
        <v>227</v>
      </c>
      <c r="K444" s="2" t="s">
        <v>32</v>
      </c>
      <c r="L444" s="2" t="s">
        <v>144</v>
      </c>
      <c r="M444" s="8">
        <v>45268</v>
      </c>
      <c r="N444" s="2" t="s">
        <v>1169</v>
      </c>
      <c r="O444" s="8">
        <v>45268</v>
      </c>
      <c r="P444" s="8">
        <v>45271</v>
      </c>
      <c r="Q444" s="2" t="s">
        <v>35</v>
      </c>
      <c r="R444" s="2" t="s">
        <v>738</v>
      </c>
      <c r="S444" s="2">
        <v>316612</v>
      </c>
      <c r="T444" s="2" t="s">
        <v>70</v>
      </c>
      <c r="U444" s="2" t="s">
        <v>71</v>
      </c>
      <c r="V444" s="2" t="s">
        <v>1170</v>
      </c>
      <c r="W444" s="2">
        <v>8</v>
      </c>
      <c r="X444" s="4">
        <v>0</v>
      </c>
      <c r="Y444" s="3">
        <v>259.47000000000003</v>
      </c>
    </row>
    <row r="445" spans="1:25" x14ac:dyDescent="0.3">
      <c r="A445" s="2" t="s">
        <v>1166</v>
      </c>
      <c r="B445" s="2" t="s">
        <v>492</v>
      </c>
      <c r="C445" s="2" t="s">
        <v>364</v>
      </c>
      <c r="D445" s="8">
        <v>32900</v>
      </c>
      <c r="E445" s="3">
        <v>765.56</v>
      </c>
      <c r="F445" s="2">
        <v>2024</v>
      </c>
      <c r="G445" s="2" t="s">
        <v>48</v>
      </c>
      <c r="H445" s="2" t="s">
        <v>29</v>
      </c>
      <c r="I445" s="2" t="s">
        <v>30</v>
      </c>
      <c r="J445" s="2" t="s">
        <v>227</v>
      </c>
      <c r="K445" s="2" t="s">
        <v>32</v>
      </c>
      <c r="L445" s="2" t="s">
        <v>144</v>
      </c>
      <c r="M445" s="8">
        <v>45406</v>
      </c>
      <c r="N445" s="2" t="s">
        <v>1171</v>
      </c>
      <c r="O445" s="8">
        <v>45405</v>
      </c>
      <c r="P445" s="8">
        <v>45410</v>
      </c>
      <c r="Q445" s="2" t="s">
        <v>35</v>
      </c>
      <c r="R445" s="2" t="s">
        <v>738</v>
      </c>
      <c r="S445" s="2">
        <v>426503</v>
      </c>
      <c r="T445" s="2" t="s">
        <v>37</v>
      </c>
      <c r="U445" s="2" t="s">
        <v>38</v>
      </c>
      <c r="V445" s="2" t="s">
        <v>1172</v>
      </c>
      <c r="W445" s="2">
        <v>6</v>
      </c>
      <c r="X445" s="4">
        <v>0.15</v>
      </c>
      <c r="Y445" s="3">
        <v>222.93</v>
      </c>
    </row>
    <row r="446" spans="1:25" x14ac:dyDescent="0.3">
      <c r="A446" s="2" t="s">
        <v>1166</v>
      </c>
      <c r="B446" s="2" t="s">
        <v>492</v>
      </c>
      <c r="C446" s="2" t="s">
        <v>364</v>
      </c>
      <c r="D446" s="8">
        <v>32900</v>
      </c>
      <c r="E446" s="3">
        <v>354.8</v>
      </c>
      <c r="F446" s="2">
        <v>2024</v>
      </c>
      <c r="G446" s="2" t="s">
        <v>28</v>
      </c>
      <c r="H446" s="2" t="s">
        <v>29</v>
      </c>
      <c r="I446" s="2" t="s">
        <v>30</v>
      </c>
      <c r="J446" s="2" t="s">
        <v>227</v>
      </c>
      <c r="K446" s="2" t="s">
        <v>32</v>
      </c>
      <c r="L446" s="2" t="s">
        <v>144</v>
      </c>
      <c r="M446" s="8">
        <v>45535</v>
      </c>
      <c r="N446" s="2" t="s">
        <v>1173</v>
      </c>
      <c r="O446" s="8">
        <v>45535</v>
      </c>
      <c r="P446" s="8">
        <v>45536</v>
      </c>
      <c r="Q446" s="2" t="s">
        <v>35</v>
      </c>
      <c r="R446" s="2" t="s">
        <v>738</v>
      </c>
      <c r="S446" s="2">
        <v>190302</v>
      </c>
      <c r="T446" s="2" t="s">
        <v>37</v>
      </c>
      <c r="U446" s="2" t="s">
        <v>38</v>
      </c>
      <c r="V446" s="2" t="s">
        <v>1174</v>
      </c>
      <c r="W446" s="2">
        <v>8</v>
      </c>
      <c r="X446" s="4">
        <v>0</v>
      </c>
      <c r="Y446" s="3">
        <v>67.849999999999994</v>
      </c>
    </row>
    <row r="447" spans="1:25" x14ac:dyDescent="0.3">
      <c r="A447" s="2" t="s">
        <v>1166</v>
      </c>
      <c r="B447" s="2" t="s">
        <v>492</v>
      </c>
      <c r="C447" s="2" t="s">
        <v>364</v>
      </c>
      <c r="D447" s="8">
        <v>32900</v>
      </c>
      <c r="E447" s="3">
        <v>3806.39</v>
      </c>
      <c r="F447" s="2">
        <v>2025</v>
      </c>
      <c r="G447" s="2" t="s">
        <v>28</v>
      </c>
      <c r="H447" s="2" t="s">
        <v>29</v>
      </c>
      <c r="I447" s="2" t="s">
        <v>92</v>
      </c>
      <c r="J447" s="2" t="s">
        <v>227</v>
      </c>
      <c r="K447" s="2" t="s">
        <v>32</v>
      </c>
      <c r="L447" s="2" t="s">
        <v>144</v>
      </c>
      <c r="M447" s="8">
        <v>45823</v>
      </c>
      <c r="N447" s="2" t="s">
        <v>1175</v>
      </c>
      <c r="O447" s="8">
        <v>45819</v>
      </c>
      <c r="P447" s="8">
        <v>45823</v>
      </c>
      <c r="Q447" s="2" t="s">
        <v>74</v>
      </c>
      <c r="R447" s="2" t="s">
        <v>738</v>
      </c>
      <c r="S447" s="2">
        <v>448475</v>
      </c>
      <c r="T447" s="2" t="s">
        <v>127</v>
      </c>
      <c r="U447" s="2" t="s">
        <v>128</v>
      </c>
      <c r="V447" s="2" t="s">
        <v>1176</v>
      </c>
      <c r="W447" s="2">
        <v>10</v>
      </c>
      <c r="X447" s="4">
        <v>0.15</v>
      </c>
      <c r="Y447" s="3">
        <v>1145.1600000000001</v>
      </c>
    </row>
    <row r="448" spans="1:25" x14ac:dyDescent="0.3">
      <c r="A448" s="2" t="s">
        <v>1177</v>
      </c>
      <c r="B448" s="2" t="s">
        <v>225</v>
      </c>
      <c r="C448" s="2" t="s">
        <v>259</v>
      </c>
      <c r="D448" s="8">
        <v>35527</v>
      </c>
      <c r="E448" s="3">
        <v>533.52</v>
      </c>
      <c r="F448" s="2">
        <v>2023</v>
      </c>
      <c r="G448" s="2" t="s">
        <v>48</v>
      </c>
      <c r="H448" s="2" t="s">
        <v>29</v>
      </c>
      <c r="I448" s="2" t="s">
        <v>92</v>
      </c>
      <c r="J448" s="2" t="s">
        <v>62</v>
      </c>
      <c r="K448" s="2" t="s">
        <v>32</v>
      </c>
      <c r="L448" s="2" t="s">
        <v>63</v>
      </c>
      <c r="M448" s="8">
        <v>45010</v>
      </c>
      <c r="N448" s="2" t="s">
        <v>1178</v>
      </c>
      <c r="O448" s="8">
        <v>45007</v>
      </c>
      <c r="P448" s="8">
        <v>45011</v>
      </c>
      <c r="Q448" s="2" t="s">
        <v>121</v>
      </c>
      <c r="R448" s="2" t="s">
        <v>386</v>
      </c>
      <c r="S448" s="2">
        <v>250703</v>
      </c>
      <c r="T448" s="2" t="s">
        <v>147</v>
      </c>
      <c r="U448" s="2" t="s">
        <v>148</v>
      </c>
      <c r="V448" s="2" t="s">
        <v>1179</v>
      </c>
      <c r="W448" s="2">
        <v>8</v>
      </c>
      <c r="X448" s="4">
        <v>0</v>
      </c>
      <c r="Y448" s="3">
        <v>136.22999999999999</v>
      </c>
    </row>
    <row r="449" spans="1:25" x14ac:dyDescent="0.3">
      <c r="A449" s="2" t="s">
        <v>1177</v>
      </c>
      <c r="B449" s="2" t="s">
        <v>225</v>
      </c>
      <c r="C449" s="2" t="s">
        <v>259</v>
      </c>
      <c r="D449" s="8">
        <v>35527</v>
      </c>
      <c r="E449" s="3">
        <v>642.66</v>
      </c>
      <c r="F449" s="2">
        <v>2024</v>
      </c>
      <c r="G449" s="2" t="s">
        <v>28</v>
      </c>
      <c r="H449" s="2" t="s">
        <v>29</v>
      </c>
      <c r="I449" s="2" t="s">
        <v>30</v>
      </c>
      <c r="J449" s="2" t="s">
        <v>62</v>
      </c>
      <c r="K449" s="2" t="s">
        <v>32</v>
      </c>
      <c r="L449" s="2" t="s">
        <v>63</v>
      </c>
      <c r="M449" s="8">
        <v>45476</v>
      </c>
      <c r="N449" s="2" t="s">
        <v>1180</v>
      </c>
      <c r="O449" s="8">
        <v>45473</v>
      </c>
      <c r="P449" s="8">
        <v>45476</v>
      </c>
      <c r="Q449" s="2" t="s">
        <v>35</v>
      </c>
      <c r="R449" s="2" t="s">
        <v>386</v>
      </c>
      <c r="S449" s="2">
        <v>168540</v>
      </c>
      <c r="T449" s="2" t="s">
        <v>37</v>
      </c>
      <c r="U449" s="2" t="s">
        <v>38</v>
      </c>
      <c r="V449" s="2" t="s">
        <v>1181</v>
      </c>
      <c r="W449" s="2">
        <v>7</v>
      </c>
      <c r="X449" s="4">
        <v>0.15</v>
      </c>
      <c r="Y449" s="3">
        <v>95.82</v>
      </c>
    </row>
    <row r="450" spans="1:25" x14ac:dyDescent="0.3">
      <c r="A450" s="2" t="s">
        <v>1177</v>
      </c>
      <c r="B450" s="2" t="s">
        <v>225</v>
      </c>
      <c r="C450" s="2" t="s">
        <v>259</v>
      </c>
      <c r="D450" s="8">
        <v>35527</v>
      </c>
      <c r="E450" s="3">
        <v>1931.2</v>
      </c>
      <c r="F450" s="2">
        <v>2024</v>
      </c>
      <c r="G450" s="2" t="s">
        <v>87</v>
      </c>
      <c r="H450" s="2" t="s">
        <v>29</v>
      </c>
      <c r="I450" s="2" t="s">
        <v>92</v>
      </c>
      <c r="J450" s="2" t="s">
        <v>62</v>
      </c>
      <c r="K450" s="2" t="s">
        <v>32</v>
      </c>
      <c r="L450" s="2" t="s">
        <v>63</v>
      </c>
      <c r="M450" s="8">
        <v>45614</v>
      </c>
      <c r="N450" s="2" t="s">
        <v>1182</v>
      </c>
      <c r="O450" s="8">
        <v>45613</v>
      </c>
      <c r="P450" s="8">
        <v>45616</v>
      </c>
      <c r="Q450" s="2" t="s">
        <v>35</v>
      </c>
      <c r="R450" s="2" t="s">
        <v>386</v>
      </c>
      <c r="S450" s="2">
        <v>525392</v>
      </c>
      <c r="T450" s="2" t="s">
        <v>187</v>
      </c>
      <c r="U450" s="2" t="s">
        <v>188</v>
      </c>
      <c r="V450" s="2" t="s">
        <v>1183</v>
      </c>
      <c r="W450" s="2">
        <v>8</v>
      </c>
      <c r="X450" s="4">
        <v>0</v>
      </c>
      <c r="Y450" s="3">
        <v>260.08999999999997</v>
      </c>
    </row>
    <row r="451" spans="1:25" x14ac:dyDescent="0.3">
      <c r="A451" s="2" t="s">
        <v>1177</v>
      </c>
      <c r="B451" s="2" t="s">
        <v>225</v>
      </c>
      <c r="C451" s="2" t="s">
        <v>259</v>
      </c>
      <c r="D451" s="8">
        <v>35527</v>
      </c>
      <c r="E451" s="3">
        <v>2388.5300000000002</v>
      </c>
      <c r="F451" s="2">
        <v>2024</v>
      </c>
      <c r="G451" s="2" t="s">
        <v>87</v>
      </c>
      <c r="H451" s="2" t="s">
        <v>29</v>
      </c>
      <c r="I451" s="2" t="s">
        <v>49</v>
      </c>
      <c r="J451" s="2" t="s">
        <v>62</v>
      </c>
      <c r="K451" s="2" t="s">
        <v>32</v>
      </c>
      <c r="L451" s="2" t="s">
        <v>63</v>
      </c>
      <c r="M451" s="8">
        <v>45660</v>
      </c>
      <c r="N451" s="2" t="s">
        <v>1184</v>
      </c>
      <c r="O451" s="8">
        <v>45657</v>
      </c>
      <c r="P451" s="8">
        <v>45661</v>
      </c>
      <c r="Q451" s="2" t="s">
        <v>41</v>
      </c>
      <c r="R451" s="2" t="s">
        <v>386</v>
      </c>
      <c r="S451" s="2">
        <v>350164</v>
      </c>
      <c r="T451" s="2" t="s">
        <v>109</v>
      </c>
      <c r="U451" s="2" t="s">
        <v>110</v>
      </c>
      <c r="V451" s="2" t="s">
        <v>1185</v>
      </c>
      <c r="W451" s="2">
        <v>9</v>
      </c>
      <c r="X451" s="4">
        <v>0.2</v>
      </c>
      <c r="Y451" s="3">
        <v>335.91</v>
      </c>
    </row>
    <row r="452" spans="1:25" x14ac:dyDescent="0.3">
      <c r="A452" s="2" t="s">
        <v>1177</v>
      </c>
      <c r="B452" s="2" t="s">
        <v>225</v>
      </c>
      <c r="C452" s="2" t="s">
        <v>259</v>
      </c>
      <c r="D452" s="8">
        <v>35527</v>
      </c>
      <c r="E452" s="3">
        <v>1389.29</v>
      </c>
      <c r="F452" s="2">
        <v>2025</v>
      </c>
      <c r="G452" s="2" t="s">
        <v>87</v>
      </c>
      <c r="H452" s="2" t="s">
        <v>29</v>
      </c>
      <c r="I452" s="2" t="s">
        <v>30</v>
      </c>
      <c r="J452" s="2" t="s">
        <v>62</v>
      </c>
      <c r="K452" s="2" t="s">
        <v>32</v>
      </c>
      <c r="L452" s="2" t="s">
        <v>63</v>
      </c>
      <c r="M452" s="8">
        <v>45705</v>
      </c>
      <c r="N452" s="2" t="s">
        <v>1186</v>
      </c>
      <c r="O452" s="8">
        <v>45703</v>
      </c>
      <c r="P452" s="8">
        <v>45705</v>
      </c>
      <c r="Q452" s="2" t="s">
        <v>41</v>
      </c>
      <c r="R452" s="2" t="s">
        <v>386</v>
      </c>
      <c r="S452" s="2">
        <v>922412</v>
      </c>
      <c r="T452" s="2" t="s">
        <v>75</v>
      </c>
      <c r="U452" s="2" t="s">
        <v>76</v>
      </c>
      <c r="V452" s="2" t="s">
        <v>1187</v>
      </c>
      <c r="W452" s="2">
        <v>3</v>
      </c>
      <c r="X452" s="4">
        <v>0.05</v>
      </c>
      <c r="Y452" s="3">
        <v>97</v>
      </c>
    </row>
    <row r="453" spans="1:25" x14ac:dyDescent="0.3">
      <c r="A453" s="2" t="s">
        <v>1177</v>
      </c>
      <c r="B453" s="2" t="s">
        <v>225</v>
      </c>
      <c r="C453" s="2" t="s">
        <v>259</v>
      </c>
      <c r="D453" s="8">
        <v>35527</v>
      </c>
      <c r="E453" s="3">
        <v>350.47</v>
      </c>
      <c r="F453" s="2">
        <v>2025</v>
      </c>
      <c r="G453" s="2" t="s">
        <v>48</v>
      </c>
      <c r="H453" s="2" t="s">
        <v>29</v>
      </c>
      <c r="I453" s="2" t="s">
        <v>92</v>
      </c>
      <c r="J453" s="2" t="s">
        <v>62</v>
      </c>
      <c r="K453" s="2" t="s">
        <v>32</v>
      </c>
      <c r="L453" s="2" t="s">
        <v>63</v>
      </c>
      <c r="M453" s="8">
        <v>45758</v>
      </c>
      <c r="N453" s="2" t="s">
        <v>1188</v>
      </c>
      <c r="O453" s="8">
        <v>45755</v>
      </c>
      <c r="P453" s="8">
        <v>45760</v>
      </c>
      <c r="Q453" s="2" t="s">
        <v>41</v>
      </c>
      <c r="R453" s="2" t="s">
        <v>386</v>
      </c>
      <c r="S453" s="2">
        <v>441183</v>
      </c>
      <c r="T453" s="2" t="s">
        <v>94</v>
      </c>
      <c r="U453" s="2" t="s">
        <v>95</v>
      </c>
      <c r="V453" s="2" t="s">
        <v>1189</v>
      </c>
      <c r="W453" s="2">
        <v>4</v>
      </c>
      <c r="X453" s="4">
        <v>0.15</v>
      </c>
      <c r="Y453" s="3">
        <v>25.71</v>
      </c>
    </row>
    <row r="454" spans="1:25" x14ac:dyDescent="0.3">
      <c r="A454" s="2" t="s">
        <v>1190</v>
      </c>
      <c r="B454" s="2" t="s">
        <v>526</v>
      </c>
      <c r="C454" s="2" t="s">
        <v>226</v>
      </c>
      <c r="D454" s="8">
        <v>26350</v>
      </c>
      <c r="E454" s="3">
        <v>628.27</v>
      </c>
      <c r="F454" s="2">
        <v>2023</v>
      </c>
      <c r="G454" s="2" t="s">
        <v>28</v>
      </c>
      <c r="H454" s="2" t="s">
        <v>29</v>
      </c>
      <c r="I454" s="2" t="s">
        <v>92</v>
      </c>
      <c r="J454" s="2" t="s">
        <v>62</v>
      </c>
      <c r="K454" s="2" t="s">
        <v>32</v>
      </c>
      <c r="L454" s="2" t="s">
        <v>144</v>
      </c>
      <c r="M454" s="8">
        <v>45109</v>
      </c>
      <c r="N454" s="2" t="s">
        <v>1191</v>
      </c>
      <c r="O454" s="8">
        <v>45107</v>
      </c>
      <c r="P454" s="8">
        <v>45111</v>
      </c>
      <c r="Q454" s="2" t="s">
        <v>35</v>
      </c>
      <c r="R454" s="2" t="s">
        <v>1192</v>
      </c>
      <c r="S454" s="2">
        <v>194930</v>
      </c>
      <c r="T454" s="2" t="s">
        <v>187</v>
      </c>
      <c r="U454" s="2" t="s">
        <v>188</v>
      </c>
      <c r="V454" s="2" t="s">
        <v>1193</v>
      </c>
      <c r="W454" s="2">
        <v>2</v>
      </c>
      <c r="X454" s="4">
        <v>0.1</v>
      </c>
      <c r="Y454" s="3">
        <v>176.8</v>
      </c>
    </row>
    <row r="455" spans="1:25" x14ac:dyDescent="0.3">
      <c r="A455" s="2" t="s">
        <v>1190</v>
      </c>
      <c r="B455" s="2" t="s">
        <v>526</v>
      </c>
      <c r="C455" s="2" t="s">
        <v>226</v>
      </c>
      <c r="D455" s="8">
        <v>26350</v>
      </c>
      <c r="E455" s="3">
        <v>325.89</v>
      </c>
      <c r="F455" s="2">
        <v>2023</v>
      </c>
      <c r="G455" s="2" t="s">
        <v>28</v>
      </c>
      <c r="H455" s="2" t="s">
        <v>29</v>
      </c>
      <c r="I455" s="2" t="s">
        <v>61</v>
      </c>
      <c r="J455" s="2" t="s">
        <v>62</v>
      </c>
      <c r="K455" s="2" t="s">
        <v>32</v>
      </c>
      <c r="L455" s="2" t="s">
        <v>144</v>
      </c>
      <c r="M455" s="8">
        <v>45244</v>
      </c>
      <c r="N455" s="2" t="s">
        <v>1194</v>
      </c>
      <c r="O455" s="8">
        <v>45242</v>
      </c>
      <c r="P455" s="8">
        <v>45247</v>
      </c>
      <c r="Q455" s="2" t="s">
        <v>41</v>
      </c>
      <c r="R455" s="2" t="s">
        <v>1192</v>
      </c>
      <c r="S455" s="2">
        <v>305171</v>
      </c>
      <c r="T455" s="2" t="s">
        <v>66</v>
      </c>
      <c r="U455" s="2" t="s">
        <v>67</v>
      </c>
      <c r="V455" s="2" t="s">
        <v>1195</v>
      </c>
      <c r="W455" s="2">
        <v>1</v>
      </c>
      <c r="X455" s="4">
        <v>0.15</v>
      </c>
      <c r="Y455" s="3">
        <v>30.88</v>
      </c>
    </row>
    <row r="456" spans="1:25" x14ac:dyDescent="0.3">
      <c r="A456" s="2" t="s">
        <v>1190</v>
      </c>
      <c r="B456" s="2" t="s">
        <v>526</v>
      </c>
      <c r="C456" s="2" t="s">
        <v>226</v>
      </c>
      <c r="D456" s="8">
        <v>26350</v>
      </c>
      <c r="E456" s="3">
        <v>3410.97</v>
      </c>
      <c r="F456" s="2">
        <v>2024</v>
      </c>
      <c r="G456" s="2" t="s">
        <v>48</v>
      </c>
      <c r="H456" s="2" t="s">
        <v>29</v>
      </c>
      <c r="I456" s="2" t="s">
        <v>61</v>
      </c>
      <c r="J456" s="2" t="s">
        <v>62</v>
      </c>
      <c r="K456" s="2" t="s">
        <v>32</v>
      </c>
      <c r="L456" s="2" t="s">
        <v>144</v>
      </c>
      <c r="M456" s="8">
        <v>45384</v>
      </c>
      <c r="N456" s="2" t="s">
        <v>1196</v>
      </c>
      <c r="O456" s="8">
        <v>45382</v>
      </c>
      <c r="P456" s="8">
        <v>45386</v>
      </c>
      <c r="Q456" s="2" t="s">
        <v>35</v>
      </c>
      <c r="R456" s="2" t="s">
        <v>1192</v>
      </c>
      <c r="S456" s="2">
        <v>741194</v>
      </c>
      <c r="T456" s="2" t="s">
        <v>204</v>
      </c>
      <c r="U456" s="2" t="s">
        <v>205</v>
      </c>
      <c r="V456" s="2" t="s">
        <v>1197</v>
      </c>
      <c r="W456" s="2">
        <v>10</v>
      </c>
      <c r="X456" s="4">
        <v>0.15</v>
      </c>
      <c r="Y456" s="3">
        <v>482.19</v>
      </c>
    </row>
    <row r="457" spans="1:25" x14ac:dyDescent="0.3">
      <c r="A457" s="2" t="s">
        <v>1190</v>
      </c>
      <c r="B457" s="2" t="s">
        <v>526</v>
      </c>
      <c r="C457" s="2" t="s">
        <v>226</v>
      </c>
      <c r="D457" s="8">
        <v>26350</v>
      </c>
      <c r="E457" s="3">
        <v>1287.5999999999999</v>
      </c>
      <c r="F457" s="2">
        <v>2025</v>
      </c>
      <c r="G457" s="2" t="s">
        <v>48</v>
      </c>
      <c r="H457" s="2" t="s">
        <v>29</v>
      </c>
      <c r="I457" s="2" t="s">
        <v>30</v>
      </c>
      <c r="J457" s="2" t="s">
        <v>62</v>
      </c>
      <c r="K457" s="2" t="s">
        <v>32</v>
      </c>
      <c r="L457" s="2" t="s">
        <v>144</v>
      </c>
      <c r="M457" s="8">
        <v>45768</v>
      </c>
      <c r="N457" s="2" t="s">
        <v>1198</v>
      </c>
      <c r="O457" s="8">
        <v>45768</v>
      </c>
      <c r="P457" s="8">
        <v>45773</v>
      </c>
      <c r="Q457" s="2" t="s">
        <v>74</v>
      </c>
      <c r="R457" s="2" t="s">
        <v>1192</v>
      </c>
      <c r="S457" s="2">
        <v>215027</v>
      </c>
      <c r="T457" s="2" t="s">
        <v>37</v>
      </c>
      <c r="U457" s="2" t="s">
        <v>38</v>
      </c>
      <c r="V457" s="2" t="s">
        <v>1199</v>
      </c>
      <c r="W457" s="2">
        <v>3</v>
      </c>
      <c r="X457" s="4">
        <v>0</v>
      </c>
      <c r="Y457" s="3">
        <v>207</v>
      </c>
    </row>
    <row r="458" spans="1:25" x14ac:dyDescent="0.3">
      <c r="A458" s="2" t="s">
        <v>1200</v>
      </c>
      <c r="B458" s="2" t="s">
        <v>661</v>
      </c>
      <c r="C458" s="2" t="s">
        <v>284</v>
      </c>
      <c r="D458" s="8">
        <v>37503</v>
      </c>
      <c r="E458" s="3">
        <v>1429.08</v>
      </c>
      <c r="F458" s="2">
        <v>2023</v>
      </c>
      <c r="G458" s="2" t="s">
        <v>48</v>
      </c>
      <c r="H458" s="2" t="s">
        <v>29</v>
      </c>
      <c r="I458" s="2" t="s">
        <v>92</v>
      </c>
      <c r="J458" s="2" t="s">
        <v>31</v>
      </c>
      <c r="K458" s="2" t="s">
        <v>32</v>
      </c>
      <c r="L458" s="2" t="s">
        <v>63</v>
      </c>
      <c r="M458" s="8">
        <v>44959</v>
      </c>
      <c r="N458" s="2" t="s">
        <v>1201</v>
      </c>
      <c r="O458" s="8">
        <v>44958</v>
      </c>
      <c r="P458" s="8">
        <v>44960</v>
      </c>
      <c r="Q458" s="2" t="s">
        <v>121</v>
      </c>
      <c r="R458" s="2" t="s">
        <v>36</v>
      </c>
      <c r="S458" s="2">
        <v>682401</v>
      </c>
      <c r="T458" s="2" t="s">
        <v>94</v>
      </c>
      <c r="U458" s="2" t="s">
        <v>95</v>
      </c>
      <c r="V458" s="2" t="s">
        <v>1202</v>
      </c>
      <c r="W458" s="2">
        <v>7</v>
      </c>
      <c r="X458" s="4">
        <v>0.05</v>
      </c>
      <c r="Y458" s="3">
        <v>305.16000000000003</v>
      </c>
    </row>
    <row r="459" spans="1:25" x14ac:dyDescent="0.3">
      <c r="A459" s="2" t="s">
        <v>1200</v>
      </c>
      <c r="B459" s="2" t="s">
        <v>661</v>
      </c>
      <c r="C459" s="2" t="s">
        <v>284</v>
      </c>
      <c r="D459" s="8">
        <v>37503</v>
      </c>
      <c r="E459" s="3">
        <v>526.67999999999995</v>
      </c>
      <c r="F459" s="2">
        <v>2023</v>
      </c>
      <c r="G459" s="2" t="s">
        <v>48</v>
      </c>
      <c r="H459" s="2" t="s">
        <v>29</v>
      </c>
      <c r="I459" s="2" t="s">
        <v>92</v>
      </c>
      <c r="J459" s="2" t="s">
        <v>31</v>
      </c>
      <c r="K459" s="2" t="s">
        <v>32</v>
      </c>
      <c r="L459" s="2" t="s">
        <v>63</v>
      </c>
      <c r="M459" s="8">
        <v>45167</v>
      </c>
      <c r="N459" s="2" t="s">
        <v>1203</v>
      </c>
      <c r="O459" s="8">
        <v>45167</v>
      </c>
      <c r="P459" s="8">
        <v>45169</v>
      </c>
      <c r="Q459" s="2" t="s">
        <v>35</v>
      </c>
      <c r="R459" s="2" t="s">
        <v>36</v>
      </c>
      <c r="S459" s="2">
        <v>250990</v>
      </c>
      <c r="T459" s="2" t="s">
        <v>94</v>
      </c>
      <c r="U459" s="2" t="s">
        <v>95</v>
      </c>
      <c r="V459" s="2" t="s">
        <v>1204</v>
      </c>
      <c r="W459" s="2">
        <v>7</v>
      </c>
      <c r="X459" s="4">
        <v>0.2</v>
      </c>
      <c r="Y459" s="3">
        <v>132.21</v>
      </c>
    </row>
    <row r="460" spans="1:25" x14ac:dyDescent="0.3">
      <c r="A460" s="2" t="s">
        <v>1200</v>
      </c>
      <c r="B460" s="2" t="s">
        <v>661</v>
      </c>
      <c r="C460" s="2" t="s">
        <v>284</v>
      </c>
      <c r="D460" s="8">
        <v>37503</v>
      </c>
      <c r="E460" s="3">
        <v>3415.93</v>
      </c>
      <c r="F460" s="2">
        <v>2024</v>
      </c>
      <c r="G460" s="2" t="s">
        <v>87</v>
      </c>
      <c r="H460" s="2" t="s">
        <v>29</v>
      </c>
      <c r="I460" s="2" t="s">
        <v>49</v>
      </c>
      <c r="J460" s="2" t="s">
        <v>31</v>
      </c>
      <c r="K460" s="2" t="s">
        <v>32</v>
      </c>
      <c r="L460" s="2" t="s">
        <v>63</v>
      </c>
      <c r="M460" s="8">
        <v>45372</v>
      </c>
      <c r="N460" s="2" t="s">
        <v>1205</v>
      </c>
      <c r="O460" s="8">
        <v>45369</v>
      </c>
      <c r="P460" s="8">
        <v>45373</v>
      </c>
      <c r="Q460" s="2" t="s">
        <v>41</v>
      </c>
      <c r="R460" s="2" t="s">
        <v>36</v>
      </c>
      <c r="S460" s="2">
        <v>753523</v>
      </c>
      <c r="T460" s="2" t="s">
        <v>84</v>
      </c>
      <c r="U460" s="2" t="s">
        <v>85</v>
      </c>
      <c r="V460" s="2" t="s">
        <v>1206</v>
      </c>
      <c r="W460" s="2">
        <v>7</v>
      </c>
      <c r="X460" s="4">
        <v>0</v>
      </c>
      <c r="Y460" s="3">
        <v>257.56</v>
      </c>
    </row>
    <row r="461" spans="1:25" x14ac:dyDescent="0.3">
      <c r="A461" s="2" t="s">
        <v>1200</v>
      </c>
      <c r="B461" s="2" t="s">
        <v>661</v>
      </c>
      <c r="C461" s="2" t="s">
        <v>284</v>
      </c>
      <c r="D461" s="8">
        <v>37503</v>
      </c>
      <c r="E461" s="3">
        <v>1895.12</v>
      </c>
      <c r="F461" s="2">
        <v>2024</v>
      </c>
      <c r="G461" s="2" t="s">
        <v>28</v>
      </c>
      <c r="H461" s="2" t="s">
        <v>29</v>
      </c>
      <c r="I461" s="2" t="s">
        <v>61</v>
      </c>
      <c r="J461" s="2" t="s">
        <v>31</v>
      </c>
      <c r="K461" s="2" t="s">
        <v>32</v>
      </c>
      <c r="L461" s="2" t="s">
        <v>63</v>
      </c>
      <c r="M461" s="8">
        <v>45531</v>
      </c>
      <c r="N461" s="2" t="s">
        <v>1207</v>
      </c>
      <c r="O461" s="8">
        <v>45531</v>
      </c>
      <c r="P461" s="8">
        <v>45533</v>
      </c>
      <c r="Q461" s="2" t="s">
        <v>35</v>
      </c>
      <c r="R461" s="2" t="s">
        <v>36</v>
      </c>
      <c r="S461" s="2">
        <v>706012</v>
      </c>
      <c r="T461" s="2" t="s">
        <v>113</v>
      </c>
      <c r="U461" s="2" t="s">
        <v>114</v>
      </c>
      <c r="V461" s="2" t="s">
        <v>1208</v>
      </c>
      <c r="W461" s="2">
        <v>7</v>
      </c>
      <c r="X461" s="4">
        <v>0.05</v>
      </c>
      <c r="Y461" s="3">
        <v>313.48</v>
      </c>
    </row>
    <row r="462" spans="1:25" x14ac:dyDescent="0.3">
      <c r="A462" s="2" t="s">
        <v>1200</v>
      </c>
      <c r="B462" s="2" t="s">
        <v>661</v>
      </c>
      <c r="C462" s="2" t="s">
        <v>284</v>
      </c>
      <c r="D462" s="8">
        <v>37503</v>
      </c>
      <c r="E462" s="3">
        <v>1208.8399999999999</v>
      </c>
      <c r="F462" s="2">
        <v>2024</v>
      </c>
      <c r="G462" s="2" t="s">
        <v>87</v>
      </c>
      <c r="H462" s="2" t="s">
        <v>29</v>
      </c>
      <c r="I462" s="2" t="s">
        <v>92</v>
      </c>
      <c r="J462" s="2" t="s">
        <v>31</v>
      </c>
      <c r="K462" s="2" t="s">
        <v>32</v>
      </c>
      <c r="L462" s="2" t="s">
        <v>63</v>
      </c>
      <c r="M462" s="8">
        <v>45646</v>
      </c>
      <c r="N462" s="2" t="s">
        <v>1209</v>
      </c>
      <c r="O462" s="8">
        <v>45646</v>
      </c>
      <c r="P462" s="8">
        <v>45647</v>
      </c>
      <c r="Q462" s="2" t="s">
        <v>41</v>
      </c>
      <c r="R462" s="2" t="s">
        <v>36</v>
      </c>
      <c r="S462" s="2">
        <v>839122</v>
      </c>
      <c r="T462" s="2" t="s">
        <v>147</v>
      </c>
      <c r="U462" s="2" t="s">
        <v>148</v>
      </c>
      <c r="V462" s="2" t="s">
        <v>1210</v>
      </c>
      <c r="W462" s="2">
        <v>9</v>
      </c>
      <c r="X462" s="4">
        <v>0.1</v>
      </c>
      <c r="Y462" s="3">
        <v>269.45999999999998</v>
      </c>
    </row>
    <row r="463" spans="1:25" x14ac:dyDescent="0.3">
      <c r="A463" s="2" t="s">
        <v>1200</v>
      </c>
      <c r="B463" s="2" t="s">
        <v>661</v>
      </c>
      <c r="C463" s="2" t="s">
        <v>284</v>
      </c>
      <c r="D463" s="8">
        <v>37503</v>
      </c>
      <c r="E463" s="3">
        <v>3853.04</v>
      </c>
      <c r="F463" s="2">
        <v>2025</v>
      </c>
      <c r="G463" s="2" t="s">
        <v>28</v>
      </c>
      <c r="H463" s="2" t="s">
        <v>29</v>
      </c>
      <c r="I463" s="2" t="s">
        <v>43</v>
      </c>
      <c r="J463" s="2" t="s">
        <v>31</v>
      </c>
      <c r="K463" s="2" t="s">
        <v>32</v>
      </c>
      <c r="L463" s="2" t="s">
        <v>63</v>
      </c>
      <c r="M463" s="8">
        <v>45815</v>
      </c>
      <c r="N463" s="2" t="s">
        <v>1211</v>
      </c>
      <c r="O463" s="8">
        <v>45813</v>
      </c>
      <c r="P463" s="8">
        <v>45818</v>
      </c>
      <c r="Q463" s="2" t="s">
        <v>35</v>
      </c>
      <c r="R463" s="2" t="s">
        <v>36</v>
      </c>
      <c r="S463" s="2">
        <v>648779</v>
      </c>
      <c r="T463" s="2" t="s">
        <v>45</v>
      </c>
      <c r="U463" s="2" t="s">
        <v>46</v>
      </c>
      <c r="V463" s="2" t="s">
        <v>1212</v>
      </c>
      <c r="W463" s="2">
        <v>8</v>
      </c>
      <c r="X463" s="4">
        <v>0</v>
      </c>
      <c r="Y463" s="3">
        <v>356.89</v>
      </c>
    </row>
    <row r="464" spans="1:25" x14ac:dyDescent="0.3">
      <c r="A464" s="2" t="s">
        <v>1213</v>
      </c>
      <c r="B464" s="2" t="s">
        <v>467</v>
      </c>
      <c r="C464" s="2" t="s">
        <v>162</v>
      </c>
      <c r="D464" s="8">
        <v>30949</v>
      </c>
      <c r="E464" s="3">
        <v>3627.81</v>
      </c>
      <c r="F464" s="2">
        <v>2023</v>
      </c>
      <c r="G464" s="2" t="s">
        <v>28</v>
      </c>
      <c r="H464" s="2" t="s">
        <v>29</v>
      </c>
      <c r="I464" s="2" t="s">
        <v>49</v>
      </c>
      <c r="J464" s="2" t="s">
        <v>102</v>
      </c>
      <c r="K464" s="2" t="s">
        <v>32</v>
      </c>
      <c r="L464" s="2" t="s">
        <v>33</v>
      </c>
      <c r="M464" s="8">
        <v>45017</v>
      </c>
      <c r="N464" s="2" t="s">
        <v>1214</v>
      </c>
      <c r="O464" s="8">
        <v>45017</v>
      </c>
      <c r="P464" s="8">
        <v>45020</v>
      </c>
      <c r="Q464" s="2" t="s">
        <v>41</v>
      </c>
      <c r="R464" s="2" t="s">
        <v>104</v>
      </c>
      <c r="S464" s="2">
        <v>637566</v>
      </c>
      <c r="T464" s="2" t="s">
        <v>109</v>
      </c>
      <c r="U464" s="2" t="s">
        <v>110</v>
      </c>
      <c r="V464" s="2" t="s">
        <v>1215</v>
      </c>
      <c r="W464" s="2">
        <v>9</v>
      </c>
      <c r="X464" s="4">
        <v>0</v>
      </c>
      <c r="Y464" s="3">
        <v>848.59</v>
      </c>
    </row>
    <row r="465" spans="1:25" x14ac:dyDescent="0.3">
      <c r="A465" s="2" t="s">
        <v>1213</v>
      </c>
      <c r="B465" s="2" t="s">
        <v>467</v>
      </c>
      <c r="C465" s="2" t="s">
        <v>162</v>
      </c>
      <c r="D465" s="8">
        <v>30949</v>
      </c>
      <c r="E465" s="3">
        <v>2309.1799999999998</v>
      </c>
      <c r="F465" s="2">
        <v>2023</v>
      </c>
      <c r="G465" s="2" t="s">
        <v>87</v>
      </c>
      <c r="H465" s="2" t="s">
        <v>29</v>
      </c>
      <c r="I465" s="2" t="s">
        <v>92</v>
      </c>
      <c r="J465" s="2" t="s">
        <v>102</v>
      </c>
      <c r="K465" s="2" t="s">
        <v>32</v>
      </c>
      <c r="L465" s="2" t="s">
        <v>33</v>
      </c>
      <c r="M465" s="8">
        <v>45178</v>
      </c>
      <c r="N465" s="2" t="s">
        <v>1216</v>
      </c>
      <c r="O465" s="8">
        <v>45178</v>
      </c>
      <c r="P465" s="8">
        <v>45180</v>
      </c>
      <c r="Q465" s="2" t="s">
        <v>74</v>
      </c>
      <c r="R465" s="2" t="s">
        <v>104</v>
      </c>
      <c r="S465" s="2">
        <v>862285</v>
      </c>
      <c r="T465" s="2" t="s">
        <v>94</v>
      </c>
      <c r="U465" s="2" t="s">
        <v>95</v>
      </c>
      <c r="V465" s="2" t="s">
        <v>1217</v>
      </c>
      <c r="W465" s="2">
        <v>6</v>
      </c>
      <c r="X465" s="4">
        <v>0.2</v>
      </c>
      <c r="Y465" s="3">
        <v>319.56</v>
      </c>
    </row>
    <row r="466" spans="1:25" x14ac:dyDescent="0.3">
      <c r="A466" s="2" t="s">
        <v>1213</v>
      </c>
      <c r="B466" s="2" t="s">
        <v>467</v>
      </c>
      <c r="C466" s="2" t="s">
        <v>162</v>
      </c>
      <c r="D466" s="8">
        <v>30949</v>
      </c>
      <c r="E466" s="3">
        <v>2142.0700000000002</v>
      </c>
      <c r="F466" s="2">
        <v>2024</v>
      </c>
      <c r="G466" s="2" t="s">
        <v>28</v>
      </c>
      <c r="H466" s="2" t="s">
        <v>29</v>
      </c>
      <c r="I466" s="2" t="s">
        <v>30</v>
      </c>
      <c r="J466" s="2" t="s">
        <v>102</v>
      </c>
      <c r="K466" s="2" t="s">
        <v>32</v>
      </c>
      <c r="L466" s="2" t="s">
        <v>33</v>
      </c>
      <c r="M466" s="8">
        <v>45410</v>
      </c>
      <c r="N466" s="2" t="s">
        <v>1218</v>
      </c>
      <c r="O466" s="8">
        <v>45410</v>
      </c>
      <c r="P466" s="8">
        <v>45413</v>
      </c>
      <c r="Q466" s="2" t="s">
        <v>41</v>
      </c>
      <c r="R466" s="2" t="s">
        <v>104</v>
      </c>
      <c r="S466" s="2">
        <v>186518</v>
      </c>
      <c r="T466" s="2" t="s">
        <v>37</v>
      </c>
      <c r="U466" s="2" t="s">
        <v>38</v>
      </c>
      <c r="V466" s="2" t="s">
        <v>1219</v>
      </c>
      <c r="W466" s="2">
        <v>8</v>
      </c>
      <c r="X466" s="4">
        <v>0.1</v>
      </c>
      <c r="Y466" s="3">
        <v>140.28</v>
      </c>
    </row>
    <row r="467" spans="1:25" x14ac:dyDescent="0.3">
      <c r="A467" s="2" t="s">
        <v>1213</v>
      </c>
      <c r="B467" s="2" t="s">
        <v>467</v>
      </c>
      <c r="C467" s="2" t="s">
        <v>162</v>
      </c>
      <c r="D467" s="8">
        <v>30949</v>
      </c>
      <c r="E467" s="3">
        <v>634.41</v>
      </c>
      <c r="F467" s="2">
        <v>2024</v>
      </c>
      <c r="G467" s="2" t="s">
        <v>87</v>
      </c>
      <c r="H467" s="2" t="s">
        <v>29</v>
      </c>
      <c r="I467" s="2" t="s">
        <v>61</v>
      </c>
      <c r="J467" s="2" t="s">
        <v>102</v>
      </c>
      <c r="K467" s="2" t="s">
        <v>32</v>
      </c>
      <c r="L467" s="2" t="s">
        <v>33</v>
      </c>
      <c r="M467" s="8">
        <v>45572</v>
      </c>
      <c r="N467" s="2" t="s">
        <v>1220</v>
      </c>
      <c r="O467" s="8">
        <v>45572</v>
      </c>
      <c r="P467" s="8">
        <v>45575</v>
      </c>
      <c r="Q467" s="2" t="s">
        <v>35</v>
      </c>
      <c r="R467" s="2" t="s">
        <v>104</v>
      </c>
      <c r="S467" s="2">
        <v>733152</v>
      </c>
      <c r="T467" s="2" t="s">
        <v>312</v>
      </c>
      <c r="U467" s="2" t="s">
        <v>313</v>
      </c>
      <c r="V467" s="2" t="s">
        <v>1221</v>
      </c>
      <c r="W467" s="2">
        <v>5</v>
      </c>
      <c r="X467" s="4">
        <v>0.1</v>
      </c>
      <c r="Y467" s="3">
        <v>85.2</v>
      </c>
    </row>
    <row r="468" spans="1:25" x14ac:dyDescent="0.3">
      <c r="A468" s="2" t="s">
        <v>1213</v>
      </c>
      <c r="B468" s="2" t="s">
        <v>467</v>
      </c>
      <c r="C468" s="2" t="s">
        <v>162</v>
      </c>
      <c r="D468" s="8">
        <v>30949</v>
      </c>
      <c r="E468" s="3">
        <v>1579.92</v>
      </c>
      <c r="F468" s="2">
        <v>2024</v>
      </c>
      <c r="G468" s="2" t="s">
        <v>48</v>
      </c>
      <c r="H468" s="2" t="s">
        <v>29</v>
      </c>
      <c r="I468" s="2" t="s">
        <v>61</v>
      </c>
      <c r="J468" s="2" t="s">
        <v>102</v>
      </c>
      <c r="K468" s="2" t="s">
        <v>32</v>
      </c>
      <c r="L468" s="2" t="s">
        <v>33</v>
      </c>
      <c r="M468" s="8">
        <v>45607</v>
      </c>
      <c r="N468" s="2" t="s">
        <v>1222</v>
      </c>
      <c r="O468" s="8">
        <v>45606</v>
      </c>
      <c r="P468" s="8">
        <v>45608</v>
      </c>
      <c r="Q468" s="2" t="s">
        <v>35</v>
      </c>
      <c r="R468" s="2" t="s">
        <v>104</v>
      </c>
      <c r="S468" s="2">
        <v>459502</v>
      </c>
      <c r="T468" s="2" t="s">
        <v>66</v>
      </c>
      <c r="U468" s="2" t="s">
        <v>67</v>
      </c>
      <c r="V468" s="2" t="s">
        <v>1223</v>
      </c>
      <c r="W468" s="2">
        <v>8</v>
      </c>
      <c r="X468" s="4">
        <v>0</v>
      </c>
      <c r="Y468" s="3">
        <v>202.82</v>
      </c>
    </row>
    <row r="469" spans="1:25" x14ac:dyDescent="0.3">
      <c r="A469" s="2" t="s">
        <v>1213</v>
      </c>
      <c r="B469" s="2" t="s">
        <v>467</v>
      </c>
      <c r="C469" s="2" t="s">
        <v>162</v>
      </c>
      <c r="D469" s="8">
        <v>30949</v>
      </c>
      <c r="E469" s="3">
        <v>1012.92</v>
      </c>
      <c r="F469" s="2">
        <v>2025</v>
      </c>
      <c r="G469" s="2" t="s">
        <v>87</v>
      </c>
      <c r="H469" s="2" t="s">
        <v>29</v>
      </c>
      <c r="I469" s="2" t="s">
        <v>78</v>
      </c>
      <c r="J469" s="2" t="s">
        <v>102</v>
      </c>
      <c r="K469" s="2" t="s">
        <v>32</v>
      </c>
      <c r="L469" s="2" t="s">
        <v>33</v>
      </c>
      <c r="M469" s="8">
        <v>45687</v>
      </c>
      <c r="N469" s="2" t="s">
        <v>1224</v>
      </c>
      <c r="O469" s="8">
        <v>45686</v>
      </c>
      <c r="P469" s="8">
        <v>45690</v>
      </c>
      <c r="Q469" s="2" t="s">
        <v>41</v>
      </c>
      <c r="R469" s="2" t="s">
        <v>104</v>
      </c>
      <c r="S469" s="2">
        <v>861265</v>
      </c>
      <c r="T469" s="2" t="s">
        <v>89</v>
      </c>
      <c r="U469" s="2" t="s">
        <v>90</v>
      </c>
      <c r="V469" s="2" t="s">
        <v>1225</v>
      </c>
      <c r="W469" s="2">
        <v>3</v>
      </c>
      <c r="X469" s="4">
        <v>0.2</v>
      </c>
      <c r="Y469" s="3">
        <v>352.57</v>
      </c>
    </row>
    <row r="470" spans="1:25" x14ac:dyDescent="0.3">
      <c r="A470" s="2" t="s">
        <v>1226</v>
      </c>
      <c r="B470" s="2" t="s">
        <v>650</v>
      </c>
      <c r="C470" s="2" t="s">
        <v>176</v>
      </c>
      <c r="D470" s="8">
        <v>28981</v>
      </c>
      <c r="E470" s="3">
        <v>1913.15</v>
      </c>
      <c r="F470" s="2">
        <v>2023</v>
      </c>
      <c r="G470" s="2" t="s">
        <v>28</v>
      </c>
      <c r="H470" s="2" t="s">
        <v>29</v>
      </c>
      <c r="I470" s="2" t="s">
        <v>43</v>
      </c>
      <c r="J470" s="2" t="s">
        <v>62</v>
      </c>
      <c r="K470" s="2" t="s">
        <v>32</v>
      </c>
      <c r="L470" s="2" t="s">
        <v>33</v>
      </c>
      <c r="M470" s="8">
        <v>45145</v>
      </c>
      <c r="N470" s="2" t="s">
        <v>1227</v>
      </c>
      <c r="O470" s="8">
        <v>45142</v>
      </c>
      <c r="P470" s="8">
        <v>45146</v>
      </c>
      <c r="Q470" s="2" t="s">
        <v>74</v>
      </c>
      <c r="R470" s="2" t="s">
        <v>65</v>
      </c>
      <c r="S470" s="2">
        <v>599401</v>
      </c>
      <c r="T470" s="2" t="s">
        <v>45</v>
      </c>
      <c r="U470" s="2" t="s">
        <v>46</v>
      </c>
      <c r="V470" s="2" t="s">
        <v>702</v>
      </c>
      <c r="W470" s="2">
        <v>5</v>
      </c>
      <c r="X470" s="4">
        <v>0</v>
      </c>
      <c r="Y470" s="3">
        <v>125.8</v>
      </c>
    </row>
    <row r="471" spans="1:25" x14ac:dyDescent="0.3">
      <c r="A471" s="2" t="s">
        <v>1226</v>
      </c>
      <c r="B471" s="2" t="s">
        <v>650</v>
      </c>
      <c r="C471" s="2" t="s">
        <v>176</v>
      </c>
      <c r="D471" s="8">
        <v>28981</v>
      </c>
      <c r="E471" s="3">
        <v>2314.73</v>
      </c>
      <c r="F471" s="2">
        <v>2024</v>
      </c>
      <c r="G471" s="2" t="s">
        <v>28</v>
      </c>
      <c r="H471" s="2" t="s">
        <v>29</v>
      </c>
      <c r="I471" s="2" t="s">
        <v>49</v>
      </c>
      <c r="J471" s="2" t="s">
        <v>62</v>
      </c>
      <c r="K471" s="2" t="s">
        <v>32</v>
      </c>
      <c r="L471" s="2" t="s">
        <v>33</v>
      </c>
      <c r="M471" s="8">
        <v>45520</v>
      </c>
      <c r="N471" s="2" t="s">
        <v>1228</v>
      </c>
      <c r="O471" s="8">
        <v>45518</v>
      </c>
      <c r="P471" s="8">
        <v>45520</v>
      </c>
      <c r="Q471" s="2" t="s">
        <v>35</v>
      </c>
      <c r="R471" s="2" t="s">
        <v>65</v>
      </c>
      <c r="S471" s="2">
        <v>402820</v>
      </c>
      <c r="T471" s="2" t="s">
        <v>51</v>
      </c>
      <c r="U471" s="2" t="s">
        <v>52</v>
      </c>
      <c r="V471" s="2" t="s">
        <v>1229</v>
      </c>
      <c r="W471" s="2">
        <v>7</v>
      </c>
      <c r="X471" s="4">
        <v>0.05</v>
      </c>
      <c r="Y471" s="3">
        <v>445.3</v>
      </c>
    </row>
    <row r="472" spans="1:25" x14ac:dyDescent="0.3">
      <c r="A472" s="2" t="s">
        <v>1226</v>
      </c>
      <c r="B472" s="2" t="s">
        <v>650</v>
      </c>
      <c r="C472" s="2" t="s">
        <v>176</v>
      </c>
      <c r="D472" s="8">
        <v>28981</v>
      </c>
      <c r="E472" s="3">
        <v>2456.41</v>
      </c>
      <c r="F472" s="2">
        <v>2025</v>
      </c>
      <c r="G472" s="2" t="s">
        <v>28</v>
      </c>
      <c r="H472" s="2" t="s">
        <v>29</v>
      </c>
      <c r="I472" s="2" t="s">
        <v>92</v>
      </c>
      <c r="J472" s="2" t="s">
        <v>62</v>
      </c>
      <c r="K472" s="2" t="s">
        <v>32</v>
      </c>
      <c r="L472" s="2" t="s">
        <v>33</v>
      </c>
      <c r="M472" s="8">
        <v>45679</v>
      </c>
      <c r="N472" s="2" t="s">
        <v>1230</v>
      </c>
      <c r="O472" s="8">
        <v>45678</v>
      </c>
      <c r="P472" s="8">
        <v>45679</v>
      </c>
      <c r="Q472" s="2" t="s">
        <v>74</v>
      </c>
      <c r="R472" s="2" t="s">
        <v>65</v>
      </c>
      <c r="S472" s="2">
        <v>451238</v>
      </c>
      <c r="T472" s="2" t="s">
        <v>127</v>
      </c>
      <c r="U472" s="2" t="s">
        <v>128</v>
      </c>
      <c r="V472" s="2" t="s">
        <v>1231</v>
      </c>
      <c r="W472" s="2">
        <v>6</v>
      </c>
      <c r="X472" s="4">
        <v>0.15</v>
      </c>
      <c r="Y472" s="3">
        <v>827.22</v>
      </c>
    </row>
    <row r="473" spans="1:25" x14ac:dyDescent="0.3">
      <c r="A473" s="2" t="s">
        <v>1226</v>
      </c>
      <c r="B473" s="2" t="s">
        <v>650</v>
      </c>
      <c r="C473" s="2" t="s">
        <v>176</v>
      </c>
      <c r="D473" s="8">
        <v>28981</v>
      </c>
      <c r="E473" s="3">
        <v>256.63</v>
      </c>
      <c r="F473" s="2">
        <v>2025</v>
      </c>
      <c r="G473" s="2" t="s">
        <v>87</v>
      </c>
      <c r="H473" s="2" t="s">
        <v>29</v>
      </c>
      <c r="I473" s="2" t="s">
        <v>43</v>
      </c>
      <c r="J473" s="2" t="s">
        <v>62</v>
      </c>
      <c r="K473" s="2" t="s">
        <v>32</v>
      </c>
      <c r="L473" s="2" t="s">
        <v>33</v>
      </c>
      <c r="M473" s="8">
        <v>45791</v>
      </c>
      <c r="N473" s="2" t="s">
        <v>1232</v>
      </c>
      <c r="O473" s="8">
        <v>45789</v>
      </c>
      <c r="P473" s="8">
        <v>45791</v>
      </c>
      <c r="Q473" s="2" t="s">
        <v>121</v>
      </c>
      <c r="R473" s="2" t="s">
        <v>65</v>
      </c>
      <c r="S473" s="2">
        <v>645209</v>
      </c>
      <c r="T473" s="2" t="s">
        <v>153</v>
      </c>
      <c r="U473" s="2" t="s">
        <v>154</v>
      </c>
      <c r="V473" s="2" t="s">
        <v>1233</v>
      </c>
      <c r="W473" s="2">
        <v>2</v>
      </c>
      <c r="X473" s="4">
        <v>0.1</v>
      </c>
      <c r="Y473" s="3">
        <v>42.95</v>
      </c>
    </row>
    <row r="474" spans="1:25" x14ac:dyDescent="0.3">
      <c r="A474" s="2" t="s">
        <v>1234</v>
      </c>
      <c r="B474" s="2" t="s">
        <v>375</v>
      </c>
      <c r="C474" s="2" t="s">
        <v>284</v>
      </c>
      <c r="D474" s="8">
        <v>30018</v>
      </c>
      <c r="E474" s="3">
        <v>419.21</v>
      </c>
      <c r="F474" s="2">
        <v>2023</v>
      </c>
      <c r="G474" s="2" t="s">
        <v>87</v>
      </c>
      <c r="H474" s="2" t="s">
        <v>163</v>
      </c>
      <c r="I474" s="2" t="s">
        <v>30</v>
      </c>
      <c r="J474" s="2" t="s">
        <v>102</v>
      </c>
      <c r="K474" s="2" t="s">
        <v>32</v>
      </c>
      <c r="L474" s="2" t="s">
        <v>33</v>
      </c>
      <c r="M474" s="8">
        <v>45111</v>
      </c>
      <c r="N474" s="2" t="s">
        <v>1235</v>
      </c>
      <c r="O474" s="8">
        <v>45111</v>
      </c>
      <c r="P474" s="8">
        <v>45116</v>
      </c>
      <c r="Q474" s="2" t="s">
        <v>41</v>
      </c>
      <c r="R474" s="2" t="s">
        <v>178</v>
      </c>
      <c r="S474" s="2">
        <v>468591</v>
      </c>
      <c r="T474" s="2" t="s">
        <v>75</v>
      </c>
      <c r="U474" s="2" t="s">
        <v>76</v>
      </c>
      <c r="V474" s="2" t="s">
        <v>1236</v>
      </c>
      <c r="W474" s="2">
        <v>1</v>
      </c>
      <c r="X474" s="4">
        <v>0</v>
      </c>
      <c r="Y474" s="3">
        <v>72.680000000000007</v>
      </c>
    </row>
    <row r="475" spans="1:25" x14ac:dyDescent="0.3">
      <c r="A475" s="2" t="s">
        <v>1234</v>
      </c>
      <c r="B475" s="2" t="s">
        <v>375</v>
      </c>
      <c r="C475" s="2" t="s">
        <v>284</v>
      </c>
      <c r="D475" s="8">
        <v>30018</v>
      </c>
      <c r="E475" s="3">
        <v>130.82</v>
      </c>
      <c r="F475" s="2">
        <v>2023</v>
      </c>
      <c r="G475" s="2" t="s">
        <v>48</v>
      </c>
      <c r="H475" s="2" t="s">
        <v>163</v>
      </c>
      <c r="I475" s="2" t="s">
        <v>61</v>
      </c>
      <c r="J475" s="2" t="s">
        <v>102</v>
      </c>
      <c r="K475" s="2" t="s">
        <v>32</v>
      </c>
      <c r="L475" s="2" t="s">
        <v>33</v>
      </c>
      <c r="M475" s="8">
        <v>45252</v>
      </c>
      <c r="N475" s="2" t="s">
        <v>1237</v>
      </c>
      <c r="O475" s="8">
        <v>45247</v>
      </c>
      <c r="P475" s="8">
        <v>45252</v>
      </c>
      <c r="Q475" s="2" t="s">
        <v>35</v>
      </c>
      <c r="R475" s="2" t="s">
        <v>178</v>
      </c>
      <c r="S475" s="2">
        <v>842470</v>
      </c>
      <c r="T475" s="2" t="s">
        <v>204</v>
      </c>
      <c r="U475" s="2" t="s">
        <v>205</v>
      </c>
      <c r="V475" s="2" t="s">
        <v>1238</v>
      </c>
      <c r="W475" s="2">
        <v>4</v>
      </c>
      <c r="X475" s="4">
        <v>0.1</v>
      </c>
      <c r="Y475" s="3">
        <v>10.15</v>
      </c>
    </row>
    <row r="476" spans="1:25" x14ac:dyDescent="0.3">
      <c r="A476" s="2" t="s">
        <v>1234</v>
      </c>
      <c r="B476" s="2" t="s">
        <v>375</v>
      </c>
      <c r="C476" s="2" t="s">
        <v>284</v>
      </c>
      <c r="D476" s="8">
        <v>30018</v>
      </c>
      <c r="E476" s="3">
        <v>700.06</v>
      </c>
      <c r="F476" s="2">
        <v>2024</v>
      </c>
      <c r="G476" s="2" t="s">
        <v>48</v>
      </c>
      <c r="H476" s="2" t="s">
        <v>163</v>
      </c>
      <c r="I476" s="2" t="s">
        <v>78</v>
      </c>
      <c r="J476" s="2" t="s">
        <v>102</v>
      </c>
      <c r="K476" s="2" t="s">
        <v>32</v>
      </c>
      <c r="L476" s="2" t="s">
        <v>33</v>
      </c>
      <c r="M476" s="8">
        <v>45634</v>
      </c>
      <c r="N476" s="2" t="s">
        <v>1239</v>
      </c>
      <c r="O476" s="8">
        <v>45633</v>
      </c>
      <c r="P476" s="8">
        <v>45638</v>
      </c>
      <c r="Q476" s="2" t="s">
        <v>121</v>
      </c>
      <c r="R476" s="2" t="s">
        <v>178</v>
      </c>
      <c r="S476" s="2">
        <v>365641</v>
      </c>
      <c r="T476" s="2" t="s">
        <v>135</v>
      </c>
      <c r="U476" s="2" t="s">
        <v>136</v>
      </c>
      <c r="V476" s="2" t="s">
        <v>1240</v>
      </c>
      <c r="W476" s="2">
        <v>10</v>
      </c>
      <c r="X476" s="4">
        <v>0.15</v>
      </c>
      <c r="Y476" s="3">
        <v>195.43</v>
      </c>
    </row>
    <row r="477" spans="1:25" x14ac:dyDescent="0.3">
      <c r="A477" s="2" t="s">
        <v>1241</v>
      </c>
      <c r="B477" s="2" t="s">
        <v>617</v>
      </c>
      <c r="C477" s="2" t="s">
        <v>348</v>
      </c>
      <c r="D477" s="8">
        <v>29164</v>
      </c>
      <c r="E477" s="3">
        <v>2096.0100000000002</v>
      </c>
      <c r="F477" s="2">
        <v>2023</v>
      </c>
      <c r="G477" s="2" t="s">
        <v>48</v>
      </c>
      <c r="H477" s="2" t="s">
        <v>29</v>
      </c>
      <c r="I477" s="2" t="s">
        <v>92</v>
      </c>
      <c r="J477" s="2" t="s">
        <v>62</v>
      </c>
      <c r="K477" s="2" t="s">
        <v>32</v>
      </c>
      <c r="L477" s="2" t="s">
        <v>144</v>
      </c>
      <c r="M477" s="8">
        <v>45006</v>
      </c>
      <c r="N477" s="2" t="s">
        <v>1242</v>
      </c>
      <c r="O477" s="8">
        <v>45004</v>
      </c>
      <c r="P477" s="8">
        <v>45007</v>
      </c>
      <c r="Q477" s="2" t="s">
        <v>35</v>
      </c>
      <c r="R477" s="2" t="s">
        <v>65</v>
      </c>
      <c r="S477" s="2">
        <v>390756</v>
      </c>
      <c r="T477" s="2" t="s">
        <v>94</v>
      </c>
      <c r="U477" s="2" t="s">
        <v>95</v>
      </c>
      <c r="V477" s="2" t="s">
        <v>1243</v>
      </c>
      <c r="W477" s="2">
        <v>7</v>
      </c>
      <c r="X477" s="4">
        <v>0.15</v>
      </c>
      <c r="Y477" s="3">
        <v>588.9</v>
      </c>
    </row>
    <row r="478" spans="1:25" x14ac:dyDescent="0.3">
      <c r="A478" s="2" t="s">
        <v>1241</v>
      </c>
      <c r="B478" s="2" t="s">
        <v>617</v>
      </c>
      <c r="C478" s="2" t="s">
        <v>348</v>
      </c>
      <c r="D478" s="8">
        <v>29164</v>
      </c>
      <c r="E478" s="3">
        <v>2988.36</v>
      </c>
      <c r="F478" s="2">
        <v>2024</v>
      </c>
      <c r="G478" s="2" t="s">
        <v>28</v>
      </c>
      <c r="H478" s="2" t="s">
        <v>29</v>
      </c>
      <c r="I478" s="2" t="s">
        <v>78</v>
      </c>
      <c r="J478" s="2" t="s">
        <v>62</v>
      </c>
      <c r="K478" s="2" t="s">
        <v>32</v>
      </c>
      <c r="L478" s="2" t="s">
        <v>144</v>
      </c>
      <c r="M478" s="8">
        <v>45582</v>
      </c>
      <c r="N478" s="2" t="s">
        <v>1244</v>
      </c>
      <c r="O478" s="8">
        <v>45581</v>
      </c>
      <c r="P478" s="8">
        <v>45584</v>
      </c>
      <c r="Q478" s="2" t="s">
        <v>35</v>
      </c>
      <c r="R478" s="2" t="s">
        <v>65</v>
      </c>
      <c r="S478" s="2">
        <v>615607</v>
      </c>
      <c r="T478" s="2" t="s">
        <v>80</v>
      </c>
      <c r="U478" s="2" t="s">
        <v>81</v>
      </c>
      <c r="V478" s="2" t="s">
        <v>1245</v>
      </c>
      <c r="W478" s="2">
        <v>6</v>
      </c>
      <c r="X478" s="4">
        <v>0</v>
      </c>
      <c r="Y478" s="3">
        <v>1006.13</v>
      </c>
    </row>
    <row r="479" spans="1:25" x14ac:dyDescent="0.3">
      <c r="A479" s="2" t="s">
        <v>1241</v>
      </c>
      <c r="B479" s="2" t="s">
        <v>617</v>
      </c>
      <c r="C479" s="2" t="s">
        <v>348</v>
      </c>
      <c r="D479" s="8">
        <v>29164</v>
      </c>
      <c r="E479" s="3">
        <v>518.76</v>
      </c>
      <c r="F479" s="2">
        <v>2024</v>
      </c>
      <c r="G479" s="2" t="s">
        <v>87</v>
      </c>
      <c r="H479" s="2" t="s">
        <v>29</v>
      </c>
      <c r="I479" s="2" t="s">
        <v>61</v>
      </c>
      <c r="J479" s="2" t="s">
        <v>62</v>
      </c>
      <c r="K479" s="2" t="s">
        <v>32</v>
      </c>
      <c r="L479" s="2" t="s">
        <v>144</v>
      </c>
      <c r="M479" s="8">
        <v>45605</v>
      </c>
      <c r="N479" s="2" t="s">
        <v>1246</v>
      </c>
      <c r="O479" s="8">
        <v>45603</v>
      </c>
      <c r="P479" s="8">
        <v>45605</v>
      </c>
      <c r="Q479" s="2" t="s">
        <v>35</v>
      </c>
      <c r="R479" s="2" t="s">
        <v>65</v>
      </c>
      <c r="S479" s="2">
        <v>563031</v>
      </c>
      <c r="T479" s="2" t="s">
        <v>113</v>
      </c>
      <c r="U479" s="2" t="s">
        <v>114</v>
      </c>
      <c r="V479" s="2" t="s">
        <v>1247</v>
      </c>
      <c r="W479" s="2">
        <v>8</v>
      </c>
      <c r="X479" s="4">
        <v>0.1</v>
      </c>
      <c r="Y479" s="3">
        <v>145.57</v>
      </c>
    </row>
    <row r="480" spans="1:25" x14ac:dyDescent="0.3">
      <c r="A480" s="2" t="s">
        <v>1248</v>
      </c>
      <c r="B480" s="2" t="s">
        <v>1249</v>
      </c>
      <c r="C480" s="2" t="s">
        <v>322</v>
      </c>
      <c r="D480" s="8">
        <v>37389</v>
      </c>
      <c r="E480" s="3">
        <v>220.48</v>
      </c>
      <c r="F480" s="2">
        <v>2023</v>
      </c>
      <c r="G480" s="2" t="s">
        <v>87</v>
      </c>
      <c r="H480" s="2" t="s">
        <v>29</v>
      </c>
      <c r="I480" s="2" t="s">
        <v>49</v>
      </c>
      <c r="J480" s="2" t="s">
        <v>143</v>
      </c>
      <c r="K480" s="2" t="s">
        <v>32</v>
      </c>
      <c r="L480" s="2" t="s">
        <v>63</v>
      </c>
      <c r="M480" s="8">
        <v>44962</v>
      </c>
      <c r="N480" s="2" t="s">
        <v>1250</v>
      </c>
      <c r="O480" s="8">
        <v>44962</v>
      </c>
      <c r="P480" s="8">
        <v>44963</v>
      </c>
      <c r="Q480" s="2" t="s">
        <v>41</v>
      </c>
      <c r="R480" s="2" t="s">
        <v>146</v>
      </c>
      <c r="S480" s="2">
        <v>379378</v>
      </c>
      <c r="T480" s="2" t="s">
        <v>84</v>
      </c>
      <c r="U480" s="2" t="s">
        <v>85</v>
      </c>
      <c r="V480" s="2" t="s">
        <v>1251</v>
      </c>
      <c r="W480" s="2">
        <v>8</v>
      </c>
      <c r="X480" s="4">
        <v>0.05</v>
      </c>
      <c r="Y480" s="3">
        <v>20.87</v>
      </c>
    </row>
    <row r="481" spans="1:25" x14ac:dyDescent="0.3">
      <c r="A481" s="2" t="s">
        <v>1248</v>
      </c>
      <c r="B481" s="2" t="s">
        <v>1249</v>
      </c>
      <c r="C481" s="2" t="s">
        <v>322</v>
      </c>
      <c r="D481" s="8">
        <v>37389</v>
      </c>
      <c r="E481" s="3">
        <v>185.13</v>
      </c>
      <c r="F481" s="2">
        <v>2023</v>
      </c>
      <c r="G481" s="2" t="s">
        <v>28</v>
      </c>
      <c r="H481" s="2" t="s">
        <v>29</v>
      </c>
      <c r="I481" s="2" t="s">
        <v>61</v>
      </c>
      <c r="J481" s="2" t="s">
        <v>143</v>
      </c>
      <c r="K481" s="2" t="s">
        <v>32</v>
      </c>
      <c r="L481" s="2" t="s">
        <v>63</v>
      </c>
      <c r="M481" s="8">
        <v>45002</v>
      </c>
      <c r="N481" s="2" t="s">
        <v>1252</v>
      </c>
      <c r="O481" s="8">
        <v>44999</v>
      </c>
      <c r="P481" s="8">
        <v>45003</v>
      </c>
      <c r="Q481" s="2" t="s">
        <v>41</v>
      </c>
      <c r="R481" s="2" t="s">
        <v>146</v>
      </c>
      <c r="S481" s="2">
        <v>985049</v>
      </c>
      <c r="T481" s="2" t="s">
        <v>204</v>
      </c>
      <c r="U481" s="2" t="s">
        <v>205</v>
      </c>
      <c r="V481" s="2" t="s">
        <v>1253</v>
      </c>
      <c r="W481" s="2">
        <v>10</v>
      </c>
      <c r="X481" s="4">
        <v>0.15</v>
      </c>
      <c r="Y481" s="3">
        <v>61.46</v>
      </c>
    </row>
    <row r="482" spans="1:25" x14ac:dyDescent="0.3">
      <c r="A482" s="2" t="s">
        <v>1248</v>
      </c>
      <c r="B482" s="2" t="s">
        <v>1249</v>
      </c>
      <c r="C482" s="2" t="s">
        <v>322</v>
      </c>
      <c r="D482" s="8">
        <v>37389</v>
      </c>
      <c r="E482" s="3">
        <v>73.41</v>
      </c>
      <c r="F482" s="2">
        <v>2023</v>
      </c>
      <c r="G482" s="2" t="s">
        <v>87</v>
      </c>
      <c r="H482" s="2" t="s">
        <v>29</v>
      </c>
      <c r="I482" s="2" t="s">
        <v>49</v>
      </c>
      <c r="J482" s="2" t="s">
        <v>143</v>
      </c>
      <c r="K482" s="2" t="s">
        <v>32</v>
      </c>
      <c r="L482" s="2" t="s">
        <v>63</v>
      </c>
      <c r="M482" s="8">
        <v>45001</v>
      </c>
      <c r="N482" s="2" t="s">
        <v>1254</v>
      </c>
      <c r="O482" s="8">
        <v>45001</v>
      </c>
      <c r="P482" s="8">
        <v>45005</v>
      </c>
      <c r="Q482" s="2" t="s">
        <v>74</v>
      </c>
      <c r="R482" s="2" t="s">
        <v>146</v>
      </c>
      <c r="S482" s="2">
        <v>449636</v>
      </c>
      <c r="T482" s="2" t="s">
        <v>109</v>
      </c>
      <c r="U482" s="2" t="s">
        <v>110</v>
      </c>
      <c r="V482" s="2" t="s">
        <v>1255</v>
      </c>
      <c r="W482" s="2">
        <v>4</v>
      </c>
      <c r="X482" s="4">
        <v>0.15</v>
      </c>
      <c r="Y482" s="3">
        <v>21.68</v>
      </c>
    </row>
    <row r="483" spans="1:25" x14ac:dyDescent="0.3">
      <c r="A483" s="2" t="s">
        <v>1248</v>
      </c>
      <c r="B483" s="2" t="s">
        <v>1249</v>
      </c>
      <c r="C483" s="2" t="s">
        <v>322</v>
      </c>
      <c r="D483" s="8">
        <v>37389</v>
      </c>
      <c r="E483" s="3">
        <v>274.97000000000003</v>
      </c>
      <c r="F483" s="2">
        <v>2023</v>
      </c>
      <c r="G483" s="2" t="s">
        <v>48</v>
      </c>
      <c r="H483" s="2" t="s">
        <v>29</v>
      </c>
      <c r="I483" s="2" t="s">
        <v>49</v>
      </c>
      <c r="J483" s="2" t="s">
        <v>143</v>
      </c>
      <c r="K483" s="2" t="s">
        <v>32</v>
      </c>
      <c r="L483" s="2" t="s">
        <v>63</v>
      </c>
      <c r="M483" s="8">
        <v>45034</v>
      </c>
      <c r="N483" s="2" t="s">
        <v>1256</v>
      </c>
      <c r="O483" s="8">
        <v>45032</v>
      </c>
      <c r="P483" s="8">
        <v>45037</v>
      </c>
      <c r="Q483" s="2" t="s">
        <v>41</v>
      </c>
      <c r="R483" s="2" t="s">
        <v>146</v>
      </c>
      <c r="S483" s="2">
        <v>897392</v>
      </c>
      <c r="T483" s="2" t="s">
        <v>84</v>
      </c>
      <c r="U483" s="2" t="s">
        <v>85</v>
      </c>
      <c r="V483" s="2" t="s">
        <v>1257</v>
      </c>
      <c r="W483" s="2">
        <v>1</v>
      </c>
      <c r="X483" s="4">
        <v>0.15</v>
      </c>
      <c r="Y483" s="3">
        <v>21.23</v>
      </c>
    </row>
    <row r="484" spans="1:25" x14ac:dyDescent="0.3">
      <c r="A484" s="2" t="s">
        <v>1248</v>
      </c>
      <c r="B484" s="2" t="s">
        <v>1249</v>
      </c>
      <c r="C484" s="2" t="s">
        <v>322</v>
      </c>
      <c r="D484" s="8">
        <v>37389</v>
      </c>
      <c r="E484" s="3">
        <v>815.53</v>
      </c>
      <c r="F484" s="2">
        <v>2024</v>
      </c>
      <c r="G484" s="2" t="s">
        <v>48</v>
      </c>
      <c r="H484" s="2" t="s">
        <v>29</v>
      </c>
      <c r="I484" s="2" t="s">
        <v>43</v>
      </c>
      <c r="J484" s="2" t="s">
        <v>143</v>
      </c>
      <c r="K484" s="2" t="s">
        <v>32</v>
      </c>
      <c r="L484" s="2" t="s">
        <v>63</v>
      </c>
      <c r="M484" s="8">
        <v>45515</v>
      </c>
      <c r="N484" s="2" t="s">
        <v>1258</v>
      </c>
      <c r="O484" s="8">
        <v>45512</v>
      </c>
      <c r="P484" s="8">
        <v>45515</v>
      </c>
      <c r="Q484" s="2" t="s">
        <v>74</v>
      </c>
      <c r="R484" s="2" t="s">
        <v>146</v>
      </c>
      <c r="S484" s="2">
        <v>610135</v>
      </c>
      <c r="T484" s="2" t="s">
        <v>70</v>
      </c>
      <c r="U484" s="2" t="s">
        <v>71</v>
      </c>
      <c r="V484" s="2" t="s">
        <v>1259</v>
      </c>
      <c r="W484" s="2">
        <v>3</v>
      </c>
      <c r="X484" s="4">
        <v>0.05</v>
      </c>
      <c r="Y484" s="3">
        <v>202.43</v>
      </c>
    </row>
    <row r="485" spans="1:25" x14ac:dyDescent="0.3">
      <c r="A485" s="2" t="s">
        <v>1260</v>
      </c>
      <c r="B485" s="2" t="s">
        <v>684</v>
      </c>
      <c r="C485" s="2" t="s">
        <v>964</v>
      </c>
      <c r="D485" s="8">
        <v>36286</v>
      </c>
      <c r="E485" s="3">
        <v>95.78</v>
      </c>
      <c r="F485" s="2">
        <v>2024</v>
      </c>
      <c r="G485" s="2" t="s">
        <v>28</v>
      </c>
      <c r="H485" s="2" t="s">
        <v>29</v>
      </c>
      <c r="I485" s="2" t="s">
        <v>92</v>
      </c>
      <c r="J485" s="2" t="s">
        <v>227</v>
      </c>
      <c r="K485" s="2" t="s">
        <v>32</v>
      </c>
      <c r="L485" s="2" t="s">
        <v>144</v>
      </c>
      <c r="M485" s="8">
        <v>45575</v>
      </c>
      <c r="N485" s="2" t="s">
        <v>1261</v>
      </c>
      <c r="O485" s="8">
        <v>45574</v>
      </c>
      <c r="P485" s="8">
        <v>45576</v>
      </c>
      <c r="Q485" s="2" t="s">
        <v>35</v>
      </c>
      <c r="R485" s="2" t="s">
        <v>229</v>
      </c>
      <c r="S485" s="2">
        <v>931247</v>
      </c>
      <c r="T485" s="2" t="s">
        <v>147</v>
      </c>
      <c r="U485" s="2" t="s">
        <v>148</v>
      </c>
      <c r="V485" s="2" t="s">
        <v>1262</v>
      </c>
      <c r="W485" s="2">
        <v>1</v>
      </c>
      <c r="X485" s="4">
        <v>0.15</v>
      </c>
      <c r="Y485" s="3">
        <v>33.42</v>
      </c>
    </row>
    <row r="486" spans="1:25" x14ac:dyDescent="0.3">
      <c r="A486" s="2" t="s">
        <v>1263</v>
      </c>
      <c r="B486" s="2" t="s">
        <v>399</v>
      </c>
      <c r="C486" s="2" t="s">
        <v>897</v>
      </c>
      <c r="D486" s="8">
        <v>28635</v>
      </c>
      <c r="E486" s="3">
        <v>225.17</v>
      </c>
      <c r="F486" s="2">
        <v>2023</v>
      </c>
      <c r="G486" s="2" t="s">
        <v>48</v>
      </c>
      <c r="H486" s="2" t="s">
        <v>29</v>
      </c>
      <c r="I486" s="2" t="s">
        <v>92</v>
      </c>
      <c r="J486" s="2" t="s">
        <v>143</v>
      </c>
      <c r="K486" s="2" t="s">
        <v>32</v>
      </c>
      <c r="L486" s="2" t="s">
        <v>63</v>
      </c>
      <c r="M486" s="8">
        <v>45242</v>
      </c>
      <c r="N486" s="2" t="s">
        <v>1264</v>
      </c>
      <c r="O486" s="8">
        <v>45242</v>
      </c>
      <c r="P486" s="8">
        <v>45246</v>
      </c>
      <c r="Q486" s="2" t="s">
        <v>41</v>
      </c>
      <c r="R486" s="2" t="s">
        <v>250</v>
      </c>
      <c r="S486" s="2">
        <v>811016</v>
      </c>
      <c r="T486" s="2" t="s">
        <v>187</v>
      </c>
      <c r="U486" s="2" t="s">
        <v>188</v>
      </c>
      <c r="V486" s="2" t="s">
        <v>1265</v>
      </c>
      <c r="W486" s="2">
        <v>6</v>
      </c>
      <c r="X486" s="4">
        <v>0.2</v>
      </c>
      <c r="Y486" s="3">
        <v>59.96</v>
      </c>
    </row>
    <row r="487" spans="1:25" x14ac:dyDescent="0.3">
      <c r="A487" s="2" t="s">
        <v>1263</v>
      </c>
      <c r="B487" s="2" t="s">
        <v>399</v>
      </c>
      <c r="C487" s="2" t="s">
        <v>897</v>
      </c>
      <c r="D487" s="8">
        <v>28635</v>
      </c>
      <c r="E487" s="3">
        <v>1318.3</v>
      </c>
      <c r="F487" s="2">
        <v>2024</v>
      </c>
      <c r="G487" s="2" t="s">
        <v>87</v>
      </c>
      <c r="H487" s="2" t="s">
        <v>29</v>
      </c>
      <c r="I487" s="2" t="s">
        <v>30</v>
      </c>
      <c r="J487" s="2" t="s">
        <v>143</v>
      </c>
      <c r="K487" s="2" t="s">
        <v>32</v>
      </c>
      <c r="L487" s="2" t="s">
        <v>63</v>
      </c>
      <c r="M487" s="8">
        <v>45439</v>
      </c>
      <c r="N487" s="2" t="s">
        <v>1266</v>
      </c>
      <c r="O487" s="8">
        <v>45438</v>
      </c>
      <c r="P487" s="8">
        <v>45440</v>
      </c>
      <c r="Q487" s="2" t="s">
        <v>35</v>
      </c>
      <c r="R487" s="2" t="s">
        <v>250</v>
      </c>
      <c r="S487" s="2">
        <v>594109</v>
      </c>
      <c r="T487" s="2" t="s">
        <v>75</v>
      </c>
      <c r="U487" s="2" t="s">
        <v>76</v>
      </c>
      <c r="V487" s="2" t="s">
        <v>1267</v>
      </c>
      <c r="W487" s="2">
        <v>10</v>
      </c>
      <c r="X487" s="4">
        <v>0</v>
      </c>
      <c r="Y487" s="3">
        <v>80.5</v>
      </c>
    </row>
    <row r="488" spans="1:25" x14ac:dyDescent="0.3">
      <c r="A488" s="2" t="s">
        <v>1263</v>
      </c>
      <c r="B488" s="2" t="s">
        <v>399</v>
      </c>
      <c r="C488" s="2" t="s">
        <v>897</v>
      </c>
      <c r="D488" s="8">
        <v>28635</v>
      </c>
      <c r="E488" s="3">
        <v>68.59</v>
      </c>
      <c r="F488" s="2">
        <v>2024</v>
      </c>
      <c r="G488" s="2" t="s">
        <v>28</v>
      </c>
      <c r="H488" s="2" t="s">
        <v>29</v>
      </c>
      <c r="I488" s="2" t="s">
        <v>30</v>
      </c>
      <c r="J488" s="2" t="s">
        <v>143</v>
      </c>
      <c r="K488" s="2" t="s">
        <v>32</v>
      </c>
      <c r="L488" s="2" t="s">
        <v>63</v>
      </c>
      <c r="M488" s="8">
        <v>45473</v>
      </c>
      <c r="N488" s="2" t="s">
        <v>1268</v>
      </c>
      <c r="O488" s="8">
        <v>45473</v>
      </c>
      <c r="P488" s="8">
        <v>45476</v>
      </c>
      <c r="Q488" s="2" t="s">
        <v>121</v>
      </c>
      <c r="R488" s="2" t="s">
        <v>250</v>
      </c>
      <c r="S488" s="2">
        <v>975930</v>
      </c>
      <c r="T488" s="2" t="s">
        <v>75</v>
      </c>
      <c r="U488" s="2" t="s">
        <v>76</v>
      </c>
      <c r="V488" s="2" t="s">
        <v>1269</v>
      </c>
      <c r="W488" s="2">
        <v>3</v>
      </c>
      <c r="X488" s="4">
        <v>0.15</v>
      </c>
      <c r="Y488" s="3">
        <v>4.46</v>
      </c>
    </row>
    <row r="489" spans="1:25" x14ac:dyDescent="0.3">
      <c r="A489" s="2" t="s">
        <v>1263</v>
      </c>
      <c r="B489" s="2" t="s">
        <v>399</v>
      </c>
      <c r="C489" s="2" t="s">
        <v>897</v>
      </c>
      <c r="D489" s="8">
        <v>28635</v>
      </c>
      <c r="E489" s="3">
        <v>134.66</v>
      </c>
      <c r="F489" s="2">
        <v>2025</v>
      </c>
      <c r="G489" s="2" t="s">
        <v>48</v>
      </c>
      <c r="H489" s="2" t="s">
        <v>29</v>
      </c>
      <c r="I489" s="2" t="s">
        <v>30</v>
      </c>
      <c r="J489" s="2" t="s">
        <v>143</v>
      </c>
      <c r="K489" s="2" t="s">
        <v>32</v>
      </c>
      <c r="L489" s="2" t="s">
        <v>63</v>
      </c>
      <c r="M489" s="8">
        <v>45781</v>
      </c>
      <c r="N489" s="2" t="s">
        <v>1270</v>
      </c>
      <c r="O489" s="8">
        <v>45781</v>
      </c>
      <c r="P489" s="8">
        <v>45783</v>
      </c>
      <c r="Q489" s="2" t="s">
        <v>41</v>
      </c>
      <c r="R489" s="2" t="s">
        <v>250</v>
      </c>
      <c r="S489" s="2">
        <v>453729</v>
      </c>
      <c r="T489" s="2" t="s">
        <v>75</v>
      </c>
      <c r="U489" s="2" t="s">
        <v>76</v>
      </c>
      <c r="V489" s="2" t="s">
        <v>1271</v>
      </c>
      <c r="W489" s="2">
        <v>2</v>
      </c>
      <c r="X489" s="4">
        <v>0.1</v>
      </c>
      <c r="Y489" s="3">
        <v>39.020000000000003</v>
      </c>
    </row>
    <row r="490" spans="1:25" x14ac:dyDescent="0.3">
      <c r="A490" s="2" t="s">
        <v>1272</v>
      </c>
      <c r="B490" s="2" t="s">
        <v>830</v>
      </c>
      <c r="C490" s="2" t="s">
        <v>60</v>
      </c>
      <c r="D490" s="8">
        <v>32690</v>
      </c>
      <c r="E490" s="3">
        <v>2023.15</v>
      </c>
      <c r="F490" s="2">
        <v>2023</v>
      </c>
      <c r="G490" s="2" t="s">
        <v>28</v>
      </c>
      <c r="H490" s="2" t="s">
        <v>29</v>
      </c>
      <c r="I490" s="2" t="s">
        <v>30</v>
      </c>
      <c r="J490" s="2" t="s">
        <v>227</v>
      </c>
      <c r="K490" s="2" t="s">
        <v>32</v>
      </c>
      <c r="L490" s="2" t="s">
        <v>144</v>
      </c>
      <c r="M490" s="8">
        <v>45050</v>
      </c>
      <c r="N490" s="2" t="s">
        <v>1273</v>
      </c>
      <c r="O490" s="8">
        <v>45050</v>
      </c>
      <c r="P490" s="8">
        <v>45051</v>
      </c>
      <c r="Q490" s="2" t="s">
        <v>35</v>
      </c>
      <c r="R490" s="2" t="s">
        <v>738</v>
      </c>
      <c r="S490" s="2">
        <v>226610</v>
      </c>
      <c r="T490" s="2" t="s">
        <v>55</v>
      </c>
      <c r="U490" s="2" t="s">
        <v>56</v>
      </c>
      <c r="V490" s="2" t="s">
        <v>1274</v>
      </c>
      <c r="W490" s="2">
        <v>6</v>
      </c>
      <c r="X490" s="4">
        <v>0.2</v>
      </c>
      <c r="Y490" s="3">
        <v>230.58</v>
      </c>
    </row>
    <row r="491" spans="1:25" x14ac:dyDescent="0.3">
      <c r="A491" s="2" t="s">
        <v>1272</v>
      </c>
      <c r="B491" s="2" t="s">
        <v>830</v>
      </c>
      <c r="C491" s="2" t="s">
        <v>60</v>
      </c>
      <c r="D491" s="8">
        <v>32690</v>
      </c>
      <c r="E491" s="3">
        <v>704.62</v>
      </c>
      <c r="F491" s="2">
        <v>2023</v>
      </c>
      <c r="G491" s="2" t="s">
        <v>87</v>
      </c>
      <c r="H491" s="2" t="s">
        <v>29</v>
      </c>
      <c r="I491" s="2" t="s">
        <v>43</v>
      </c>
      <c r="J491" s="2" t="s">
        <v>227</v>
      </c>
      <c r="K491" s="2" t="s">
        <v>32</v>
      </c>
      <c r="L491" s="2" t="s">
        <v>144</v>
      </c>
      <c r="M491" s="8">
        <v>45260</v>
      </c>
      <c r="N491" s="2" t="s">
        <v>1275</v>
      </c>
      <c r="O491" s="8">
        <v>45259</v>
      </c>
      <c r="P491" s="8">
        <v>45263</v>
      </c>
      <c r="Q491" s="2" t="s">
        <v>35</v>
      </c>
      <c r="R491" s="2" t="s">
        <v>738</v>
      </c>
      <c r="S491" s="2">
        <v>239849</v>
      </c>
      <c r="T491" s="2" t="s">
        <v>45</v>
      </c>
      <c r="U491" s="2" t="s">
        <v>46</v>
      </c>
      <c r="V491" s="2" t="s">
        <v>1276</v>
      </c>
      <c r="W491" s="2">
        <v>7</v>
      </c>
      <c r="X491" s="4">
        <v>0</v>
      </c>
      <c r="Y491" s="3">
        <v>152.21</v>
      </c>
    </row>
    <row r="492" spans="1:25" x14ac:dyDescent="0.3">
      <c r="A492" s="2" t="s">
        <v>1272</v>
      </c>
      <c r="B492" s="2" t="s">
        <v>830</v>
      </c>
      <c r="C492" s="2" t="s">
        <v>60</v>
      </c>
      <c r="D492" s="8">
        <v>32690</v>
      </c>
      <c r="E492" s="3">
        <v>78.38</v>
      </c>
      <c r="F492" s="2">
        <v>2024</v>
      </c>
      <c r="G492" s="2" t="s">
        <v>48</v>
      </c>
      <c r="H492" s="2" t="s">
        <v>29</v>
      </c>
      <c r="I492" s="2" t="s">
        <v>78</v>
      </c>
      <c r="J492" s="2" t="s">
        <v>227</v>
      </c>
      <c r="K492" s="2" t="s">
        <v>32</v>
      </c>
      <c r="L492" s="2" t="s">
        <v>144</v>
      </c>
      <c r="M492" s="8">
        <v>45338</v>
      </c>
      <c r="N492" s="2" t="s">
        <v>1277</v>
      </c>
      <c r="O492" s="8">
        <v>45338</v>
      </c>
      <c r="P492" s="8">
        <v>45339</v>
      </c>
      <c r="Q492" s="2" t="s">
        <v>74</v>
      </c>
      <c r="R492" s="2" t="s">
        <v>738</v>
      </c>
      <c r="S492" s="2">
        <v>536440</v>
      </c>
      <c r="T492" s="2" t="s">
        <v>80</v>
      </c>
      <c r="U492" s="2" t="s">
        <v>81</v>
      </c>
      <c r="V492" s="2" t="s">
        <v>1278</v>
      </c>
      <c r="W492" s="2">
        <v>3</v>
      </c>
      <c r="X492" s="4">
        <v>0.05</v>
      </c>
      <c r="Y492" s="3">
        <v>5.82</v>
      </c>
    </row>
    <row r="493" spans="1:25" x14ac:dyDescent="0.3">
      <c r="A493" s="2" t="s">
        <v>1272</v>
      </c>
      <c r="B493" s="2" t="s">
        <v>830</v>
      </c>
      <c r="C493" s="2" t="s">
        <v>60</v>
      </c>
      <c r="D493" s="8">
        <v>32690</v>
      </c>
      <c r="E493" s="3">
        <v>303.35000000000002</v>
      </c>
      <c r="F493" s="2">
        <v>2024</v>
      </c>
      <c r="G493" s="2" t="s">
        <v>48</v>
      </c>
      <c r="H493" s="2" t="s">
        <v>29</v>
      </c>
      <c r="I493" s="2" t="s">
        <v>49</v>
      </c>
      <c r="J493" s="2" t="s">
        <v>227</v>
      </c>
      <c r="K493" s="2" t="s">
        <v>32</v>
      </c>
      <c r="L493" s="2" t="s">
        <v>144</v>
      </c>
      <c r="M493" s="8">
        <v>45624</v>
      </c>
      <c r="N493" s="2" t="s">
        <v>1279</v>
      </c>
      <c r="O493" s="8">
        <v>45621</v>
      </c>
      <c r="P493" s="8">
        <v>45625</v>
      </c>
      <c r="Q493" s="2" t="s">
        <v>121</v>
      </c>
      <c r="R493" s="2" t="s">
        <v>738</v>
      </c>
      <c r="S493" s="2">
        <v>740195</v>
      </c>
      <c r="T493" s="2" t="s">
        <v>84</v>
      </c>
      <c r="U493" s="2" t="s">
        <v>85</v>
      </c>
      <c r="V493" s="2" t="s">
        <v>1280</v>
      </c>
      <c r="W493" s="2">
        <v>3</v>
      </c>
      <c r="X493" s="4">
        <v>0.15</v>
      </c>
      <c r="Y493" s="3">
        <v>39.83</v>
      </c>
    </row>
    <row r="494" spans="1:25" x14ac:dyDescent="0.3">
      <c r="A494" s="2" t="s">
        <v>1272</v>
      </c>
      <c r="B494" s="2" t="s">
        <v>830</v>
      </c>
      <c r="C494" s="2" t="s">
        <v>60</v>
      </c>
      <c r="D494" s="8">
        <v>32690</v>
      </c>
      <c r="E494" s="3">
        <v>983.5</v>
      </c>
      <c r="F494" s="2">
        <v>2024</v>
      </c>
      <c r="G494" s="2" t="s">
        <v>28</v>
      </c>
      <c r="H494" s="2" t="s">
        <v>29</v>
      </c>
      <c r="I494" s="2" t="s">
        <v>49</v>
      </c>
      <c r="J494" s="2" t="s">
        <v>227</v>
      </c>
      <c r="K494" s="2" t="s">
        <v>32</v>
      </c>
      <c r="L494" s="2" t="s">
        <v>144</v>
      </c>
      <c r="M494" s="8">
        <v>45629</v>
      </c>
      <c r="N494" s="2" t="s">
        <v>1281</v>
      </c>
      <c r="O494" s="8">
        <v>45627</v>
      </c>
      <c r="P494" s="8">
        <v>45630</v>
      </c>
      <c r="Q494" s="2" t="s">
        <v>35</v>
      </c>
      <c r="R494" s="2" t="s">
        <v>738</v>
      </c>
      <c r="S494" s="2">
        <v>684801</v>
      </c>
      <c r="T494" s="2" t="s">
        <v>109</v>
      </c>
      <c r="U494" s="2" t="s">
        <v>110</v>
      </c>
      <c r="V494" s="2" t="s">
        <v>1282</v>
      </c>
      <c r="W494" s="2">
        <v>3</v>
      </c>
      <c r="X494" s="4">
        <v>0.1</v>
      </c>
      <c r="Y494" s="3">
        <v>329.56</v>
      </c>
    </row>
    <row r="495" spans="1:25" x14ac:dyDescent="0.3">
      <c r="A495" s="2" t="s">
        <v>1272</v>
      </c>
      <c r="B495" s="2" t="s">
        <v>830</v>
      </c>
      <c r="C495" s="2" t="s">
        <v>60</v>
      </c>
      <c r="D495" s="8">
        <v>32690</v>
      </c>
      <c r="E495" s="3">
        <v>3959.77</v>
      </c>
      <c r="F495" s="2">
        <v>2025</v>
      </c>
      <c r="G495" s="2" t="s">
        <v>48</v>
      </c>
      <c r="H495" s="2" t="s">
        <v>29</v>
      </c>
      <c r="I495" s="2" t="s">
        <v>61</v>
      </c>
      <c r="J495" s="2" t="s">
        <v>227</v>
      </c>
      <c r="K495" s="2" t="s">
        <v>32</v>
      </c>
      <c r="L495" s="2" t="s">
        <v>144</v>
      </c>
      <c r="M495" s="8">
        <v>45686</v>
      </c>
      <c r="N495" s="2" t="s">
        <v>1283</v>
      </c>
      <c r="O495" s="8">
        <v>45682</v>
      </c>
      <c r="P495" s="8">
        <v>45687</v>
      </c>
      <c r="Q495" s="2" t="s">
        <v>41</v>
      </c>
      <c r="R495" s="2" t="s">
        <v>738</v>
      </c>
      <c r="S495" s="2">
        <v>907750</v>
      </c>
      <c r="T495" s="2" t="s">
        <v>66</v>
      </c>
      <c r="U495" s="2" t="s">
        <v>67</v>
      </c>
      <c r="V495" s="2" t="s">
        <v>1284</v>
      </c>
      <c r="W495" s="2">
        <v>9</v>
      </c>
      <c r="X495" s="4">
        <v>0.1</v>
      </c>
      <c r="Y495" s="3">
        <v>627.9</v>
      </c>
    </row>
    <row r="496" spans="1:25" x14ac:dyDescent="0.3">
      <c r="A496" s="2" t="s">
        <v>1285</v>
      </c>
      <c r="B496" s="2" t="s">
        <v>247</v>
      </c>
      <c r="C496" s="2" t="s">
        <v>162</v>
      </c>
      <c r="D496" s="8">
        <v>30883</v>
      </c>
      <c r="E496" s="3">
        <v>2070.48</v>
      </c>
      <c r="F496" s="2">
        <v>2023</v>
      </c>
      <c r="G496" s="2" t="s">
        <v>87</v>
      </c>
      <c r="H496" s="2" t="s">
        <v>29</v>
      </c>
      <c r="I496" s="2" t="s">
        <v>78</v>
      </c>
      <c r="J496" s="2" t="s">
        <v>62</v>
      </c>
      <c r="K496" s="2" t="s">
        <v>32</v>
      </c>
      <c r="L496" s="2" t="s">
        <v>144</v>
      </c>
      <c r="M496" s="8">
        <v>44981</v>
      </c>
      <c r="N496" s="2" t="s">
        <v>1286</v>
      </c>
      <c r="O496" s="8">
        <v>44981</v>
      </c>
      <c r="P496" s="8">
        <v>44982</v>
      </c>
      <c r="Q496" s="2" t="s">
        <v>74</v>
      </c>
      <c r="R496" s="2" t="s">
        <v>1192</v>
      </c>
      <c r="S496" s="2">
        <v>398911</v>
      </c>
      <c r="T496" s="2" t="s">
        <v>89</v>
      </c>
      <c r="U496" s="2" t="s">
        <v>90</v>
      </c>
      <c r="V496" s="2" t="s">
        <v>1287</v>
      </c>
      <c r="W496" s="2">
        <v>8</v>
      </c>
      <c r="X496" s="4">
        <v>0</v>
      </c>
      <c r="Y496" s="3">
        <v>519.78</v>
      </c>
    </row>
    <row r="497" spans="1:25" x14ac:dyDescent="0.3">
      <c r="A497" s="2" t="s">
        <v>1285</v>
      </c>
      <c r="B497" s="2" t="s">
        <v>247</v>
      </c>
      <c r="C497" s="2" t="s">
        <v>162</v>
      </c>
      <c r="D497" s="8">
        <v>30883</v>
      </c>
      <c r="E497" s="3">
        <v>1517.14</v>
      </c>
      <c r="F497" s="2">
        <v>2023</v>
      </c>
      <c r="G497" s="2" t="s">
        <v>87</v>
      </c>
      <c r="H497" s="2" t="s">
        <v>29</v>
      </c>
      <c r="I497" s="2" t="s">
        <v>61</v>
      </c>
      <c r="J497" s="2" t="s">
        <v>62</v>
      </c>
      <c r="K497" s="2" t="s">
        <v>32</v>
      </c>
      <c r="L497" s="2" t="s">
        <v>144</v>
      </c>
      <c r="M497" s="8">
        <v>45125</v>
      </c>
      <c r="N497" s="2" t="s">
        <v>1288</v>
      </c>
      <c r="O497" s="8">
        <v>45125</v>
      </c>
      <c r="P497" s="8">
        <v>45126</v>
      </c>
      <c r="Q497" s="2" t="s">
        <v>121</v>
      </c>
      <c r="R497" s="2" t="s">
        <v>1192</v>
      </c>
      <c r="S497" s="2">
        <v>265722</v>
      </c>
      <c r="T497" s="2" t="s">
        <v>113</v>
      </c>
      <c r="U497" s="2" t="s">
        <v>114</v>
      </c>
      <c r="V497" s="2" t="s">
        <v>1289</v>
      </c>
      <c r="W497" s="2">
        <v>6</v>
      </c>
      <c r="X497" s="4">
        <v>0.2</v>
      </c>
      <c r="Y497" s="3">
        <v>282.10000000000002</v>
      </c>
    </row>
    <row r="498" spans="1:25" x14ac:dyDescent="0.3">
      <c r="A498" s="2" t="s">
        <v>1285</v>
      </c>
      <c r="B498" s="2" t="s">
        <v>247</v>
      </c>
      <c r="C498" s="2" t="s">
        <v>162</v>
      </c>
      <c r="D498" s="8">
        <v>30883</v>
      </c>
      <c r="E498" s="3">
        <v>108.02</v>
      </c>
      <c r="F498" s="2">
        <v>2023</v>
      </c>
      <c r="G498" s="2" t="s">
        <v>28</v>
      </c>
      <c r="H498" s="2" t="s">
        <v>29</v>
      </c>
      <c r="I498" s="2" t="s">
        <v>78</v>
      </c>
      <c r="J498" s="2" t="s">
        <v>62</v>
      </c>
      <c r="K498" s="2" t="s">
        <v>32</v>
      </c>
      <c r="L498" s="2" t="s">
        <v>144</v>
      </c>
      <c r="M498" s="8">
        <v>45144</v>
      </c>
      <c r="N498" s="2" t="s">
        <v>1290</v>
      </c>
      <c r="O498" s="8">
        <v>45140</v>
      </c>
      <c r="P498" s="8">
        <v>45145</v>
      </c>
      <c r="Q498" s="2" t="s">
        <v>41</v>
      </c>
      <c r="R498" s="2" t="s">
        <v>1192</v>
      </c>
      <c r="S498" s="2">
        <v>308405</v>
      </c>
      <c r="T498" s="2" t="s">
        <v>80</v>
      </c>
      <c r="U498" s="2" t="s">
        <v>81</v>
      </c>
      <c r="V498" s="2" t="s">
        <v>1291</v>
      </c>
      <c r="W498" s="2">
        <v>2</v>
      </c>
      <c r="X498" s="4">
        <v>0</v>
      </c>
      <c r="Y498" s="3">
        <v>28.78</v>
      </c>
    </row>
    <row r="499" spans="1:25" x14ac:dyDescent="0.3">
      <c r="A499" s="2" t="s">
        <v>1285</v>
      </c>
      <c r="B499" s="2" t="s">
        <v>247</v>
      </c>
      <c r="C499" s="2" t="s">
        <v>162</v>
      </c>
      <c r="D499" s="8">
        <v>30883</v>
      </c>
      <c r="E499" s="3">
        <v>1575.64</v>
      </c>
      <c r="F499" s="2">
        <v>2023</v>
      </c>
      <c r="G499" s="2" t="s">
        <v>28</v>
      </c>
      <c r="H499" s="2" t="s">
        <v>29</v>
      </c>
      <c r="I499" s="2" t="s">
        <v>49</v>
      </c>
      <c r="J499" s="2" t="s">
        <v>62</v>
      </c>
      <c r="K499" s="2" t="s">
        <v>32</v>
      </c>
      <c r="L499" s="2" t="s">
        <v>144</v>
      </c>
      <c r="M499" s="8">
        <v>45212</v>
      </c>
      <c r="N499" s="2" t="s">
        <v>1292</v>
      </c>
      <c r="O499" s="8">
        <v>45210</v>
      </c>
      <c r="P499" s="8">
        <v>45212</v>
      </c>
      <c r="Q499" s="2" t="s">
        <v>121</v>
      </c>
      <c r="R499" s="2" t="s">
        <v>1192</v>
      </c>
      <c r="S499" s="2">
        <v>493774</v>
      </c>
      <c r="T499" s="2" t="s">
        <v>51</v>
      </c>
      <c r="U499" s="2" t="s">
        <v>52</v>
      </c>
      <c r="V499" s="2" t="s">
        <v>1293</v>
      </c>
      <c r="W499" s="2">
        <v>4</v>
      </c>
      <c r="X499" s="4">
        <v>0</v>
      </c>
      <c r="Y499" s="3">
        <v>186.45</v>
      </c>
    </row>
    <row r="500" spans="1:25" x14ac:dyDescent="0.3">
      <c r="A500" s="2" t="s">
        <v>1294</v>
      </c>
      <c r="B500" s="2" t="s">
        <v>405</v>
      </c>
      <c r="C500" s="2" t="s">
        <v>271</v>
      </c>
      <c r="D500" s="8">
        <v>34870</v>
      </c>
      <c r="E500" s="3">
        <v>2264.8000000000002</v>
      </c>
      <c r="F500" s="2">
        <v>2023</v>
      </c>
      <c r="G500" s="2" t="s">
        <v>87</v>
      </c>
      <c r="H500" s="2" t="s">
        <v>29</v>
      </c>
      <c r="I500" s="2" t="s">
        <v>92</v>
      </c>
      <c r="J500" s="2" t="s">
        <v>143</v>
      </c>
      <c r="K500" s="2" t="s">
        <v>32</v>
      </c>
      <c r="L500" s="2" t="s">
        <v>33</v>
      </c>
      <c r="M500" s="8">
        <v>44983</v>
      </c>
      <c r="N500" s="2" t="s">
        <v>1295</v>
      </c>
      <c r="O500" s="8">
        <v>44982</v>
      </c>
      <c r="P500" s="8">
        <v>44986</v>
      </c>
      <c r="Q500" s="2" t="s">
        <v>74</v>
      </c>
      <c r="R500" s="2" t="s">
        <v>250</v>
      </c>
      <c r="S500" s="2">
        <v>382795</v>
      </c>
      <c r="T500" s="2" t="s">
        <v>147</v>
      </c>
      <c r="U500" s="2" t="s">
        <v>148</v>
      </c>
      <c r="V500" s="2" t="s">
        <v>1296</v>
      </c>
      <c r="W500" s="2">
        <v>10</v>
      </c>
      <c r="X500" s="4">
        <v>0.05</v>
      </c>
      <c r="Y500" s="3">
        <v>367</v>
      </c>
    </row>
    <row r="501" spans="1:25" x14ac:dyDescent="0.3">
      <c r="A501" s="2" t="s">
        <v>1294</v>
      </c>
      <c r="B501" s="2" t="s">
        <v>405</v>
      </c>
      <c r="C501" s="2" t="s">
        <v>271</v>
      </c>
      <c r="D501" s="8">
        <v>34870</v>
      </c>
      <c r="E501" s="3">
        <v>352.26</v>
      </c>
      <c r="F501" s="2">
        <v>2023</v>
      </c>
      <c r="G501" s="2" t="s">
        <v>28</v>
      </c>
      <c r="H501" s="2" t="s">
        <v>29</v>
      </c>
      <c r="I501" s="2" t="s">
        <v>61</v>
      </c>
      <c r="J501" s="2" t="s">
        <v>143</v>
      </c>
      <c r="K501" s="2" t="s">
        <v>32</v>
      </c>
      <c r="L501" s="2" t="s">
        <v>33</v>
      </c>
      <c r="M501" s="8">
        <v>45003</v>
      </c>
      <c r="N501" s="2" t="s">
        <v>1297</v>
      </c>
      <c r="O501" s="8">
        <v>45002</v>
      </c>
      <c r="P501" s="8">
        <v>45003</v>
      </c>
      <c r="Q501" s="2" t="s">
        <v>41</v>
      </c>
      <c r="R501" s="2" t="s">
        <v>250</v>
      </c>
      <c r="S501" s="2">
        <v>279517</v>
      </c>
      <c r="T501" s="2" t="s">
        <v>204</v>
      </c>
      <c r="U501" s="2" t="s">
        <v>205</v>
      </c>
      <c r="V501" s="2" t="s">
        <v>1298</v>
      </c>
      <c r="W501" s="2">
        <v>1</v>
      </c>
      <c r="X501" s="4">
        <v>0</v>
      </c>
      <c r="Y501" s="3">
        <v>47.27</v>
      </c>
    </row>
    <row r="502" spans="1:25" x14ac:dyDescent="0.3">
      <c r="A502" s="2" t="s">
        <v>1294</v>
      </c>
      <c r="B502" s="2" t="s">
        <v>405</v>
      </c>
      <c r="C502" s="2" t="s">
        <v>271</v>
      </c>
      <c r="D502" s="8">
        <v>34870</v>
      </c>
      <c r="E502" s="3">
        <v>762.08</v>
      </c>
      <c r="F502" s="2">
        <v>2024</v>
      </c>
      <c r="G502" s="2" t="s">
        <v>87</v>
      </c>
      <c r="H502" s="2" t="s">
        <v>29</v>
      </c>
      <c r="I502" s="2" t="s">
        <v>43</v>
      </c>
      <c r="J502" s="2" t="s">
        <v>143</v>
      </c>
      <c r="K502" s="2" t="s">
        <v>32</v>
      </c>
      <c r="L502" s="2" t="s">
        <v>33</v>
      </c>
      <c r="M502" s="8">
        <v>45410</v>
      </c>
      <c r="N502" s="2" t="s">
        <v>1299</v>
      </c>
      <c r="O502" s="8">
        <v>45409</v>
      </c>
      <c r="P502" s="8">
        <v>45414</v>
      </c>
      <c r="Q502" s="2" t="s">
        <v>121</v>
      </c>
      <c r="R502" s="2" t="s">
        <v>250</v>
      </c>
      <c r="S502" s="2">
        <v>190674</v>
      </c>
      <c r="T502" s="2" t="s">
        <v>45</v>
      </c>
      <c r="U502" s="2" t="s">
        <v>46</v>
      </c>
      <c r="V502" s="2" t="s">
        <v>1300</v>
      </c>
      <c r="W502" s="2">
        <v>10</v>
      </c>
      <c r="X502" s="4">
        <v>0.2</v>
      </c>
      <c r="Y502" s="3">
        <v>183.97</v>
      </c>
    </row>
    <row r="503" spans="1:25" x14ac:dyDescent="0.3">
      <c r="A503" s="2" t="s">
        <v>1294</v>
      </c>
      <c r="B503" s="2" t="s">
        <v>405</v>
      </c>
      <c r="C503" s="2" t="s">
        <v>271</v>
      </c>
      <c r="D503" s="8">
        <v>34870</v>
      </c>
      <c r="E503" s="3">
        <v>972.67</v>
      </c>
      <c r="F503" s="2">
        <v>2024</v>
      </c>
      <c r="G503" s="2" t="s">
        <v>87</v>
      </c>
      <c r="H503" s="2" t="s">
        <v>29</v>
      </c>
      <c r="I503" s="2" t="s">
        <v>92</v>
      </c>
      <c r="J503" s="2" t="s">
        <v>143</v>
      </c>
      <c r="K503" s="2" t="s">
        <v>32</v>
      </c>
      <c r="L503" s="2" t="s">
        <v>33</v>
      </c>
      <c r="M503" s="8">
        <v>45424</v>
      </c>
      <c r="N503" s="2" t="s">
        <v>1301</v>
      </c>
      <c r="O503" s="8">
        <v>45423</v>
      </c>
      <c r="P503" s="8">
        <v>45424</v>
      </c>
      <c r="Q503" s="2" t="s">
        <v>121</v>
      </c>
      <c r="R503" s="2" t="s">
        <v>250</v>
      </c>
      <c r="S503" s="2">
        <v>359870</v>
      </c>
      <c r="T503" s="2" t="s">
        <v>127</v>
      </c>
      <c r="U503" s="2" t="s">
        <v>128</v>
      </c>
      <c r="V503" s="2" t="s">
        <v>1302</v>
      </c>
      <c r="W503" s="2">
        <v>4</v>
      </c>
      <c r="X503" s="4">
        <v>0.2</v>
      </c>
      <c r="Y503" s="3">
        <v>183.67</v>
      </c>
    </row>
    <row r="504" spans="1:25" x14ac:dyDescent="0.3">
      <c r="A504" s="2" t="s">
        <v>1294</v>
      </c>
      <c r="B504" s="2" t="s">
        <v>405</v>
      </c>
      <c r="C504" s="2" t="s">
        <v>271</v>
      </c>
      <c r="D504" s="8">
        <v>34870</v>
      </c>
      <c r="E504" s="3">
        <v>1613.05</v>
      </c>
      <c r="F504" s="2">
        <v>2024</v>
      </c>
      <c r="G504" s="2" t="s">
        <v>28</v>
      </c>
      <c r="H504" s="2" t="s">
        <v>29</v>
      </c>
      <c r="I504" s="2" t="s">
        <v>43</v>
      </c>
      <c r="J504" s="2" t="s">
        <v>143</v>
      </c>
      <c r="K504" s="2" t="s">
        <v>32</v>
      </c>
      <c r="L504" s="2" t="s">
        <v>33</v>
      </c>
      <c r="M504" s="8">
        <v>45526</v>
      </c>
      <c r="N504" s="2" t="s">
        <v>1303</v>
      </c>
      <c r="O504" s="8">
        <v>45526</v>
      </c>
      <c r="P504" s="8">
        <v>45531</v>
      </c>
      <c r="Q504" s="2" t="s">
        <v>35</v>
      </c>
      <c r="R504" s="2" t="s">
        <v>250</v>
      </c>
      <c r="S504" s="2">
        <v>142004</v>
      </c>
      <c r="T504" s="2" t="s">
        <v>153</v>
      </c>
      <c r="U504" s="2" t="s">
        <v>154</v>
      </c>
      <c r="V504" s="2" t="s">
        <v>1304</v>
      </c>
      <c r="W504" s="2">
        <v>4</v>
      </c>
      <c r="X504" s="4">
        <v>0.1</v>
      </c>
      <c r="Y504" s="3">
        <v>538.55999999999995</v>
      </c>
    </row>
    <row r="505" spans="1:25" x14ac:dyDescent="0.3">
      <c r="A505" s="2" t="s">
        <v>1294</v>
      </c>
      <c r="B505" s="2" t="s">
        <v>405</v>
      </c>
      <c r="C505" s="2" t="s">
        <v>271</v>
      </c>
      <c r="D505" s="8">
        <v>34870</v>
      </c>
      <c r="E505" s="3">
        <v>1506.74</v>
      </c>
      <c r="F505" s="2">
        <v>2025</v>
      </c>
      <c r="G505" s="2" t="s">
        <v>28</v>
      </c>
      <c r="H505" s="2" t="s">
        <v>29</v>
      </c>
      <c r="I505" s="2" t="s">
        <v>92</v>
      </c>
      <c r="J505" s="2" t="s">
        <v>143</v>
      </c>
      <c r="K505" s="2" t="s">
        <v>32</v>
      </c>
      <c r="L505" s="2" t="s">
        <v>33</v>
      </c>
      <c r="M505" s="8">
        <v>45839</v>
      </c>
      <c r="N505" s="2" t="s">
        <v>1305</v>
      </c>
      <c r="O505" s="8">
        <v>45838</v>
      </c>
      <c r="P505" s="8">
        <v>45839</v>
      </c>
      <c r="Q505" s="2" t="s">
        <v>121</v>
      </c>
      <c r="R505" s="2" t="s">
        <v>250</v>
      </c>
      <c r="S505" s="2">
        <v>187127</v>
      </c>
      <c r="T505" s="2" t="s">
        <v>187</v>
      </c>
      <c r="U505" s="2" t="s">
        <v>188</v>
      </c>
      <c r="V505" s="2" t="s">
        <v>1306</v>
      </c>
      <c r="W505" s="2">
        <v>9</v>
      </c>
      <c r="X505" s="4">
        <v>0.2</v>
      </c>
      <c r="Y505" s="3">
        <v>436.06</v>
      </c>
    </row>
    <row r="506" spans="1:25" x14ac:dyDescent="0.3">
      <c r="A506" s="2" t="s">
        <v>1307</v>
      </c>
      <c r="B506" s="2" t="s">
        <v>1308</v>
      </c>
      <c r="C506" s="2" t="s">
        <v>211</v>
      </c>
      <c r="D506" s="8">
        <v>25834</v>
      </c>
      <c r="E506" s="3">
        <v>673.75</v>
      </c>
      <c r="F506" s="2">
        <v>2023</v>
      </c>
      <c r="G506" s="2" t="s">
        <v>87</v>
      </c>
      <c r="H506" s="2" t="s">
        <v>29</v>
      </c>
      <c r="I506" s="2" t="s">
        <v>61</v>
      </c>
      <c r="J506" s="2" t="s">
        <v>227</v>
      </c>
      <c r="K506" s="2" t="s">
        <v>32</v>
      </c>
      <c r="L506" s="2" t="s">
        <v>144</v>
      </c>
      <c r="M506" s="8">
        <v>44940</v>
      </c>
      <c r="N506" s="2" t="s">
        <v>1309</v>
      </c>
      <c r="O506" s="8">
        <v>44939</v>
      </c>
      <c r="P506" s="8">
        <v>44942</v>
      </c>
      <c r="Q506" s="2" t="s">
        <v>41</v>
      </c>
      <c r="R506" s="2" t="s">
        <v>738</v>
      </c>
      <c r="S506" s="2">
        <v>999596</v>
      </c>
      <c r="T506" s="2" t="s">
        <v>66</v>
      </c>
      <c r="U506" s="2" t="s">
        <v>67</v>
      </c>
      <c r="V506" s="2" t="s">
        <v>1310</v>
      </c>
      <c r="W506" s="2">
        <v>5</v>
      </c>
      <c r="X506" s="4">
        <v>0</v>
      </c>
      <c r="Y506" s="3">
        <v>36.909999999999997</v>
      </c>
    </row>
    <row r="507" spans="1:25" x14ac:dyDescent="0.3">
      <c r="A507" s="2" t="s">
        <v>1307</v>
      </c>
      <c r="B507" s="2" t="s">
        <v>1308</v>
      </c>
      <c r="C507" s="2" t="s">
        <v>211</v>
      </c>
      <c r="D507" s="8">
        <v>25834</v>
      </c>
      <c r="E507" s="3">
        <v>464.25</v>
      </c>
      <c r="F507" s="2">
        <v>2024</v>
      </c>
      <c r="G507" s="2" t="s">
        <v>28</v>
      </c>
      <c r="H507" s="2" t="s">
        <v>29</v>
      </c>
      <c r="I507" s="2" t="s">
        <v>30</v>
      </c>
      <c r="J507" s="2" t="s">
        <v>227</v>
      </c>
      <c r="K507" s="2" t="s">
        <v>32</v>
      </c>
      <c r="L507" s="2" t="s">
        <v>144</v>
      </c>
      <c r="M507" s="8">
        <v>45344</v>
      </c>
      <c r="N507" s="2" t="s">
        <v>1311</v>
      </c>
      <c r="O507" s="8">
        <v>45343</v>
      </c>
      <c r="P507" s="8">
        <v>45347</v>
      </c>
      <c r="Q507" s="2" t="s">
        <v>41</v>
      </c>
      <c r="R507" s="2" t="s">
        <v>738</v>
      </c>
      <c r="S507" s="2">
        <v>838094</v>
      </c>
      <c r="T507" s="2" t="s">
        <v>55</v>
      </c>
      <c r="U507" s="2" t="s">
        <v>56</v>
      </c>
      <c r="V507" s="2" t="s">
        <v>1312</v>
      </c>
      <c r="W507" s="2">
        <v>1</v>
      </c>
      <c r="X507" s="4">
        <v>0.05</v>
      </c>
      <c r="Y507" s="3">
        <v>130.71</v>
      </c>
    </row>
    <row r="508" spans="1:25" x14ac:dyDescent="0.3">
      <c r="A508" s="2" t="s">
        <v>1307</v>
      </c>
      <c r="B508" s="2" t="s">
        <v>1308</v>
      </c>
      <c r="C508" s="2" t="s">
        <v>211</v>
      </c>
      <c r="D508" s="8">
        <v>25834</v>
      </c>
      <c r="E508" s="3">
        <v>348.06</v>
      </c>
      <c r="F508" s="2">
        <v>2024</v>
      </c>
      <c r="G508" s="2" t="s">
        <v>28</v>
      </c>
      <c r="H508" s="2" t="s">
        <v>29</v>
      </c>
      <c r="I508" s="2" t="s">
        <v>49</v>
      </c>
      <c r="J508" s="2" t="s">
        <v>227</v>
      </c>
      <c r="K508" s="2" t="s">
        <v>32</v>
      </c>
      <c r="L508" s="2" t="s">
        <v>144</v>
      </c>
      <c r="M508" s="8">
        <v>45637</v>
      </c>
      <c r="N508" s="2" t="s">
        <v>1313</v>
      </c>
      <c r="O508" s="8">
        <v>45636</v>
      </c>
      <c r="P508" s="8">
        <v>45637</v>
      </c>
      <c r="Q508" s="2" t="s">
        <v>74</v>
      </c>
      <c r="R508" s="2" t="s">
        <v>738</v>
      </c>
      <c r="S508" s="2">
        <v>831963</v>
      </c>
      <c r="T508" s="2" t="s">
        <v>109</v>
      </c>
      <c r="U508" s="2" t="s">
        <v>110</v>
      </c>
      <c r="V508" s="2" t="s">
        <v>1314</v>
      </c>
      <c r="W508" s="2">
        <v>2</v>
      </c>
      <c r="X508" s="4">
        <v>0.15</v>
      </c>
      <c r="Y508" s="3">
        <v>52.16</v>
      </c>
    </row>
    <row r="509" spans="1:25" x14ac:dyDescent="0.3">
      <c r="A509" s="2" t="s">
        <v>1307</v>
      </c>
      <c r="B509" s="2" t="s">
        <v>1308</v>
      </c>
      <c r="C509" s="2" t="s">
        <v>211</v>
      </c>
      <c r="D509" s="8">
        <v>25834</v>
      </c>
      <c r="E509" s="3">
        <v>1592.36</v>
      </c>
      <c r="F509" s="2">
        <v>2025</v>
      </c>
      <c r="G509" s="2" t="s">
        <v>87</v>
      </c>
      <c r="H509" s="2" t="s">
        <v>29</v>
      </c>
      <c r="I509" s="2" t="s">
        <v>30</v>
      </c>
      <c r="J509" s="2" t="s">
        <v>227</v>
      </c>
      <c r="K509" s="2" t="s">
        <v>32</v>
      </c>
      <c r="L509" s="2" t="s">
        <v>144</v>
      </c>
      <c r="M509" s="8">
        <v>45676</v>
      </c>
      <c r="N509" s="2" t="s">
        <v>1315</v>
      </c>
      <c r="O509" s="8">
        <v>45676</v>
      </c>
      <c r="P509" s="8">
        <v>45679</v>
      </c>
      <c r="Q509" s="2" t="s">
        <v>74</v>
      </c>
      <c r="R509" s="2" t="s">
        <v>738</v>
      </c>
      <c r="S509" s="2">
        <v>154067</v>
      </c>
      <c r="T509" s="2" t="s">
        <v>55</v>
      </c>
      <c r="U509" s="2" t="s">
        <v>56</v>
      </c>
      <c r="V509" s="2" t="s">
        <v>1316</v>
      </c>
      <c r="W509" s="2">
        <v>4</v>
      </c>
      <c r="X509" s="4">
        <v>0</v>
      </c>
      <c r="Y509" s="3">
        <v>376.01</v>
      </c>
    </row>
    <row r="510" spans="1:25" x14ac:dyDescent="0.3">
      <c r="A510" s="2" t="s">
        <v>1317</v>
      </c>
      <c r="B510" s="2" t="s">
        <v>161</v>
      </c>
      <c r="C510" s="2" t="s">
        <v>545</v>
      </c>
      <c r="D510" s="8">
        <v>34605</v>
      </c>
      <c r="E510" s="3">
        <v>562.29999999999995</v>
      </c>
      <c r="F510" s="2">
        <v>2024</v>
      </c>
      <c r="G510" s="2" t="s">
        <v>48</v>
      </c>
      <c r="H510" s="2" t="s">
        <v>163</v>
      </c>
      <c r="I510" s="2" t="s">
        <v>30</v>
      </c>
      <c r="J510" s="2" t="s">
        <v>102</v>
      </c>
      <c r="K510" s="2" t="s">
        <v>32</v>
      </c>
      <c r="L510" s="2" t="s">
        <v>63</v>
      </c>
      <c r="M510" s="8">
        <v>45306</v>
      </c>
      <c r="N510" s="2" t="s">
        <v>1318</v>
      </c>
      <c r="O510" s="8">
        <v>45301</v>
      </c>
      <c r="P510" s="8">
        <v>45306</v>
      </c>
      <c r="Q510" s="2" t="s">
        <v>121</v>
      </c>
      <c r="R510" s="2" t="s">
        <v>165</v>
      </c>
      <c r="S510" s="2">
        <v>451199</v>
      </c>
      <c r="T510" s="2" t="s">
        <v>75</v>
      </c>
      <c r="U510" s="2" t="s">
        <v>76</v>
      </c>
      <c r="V510" s="2" t="s">
        <v>1319</v>
      </c>
      <c r="W510" s="2">
        <v>6</v>
      </c>
      <c r="X510" s="4">
        <v>0.1</v>
      </c>
      <c r="Y510" s="3">
        <v>147.02000000000001</v>
      </c>
    </row>
    <row r="511" spans="1:25" x14ac:dyDescent="0.3">
      <c r="A511" s="2" t="s">
        <v>1317</v>
      </c>
      <c r="B511" s="2" t="s">
        <v>161</v>
      </c>
      <c r="C511" s="2" t="s">
        <v>545</v>
      </c>
      <c r="D511" s="8">
        <v>34605</v>
      </c>
      <c r="E511" s="3">
        <v>2393.2199999999998</v>
      </c>
      <c r="F511" s="2">
        <v>2024</v>
      </c>
      <c r="G511" s="2" t="s">
        <v>48</v>
      </c>
      <c r="H511" s="2" t="s">
        <v>163</v>
      </c>
      <c r="I511" s="2" t="s">
        <v>61</v>
      </c>
      <c r="J511" s="2" t="s">
        <v>102</v>
      </c>
      <c r="K511" s="2" t="s">
        <v>32</v>
      </c>
      <c r="L511" s="2" t="s">
        <v>63</v>
      </c>
      <c r="M511" s="8">
        <v>45405</v>
      </c>
      <c r="N511" s="2" t="s">
        <v>1320</v>
      </c>
      <c r="O511" s="8">
        <v>45403</v>
      </c>
      <c r="P511" s="8">
        <v>45405</v>
      </c>
      <c r="Q511" s="2" t="s">
        <v>74</v>
      </c>
      <c r="R511" s="2" t="s">
        <v>165</v>
      </c>
      <c r="S511" s="2">
        <v>469844</v>
      </c>
      <c r="T511" s="2" t="s">
        <v>312</v>
      </c>
      <c r="U511" s="2" t="s">
        <v>313</v>
      </c>
      <c r="V511" s="2" t="s">
        <v>1321</v>
      </c>
      <c r="W511" s="2">
        <v>8</v>
      </c>
      <c r="X511" s="4">
        <v>0.2</v>
      </c>
      <c r="Y511" s="3">
        <v>536.16999999999996</v>
      </c>
    </row>
    <row r="512" spans="1:25" x14ac:dyDescent="0.3">
      <c r="A512" s="2" t="s">
        <v>1322</v>
      </c>
      <c r="B512" s="2" t="s">
        <v>100</v>
      </c>
      <c r="C512" s="2" t="s">
        <v>758</v>
      </c>
      <c r="D512" s="8">
        <v>31307</v>
      </c>
      <c r="E512" s="3">
        <v>1668.48</v>
      </c>
      <c r="F512" s="2">
        <v>2023</v>
      </c>
      <c r="G512" s="2" t="s">
        <v>87</v>
      </c>
      <c r="H512" s="2" t="s">
        <v>163</v>
      </c>
      <c r="I512" s="2" t="s">
        <v>43</v>
      </c>
      <c r="J512" s="2" t="s">
        <v>31</v>
      </c>
      <c r="K512" s="2" t="s">
        <v>32</v>
      </c>
      <c r="L512" s="2" t="s">
        <v>144</v>
      </c>
      <c r="M512" s="8">
        <v>44987</v>
      </c>
      <c r="N512" s="2" t="s">
        <v>1323</v>
      </c>
      <c r="O512" s="8">
        <v>44982</v>
      </c>
      <c r="P512" s="8">
        <v>44987</v>
      </c>
      <c r="Q512" s="2" t="s">
        <v>74</v>
      </c>
      <c r="R512" s="2" t="s">
        <v>261</v>
      </c>
      <c r="S512" s="2">
        <v>573933</v>
      </c>
      <c r="T512" s="2" t="s">
        <v>153</v>
      </c>
      <c r="U512" s="2" t="s">
        <v>154</v>
      </c>
      <c r="V512" s="2" t="s">
        <v>1324</v>
      </c>
      <c r="W512" s="2">
        <v>8</v>
      </c>
      <c r="X512" s="4">
        <v>0.2</v>
      </c>
      <c r="Y512" s="3">
        <v>144.85</v>
      </c>
    </row>
    <row r="513" spans="1:25" x14ac:dyDescent="0.3">
      <c r="A513" s="2" t="s">
        <v>1322</v>
      </c>
      <c r="B513" s="2" t="s">
        <v>100</v>
      </c>
      <c r="C513" s="2" t="s">
        <v>758</v>
      </c>
      <c r="D513" s="8">
        <v>31307</v>
      </c>
      <c r="E513" s="3">
        <v>209.78</v>
      </c>
      <c r="F513" s="2">
        <v>2023</v>
      </c>
      <c r="G513" s="2" t="s">
        <v>28</v>
      </c>
      <c r="H513" s="2" t="s">
        <v>163</v>
      </c>
      <c r="I513" s="2" t="s">
        <v>30</v>
      </c>
      <c r="J513" s="2" t="s">
        <v>31</v>
      </c>
      <c r="K513" s="2" t="s">
        <v>32</v>
      </c>
      <c r="L513" s="2" t="s">
        <v>144</v>
      </c>
      <c r="M513" s="8">
        <v>44992</v>
      </c>
      <c r="N513" s="2" t="s">
        <v>1325</v>
      </c>
      <c r="O513" s="8">
        <v>44991</v>
      </c>
      <c r="P513" s="8">
        <v>44995</v>
      </c>
      <c r="Q513" s="2" t="s">
        <v>35</v>
      </c>
      <c r="R513" s="2" t="s">
        <v>261</v>
      </c>
      <c r="S513" s="2">
        <v>214677</v>
      </c>
      <c r="T513" s="2" t="s">
        <v>37</v>
      </c>
      <c r="U513" s="2" t="s">
        <v>38</v>
      </c>
      <c r="V513" s="2" t="s">
        <v>1326</v>
      </c>
      <c r="W513" s="2">
        <v>2</v>
      </c>
      <c r="X513" s="4">
        <v>0.05</v>
      </c>
      <c r="Y513" s="3">
        <v>15.98</v>
      </c>
    </row>
    <row r="514" spans="1:25" x14ac:dyDescent="0.3">
      <c r="A514" s="2" t="s">
        <v>1322</v>
      </c>
      <c r="B514" s="2" t="s">
        <v>100</v>
      </c>
      <c r="C514" s="2" t="s">
        <v>758</v>
      </c>
      <c r="D514" s="8">
        <v>31307</v>
      </c>
      <c r="E514" s="3">
        <v>619.78</v>
      </c>
      <c r="F514" s="2">
        <v>2023</v>
      </c>
      <c r="G514" s="2" t="s">
        <v>28</v>
      </c>
      <c r="H514" s="2" t="s">
        <v>163</v>
      </c>
      <c r="I514" s="2" t="s">
        <v>61</v>
      </c>
      <c r="J514" s="2" t="s">
        <v>31</v>
      </c>
      <c r="K514" s="2" t="s">
        <v>32</v>
      </c>
      <c r="L514" s="2" t="s">
        <v>144</v>
      </c>
      <c r="M514" s="8">
        <v>45211</v>
      </c>
      <c r="N514" s="2" t="s">
        <v>1327</v>
      </c>
      <c r="O514" s="8">
        <v>45210</v>
      </c>
      <c r="P514" s="8">
        <v>45211</v>
      </c>
      <c r="Q514" s="2" t="s">
        <v>121</v>
      </c>
      <c r="R514" s="2" t="s">
        <v>261</v>
      </c>
      <c r="S514" s="2">
        <v>596925</v>
      </c>
      <c r="T514" s="2" t="s">
        <v>204</v>
      </c>
      <c r="U514" s="2" t="s">
        <v>205</v>
      </c>
      <c r="V514" s="2" t="s">
        <v>1328</v>
      </c>
      <c r="W514" s="2">
        <v>3</v>
      </c>
      <c r="X514" s="4">
        <v>0.2</v>
      </c>
      <c r="Y514" s="3">
        <v>68.97</v>
      </c>
    </row>
    <row r="515" spans="1:25" x14ac:dyDescent="0.3">
      <c r="A515" s="2" t="s">
        <v>1322</v>
      </c>
      <c r="B515" s="2" t="s">
        <v>100</v>
      </c>
      <c r="C515" s="2" t="s">
        <v>758</v>
      </c>
      <c r="D515" s="8">
        <v>31307</v>
      </c>
      <c r="E515" s="3">
        <v>159.93</v>
      </c>
      <c r="F515" s="2">
        <v>2024</v>
      </c>
      <c r="G515" s="2" t="s">
        <v>87</v>
      </c>
      <c r="H515" s="2" t="s">
        <v>163</v>
      </c>
      <c r="I515" s="2" t="s">
        <v>43</v>
      </c>
      <c r="J515" s="2" t="s">
        <v>31</v>
      </c>
      <c r="K515" s="2" t="s">
        <v>32</v>
      </c>
      <c r="L515" s="2" t="s">
        <v>144</v>
      </c>
      <c r="M515" s="8">
        <v>45362</v>
      </c>
      <c r="N515" s="2" t="s">
        <v>1329</v>
      </c>
      <c r="O515" s="8">
        <v>45360</v>
      </c>
      <c r="P515" s="8">
        <v>45362</v>
      </c>
      <c r="Q515" s="2" t="s">
        <v>74</v>
      </c>
      <c r="R515" s="2" t="s">
        <v>261</v>
      </c>
      <c r="S515" s="2">
        <v>531690</v>
      </c>
      <c r="T515" s="2" t="s">
        <v>153</v>
      </c>
      <c r="U515" s="2" t="s">
        <v>154</v>
      </c>
      <c r="V515" s="2" t="s">
        <v>1330</v>
      </c>
      <c r="W515" s="2">
        <v>1</v>
      </c>
      <c r="X515" s="4">
        <v>0</v>
      </c>
      <c r="Y515" s="3">
        <v>9.0500000000000007</v>
      </c>
    </row>
    <row r="516" spans="1:25" x14ac:dyDescent="0.3">
      <c r="A516" s="2" t="s">
        <v>1322</v>
      </c>
      <c r="B516" s="2" t="s">
        <v>100</v>
      </c>
      <c r="C516" s="2" t="s">
        <v>758</v>
      </c>
      <c r="D516" s="8">
        <v>31307</v>
      </c>
      <c r="E516" s="3">
        <v>1292.08</v>
      </c>
      <c r="F516" s="2">
        <v>2024</v>
      </c>
      <c r="G516" s="2" t="s">
        <v>28</v>
      </c>
      <c r="H516" s="2" t="s">
        <v>163</v>
      </c>
      <c r="I516" s="2" t="s">
        <v>30</v>
      </c>
      <c r="J516" s="2" t="s">
        <v>31</v>
      </c>
      <c r="K516" s="2" t="s">
        <v>32</v>
      </c>
      <c r="L516" s="2" t="s">
        <v>144</v>
      </c>
      <c r="M516" s="8">
        <v>45445</v>
      </c>
      <c r="N516" s="2" t="s">
        <v>1331</v>
      </c>
      <c r="O516" s="8">
        <v>45442</v>
      </c>
      <c r="P516" s="8">
        <v>45447</v>
      </c>
      <c r="Q516" s="2" t="s">
        <v>74</v>
      </c>
      <c r="R516" s="2" t="s">
        <v>261</v>
      </c>
      <c r="S516" s="2">
        <v>694806</v>
      </c>
      <c r="T516" s="2" t="s">
        <v>37</v>
      </c>
      <c r="U516" s="2" t="s">
        <v>38</v>
      </c>
      <c r="V516" s="2" t="s">
        <v>1332</v>
      </c>
      <c r="W516" s="2">
        <v>6</v>
      </c>
      <c r="X516" s="4">
        <v>0.15</v>
      </c>
      <c r="Y516" s="3">
        <v>334.73</v>
      </c>
    </row>
    <row r="517" spans="1:25" x14ac:dyDescent="0.3">
      <c r="A517" s="2" t="s">
        <v>1322</v>
      </c>
      <c r="B517" s="2" t="s">
        <v>100</v>
      </c>
      <c r="C517" s="2" t="s">
        <v>758</v>
      </c>
      <c r="D517" s="8">
        <v>31307</v>
      </c>
      <c r="E517" s="3">
        <v>644.29999999999995</v>
      </c>
      <c r="F517" s="2">
        <v>2024</v>
      </c>
      <c r="G517" s="2" t="s">
        <v>28</v>
      </c>
      <c r="H517" s="2" t="s">
        <v>163</v>
      </c>
      <c r="I517" s="2" t="s">
        <v>61</v>
      </c>
      <c r="J517" s="2" t="s">
        <v>31</v>
      </c>
      <c r="K517" s="2" t="s">
        <v>32</v>
      </c>
      <c r="L517" s="2" t="s">
        <v>144</v>
      </c>
      <c r="M517" s="8">
        <v>45623</v>
      </c>
      <c r="N517" s="2" t="s">
        <v>1333</v>
      </c>
      <c r="O517" s="8">
        <v>45623</v>
      </c>
      <c r="P517" s="8">
        <v>45624</v>
      </c>
      <c r="Q517" s="2" t="s">
        <v>74</v>
      </c>
      <c r="R517" s="2" t="s">
        <v>261</v>
      </c>
      <c r="S517" s="2">
        <v>578073</v>
      </c>
      <c r="T517" s="2" t="s">
        <v>204</v>
      </c>
      <c r="U517" s="2" t="s">
        <v>205</v>
      </c>
      <c r="V517" s="2" t="s">
        <v>1334</v>
      </c>
      <c r="W517" s="2">
        <v>5</v>
      </c>
      <c r="X517" s="4">
        <v>0</v>
      </c>
      <c r="Y517" s="3">
        <v>219.85</v>
      </c>
    </row>
    <row r="518" spans="1:25" x14ac:dyDescent="0.3">
      <c r="A518" s="2" t="s">
        <v>1335</v>
      </c>
      <c r="B518" s="2" t="s">
        <v>384</v>
      </c>
      <c r="C518" s="2" t="s">
        <v>176</v>
      </c>
      <c r="D518" s="8">
        <v>27210</v>
      </c>
      <c r="E518" s="3">
        <v>292.2</v>
      </c>
      <c r="F518" s="2">
        <v>2023</v>
      </c>
      <c r="G518" s="2" t="s">
        <v>28</v>
      </c>
      <c r="H518" s="2" t="s">
        <v>29</v>
      </c>
      <c r="I518" s="2" t="s">
        <v>49</v>
      </c>
      <c r="J518" s="2" t="s">
        <v>62</v>
      </c>
      <c r="K518" s="2" t="s">
        <v>32</v>
      </c>
      <c r="L518" s="2" t="s">
        <v>144</v>
      </c>
      <c r="M518" s="8">
        <v>45092</v>
      </c>
      <c r="N518" s="2" t="s">
        <v>1336</v>
      </c>
      <c r="O518" s="8">
        <v>45091</v>
      </c>
      <c r="P518" s="8">
        <v>45094</v>
      </c>
      <c r="Q518" s="2" t="s">
        <v>74</v>
      </c>
      <c r="R518" s="2" t="s">
        <v>286</v>
      </c>
      <c r="S518" s="2">
        <v>487629</v>
      </c>
      <c r="T518" s="2" t="s">
        <v>51</v>
      </c>
      <c r="U518" s="2" t="s">
        <v>52</v>
      </c>
      <c r="V518" s="2" t="s">
        <v>1337</v>
      </c>
      <c r="W518" s="2">
        <v>3</v>
      </c>
      <c r="X518" s="4">
        <v>0</v>
      </c>
      <c r="Y518" s="3">
        <v>18.22</v>
      </c>
    </row>
    <row r="519" spans="1:25" x14ac:dyDescent="0.3">
      <c r="A519" s="2" t="s">
        <v>1335</v>
      </c>
      <c r="B519" s="2" t="s">
        <v>384</v>
      </c>
      <c r="C519" s="2" t="s">
        <v>176</v>
      </c>
      <c r="D519" s="8">
        <v>27210</v>
      </c>
      <c r="E519" s="3">
        <v>339.47</v>
      </c>
      <c r="F519" s="2">
        <v>2023</v>
      </c>
      <c r="G519" s="2" t="s">
        <v>48</v>
      </c>
      <c r="H519" s="2" t="s">
        <v>29</v>
      </c>
      <c r="I519" s="2" t="s">
        <v>61</v>
      </c>
      <c r="J519" s="2" t="s">
        <v>62</v>
      </c>
      <c r="K519" s="2" t="s">
        <v>32</v>
      </c>
      <c r="L519" s="2" t="s">
        <v>144</v>
      </c>
      <c r="M519" s="8">
        <v>45110</v>
      </c>
      <c r="N519" s="2" t="s">
        <v>1338</v>
      </c>
      <c r="O519" s="8">
        <v>45106</v>
      </c>
      <c r="P519" s="8">
        <v>45110</v>
      </c>
      <c r="Q519" s="2" t="s">
        <v>74</v>
      </c>
      <c r="R519" s="2" t="s">
        <v>286</v>
      </c>
      <c r="S519" s="2">
        <v>227391</v>
      </c>
      <c r="T519" s="2" t="s">
        <v>66</v>
      </c>
      <c r="U519" s="2" t="s">
        <v>67</v>
      </c>
      <c r="V519" s="2" t="s">
        <v>1339</v>
      </c>
      <c r="W519" s="2">
        <v>1</v>
      </c>
      <c r="X519" s="4">
        <v>0</v>
      </c>
      <c r="Y519" s="3">
        <v>32.04</v>
      </c>
    </row>
    <row r="520" spans="1:25" x14ac:dyDescent="0.3">
      <c r="A520" s="2" t="s">
        <v>1335</v>
      </c>
      <c r="B520" s="2" t="s">
        <v>384</v>
      </c>
      <c r="C520" s="2" t="s">
        <v>176</v>
      </c>
      <c r="D520" s="8">
        <v>27210</v>
      </c>
      <c r="E520" s="3">
        <v>1424.82</v>
      </c>
      <c r="F520" s="2">
        <v>2023</v>
      </c>
      <c r="G520" s="2" t="s">
        <v>28</v>
      </c>
      <c r="H520" s="2" t="s">
        <v>29</v>
      </c>
      <c r="I520" s="2" t="s">
        <v>78</v>
      </c>
      <c r="J520" s="2" t="s">
        <v>62</v>
      </c>
      <c r="K520" s="2" t="s">
        <v>32</v>
      </c>
      <c r="L520" s="2" t="s">
        <v>144</v>
      </c>
      <c r="M520" s="8">
        <v>45117</v>
      </c>
      <c r="N520" s="2" t="s">
        <v>1340</v>
      </c>
      <c r="O520" s="8">
        <v>45113</v>
      </c>
      <c r="P520" s="8">
        <v>45118</v>
      </c>
      <c r="Q520" s="2" t="s">
        <v>74</v>
      </c>
      <c r="R520" s="2" t="s">
        <v>286</v>
      </c>
      <c r="S520" s="2">
        <v>596931</v>
      </c>
      <c r="T520" s="2" t="s">
        <v>80</v>
      </c>
      <c r="U520" s="2" t="s">
        <v>81</v>
      </c>
      <c r="V520" s="2" t="s">
        <v>1341</v>
      </c>
      <c r="W520" s="2">
        <v>3</v>
      </c>
      <c r="X520" s="4">
        <v>0</v>
      </c>
      <c r="Y520" s="3">
        <v>137.94999999999999</v>
      </c>
    </row>
    <row r="521" spans="1:25" x14ac:dyDescent="0.3">
      <c r="A521" s="2" t="s">
        <v>1335</v>
      </c>
      <c r="B521" s="2" t="s">
        <v>384</v>
      </c>
      <c r="C521" s="2" t="s">
        <v>176</v>
      </c>
      <c r="D521" s="8">
        <v>27210</v>
      </c>
      <c r="E521" s="3">
        <v>1029.69</v>
      </c>
      <c r="F521" s="2">
        <v>2023</v>
      </c>
      <c r="G521" s="2" t="s">
        <v>87</v>
      </c>
      <c r="H521" s="2" t="s">
        <v>29</v>
      </c>
      <c r="I521" s="2" t="s">
        <v>43</v>
      </c>
      <c r="J521" s="2" t="s">
        <v>62</v>
      </c>
      <c r="K521" s="2" t="s">
        <v>32</v>
      </c>
      <c r="L521" s="2" t="s">
        <v>144</v>
      </c>
      <c r="M521" s="8">
        <v>45221</v>
      </c>
      <c r="N521" s="2" t="s">
        <v>1342</v>
      </c>
      <c r="O521" s="8">
        <v>45219</v>
      </c>
      <c r="P521" s="8">
        <v>45223</v>
      </c>
      <c r="Q521" s="2" t="s">
        <v>35</v>
      </c>
      <c r="R521" s="2" t="s">
        <v>286</v>
      </c>
      <c r="S521" s="2">
        <v>867180</v>
      </c>
      <c r="T521" s="2" t="s">
        <v>70</v>
      </c>
      <c r="U521" s="2" t="s">
        <v>71</v>
      </c>
      <c r="V521" s="2" t="s">
        <v>1343</v>
      </c>
      <c r="W521" s="2">
        <v>3</v>
      </c>
      <c r="X521" s="4">
        <v>0.15</v>
      </c>
      <c r="Y521" s="3">
        <v>331.63</v>
      </c>
    </row>
    <row r="522" spans="1:25" x14ac:dyDescent="0.3">
      <c r="A522" s="2" t="s">
        <v>1335</v>
      </c>
      <c r="B522" s="2" t="s">
        <v>384</v>
      </c>
      <c r="C522" s="2" t="s">
        <v>176</v>
      </c>
      <c r="D522" s="8">
        <v>27210</v>
      </c>
      <c r="E522" s="3">
        <v>684.9</v>
      </c>
      <c r="F522" s="2">
        <v>2024</v>
      </c>
      <c r="G522" s="2" t="s">
        <v>28</v>
      </c>
      <c r="H522" s="2" t="s">
        <v>29</v>
      </c>
      <c r="I522" s="2" t="s">
        <v>92</v>
      </c>
      <c r="J522" s="2" t="s">
        <v>62</v>
      </c>
      <c r="K522" s="2" t="s">
        <v>32</v>
      </c>
      <c r="L522" s="2" t="s">
        <v>144</v>
      </c>
      <c r="M522" s="8">
        <v>45476</v>
      </c>
      <c r="N522" s="2" t="s">
        <v>1344</v>
      </c>
      <c r="O522" s="8">
        <v>45475</v>
      </c>
      <c r="P522" s="8">
        <v>45477</v>
      </c>
      <c r="Q522" s="2" t="s">
        <v>35</v>
      </c>
      <c r="R522" s="2" t="s">
        <v>286</v>
      </c>
      <c r="S522" s="2">
        <v>442220</v>
      </c>
      <c r="T522" s="2" t="s">
        <v>187</v>
      </c>
      <c r="U522" s="2" t="s">
        <v>188</v>
      </c>
      <c r="V522" s="2" t="s">
        <v>1345</v>
      </c>
      <c r="W522" s="2">
        <v>9</v>
      </c>
      <c r="X522" s="4">
        <v>0</v>
      </c>
      <c r="Y522" s="3">
        <v>116.77</v>
      </c>
    </row>
    <row r="523" spans="1:25" x14ac:dyDescent="0.3">
      <c r="A523" s="2" t="s">
        <v>1335</v>
      </c>
      <c r="B523" s="2" t="s">
        <v>384</v>
      </c>
      <c r="C523" s="2" t="s">
        <v>176</v>
      </c>
      <c r="D523" s="8">
        <v>27210</v>
      </c>
      <c r="E523" s="3">
        <v>911.74</v>
      </c>
      <c r="F523" s="2">
        <v>2024</v>
      </c>
      <c r="G523" s="2" t="s">
        <v>87</v>
      </c>
      <c r="H523" s="2" t="s">
        <v>29</v>
      </c>
      <c r="I523" s="2" t="s">
        <v>78</v>
      </c>
      <c r="J523" s="2" t="s">
        <v>62</v>
      </c>
      <c r="K523" s="2" t="s">
        <v>32</v>
      </c>
      <c r="L523" s="2" t="s">
        <v>144</v>
      </c>
      <c r="M523" s="8">
        <v>45560</v>
      </c>
      <c r="N523" s="2" t="s">
        <v>1346</v>
      </c>
      <c r="O523" s="8">
        <v>45560</v>
      </c>
      <c r="P523" s="8">
        <v>45561</v>
      </c>
      <c r="Q523" s="2" t="s">
        <v>41</v>
      </c>
      <c r="R523" s="2" t="s">
        <v>286</v>
      </c>
      <c r="S523" s="2">
        <v>809952</v>
      </c>
      <c r="T523" s="2" t="s">
        <v>89</v>
      </c>
      <c r="U523" s="2" t="s">
        <v>90</v>
      </c>
      <c r="V523" s="2" t="s">
        <v>1347</v>
      </c>
      <c r="W523" s="2">
        <v>9</v>
      </c>
      <c r="X523" s="4">
        <v>0.2</v>
      </c>
      <c r="Y523" s="3">
        <v>121.61</v>
      </c>
    </row>
    <row r="524" spans="1:25" x14ac:dyDescent="0.3">
      <c r="A524" s="2" t="s">
        <v>1335</v>
      </c>
      <c r="B524" s="2" t="s">
        <v>384</v>
      </c>
      <c r="C524" s="2" t="s">
        <v>176</v>
      </c>
      <c r="D524" s="8">
        <v>27210</v>
      </c>
      <c r="E524" s="3">
        <v>793.38</v>
      </c>
      <c r="F524" s="2">
        <v>2024</v>
      </c>
      <c r="G524" s="2" t="s">
        <v>87</v>
      </c>
      <c r="H524" s="2" t="s">
        <v>29</v>
      </c>
      <c r="I524" s="2" t="s">
        <v>49</v>
      </c>
      <c r="J524" s="2" t="s">
        <v>62</v>
      </c>
      <c r="K524" s="2" t="s">
        <v>32</v>
      </c>
      <c r="L524" s="2" t="s">
        <v>144</v>
      </c>
      <c r="M524" s="8">
        <v>45655</v>
      </c>
      <c r="N524" s="2" t="s">
        <v>1348</v>
      </c>
      <c r="O524" s="8">
        <v>45655</v>
      </c>
      <c r="P524" s="8">
        <v>45660</v>
      </c>
      <c r="Q524" s="2" t="s">
        <v>74</v>
      </c>
      <c r="R524" s="2" t="s">
        <v>286</v>
      </c>
      <c r="S524" s="2">
        <v>516869</v>
      </c>
      <c r="T524" s="2" t="s">
        <v>109</v>
      </c>
      <c r="U524" s="2" t="s">
        <v>110</v>
      </c>
      <c r="V524" s="2" t="s">
        <v>1349</v>
      </c>
      <c r="W524" s="2">
        <v>7</v>
      </c>
      <c r="X524" s="4">
        <v>0</v>
      </c>
      <c r="Y524" s="3">
        <v>183.23</v>
      </c>
    </row>
    <row r="525" spans="1:25" x14ac:dyDescent="0.3">
      <c r="A525" s="2" t="s">
        <v>1350</v>
      </c>
      <c r="B525" s="2" t="s">
        <v>661</v>
      </c>
      <c r="C525" s="2" t="s">
        <v>226</v>
      </c>
      <c r="D525" s="8">
        <v>29954</v>
      </c>
      <c r="E525" s="3">
        <v>156.63</v>
      </c>
      <c r="F525" s="2">
        <v>2024</v>
      </c>
      <c r="G525" s="2" t="s">
        <v>48</v>
      </c>
      <c r="H525" s="2" t="s">
        <v>29</v>
      </c>
      <c r="I525" s="2" t="s">
        <v>43</v>
      </c>
      <c r="J525" s="2" t="s">
        <v>31</v>
      </c>
      <c r="K525" s="2" t="s">
        <v>32</v>
      </c>
      <c r="L525" s="2" t="s">
        <v>144</v>
      </c>
      <c r="M525" s="8">
        <v>45368</v>
      </c>
      <c r="N525" s="2" t="s">
        <v>1351</v>
      </c>
      <c r="O525" s="8">
        <v>45364</v>
      </c>
      <c r="P525" s="8">
        <v>45368</v>
      </c>
      <c r="Q525" s="2" t="s">
        <v>121</v>
      </c>
      <c r="R525" s="2" t="s">
        <v>36</v>
      </c>
      <c r="S525" s="2">
        <v>863209</v>
      </c>
      <c r="T525" s="2" t="s">
        <v>153</v>
      </c>
      <c r="U525" s="2" t="s">
        <v>154</v>
      </c>
      <c r="V525" s="2" t="s">
        <v>1352</v>
      </c>
      <c r="W525" s="2">
        <v>1</v>
      </c>
      <c r="X525" s="4">
        <v>0</v>
      </c>
      <c r="Y525" s="3">
        <v>22.31</v>
      </c>
    </row>
    <row r="526" spans="1:25" x14ac:dyDescent="0.3">
      <c r="A526" s="2" t="s">
        <v>1350</v>
      </c>
      <c r="B526" s="2" t="s">
        <v>661</v>
      </c>
      <c r="C526" s="2" t="s">
        <v>226</v>
      </c>
      <c r="D526" s="8">
        <v>29954</v>
      </c>
      <c r="E526" s="3">
        <v>1014.66</v>
      </c>
      <c r="F526" s="2">
        <v>2025</v>
      </c>
      <c r="G526" s="2" t="s">
        <v>48</v>
      </c>
      <c r="H526" s="2" t="s">
        <v>29</v>
      </c>
      <c r="I526" s="2" t="s">
        <v>92</v>
      </c>
      <c r="J526" s="2" t="s">
        <v>31</v>
      </c>
      <c r="K526" s="2" t="s">
        <v>32</v>
      </c>
      <c r="L526" s="2" t="s">
        <v>144</v>
      </c>
      <c r="M526" s="8">
        <v>45804</v>
      </c>
      <c r="N526" s="2" t="s">
        <v>1353</v>
      </c>
      <c r="O526" s="8">
        <v>45801</v>
      </c>
      <c r="P526" s="8">
        <v>45805</v>
      </c>
      <c r="Q526" s="2" t="s">
        <v>35</v>
      </c>
      <c r="R526" s="2" t="s">
        <v>36</v>
      </c>
      <c r="S526" s="2">
        <v>250616</v>
      </c>
      <c r="T526" s="2" t="s">
        <v>127</v>
      </c>
      <c r="U526" s="2" t="s">
        <v>128</v>
      </c>
      <c r="V526" s="2" t="s">
        <v>1354</v>
      </c>
      <c r="W526" s="2">
        <v>8</v>
      </c>
      <c r="X526" s="4">
        <v>0.2</v>
      </c>
      <c r="Y526" s="3">
        <v>272.33</v>
      </c>
    </row>
    <row r="527" spans="1:25" x14ac:dyDescent="0.3">
      <c r="A527" s="2" t="s">
        <v>1355</v>
      </c>
      <c r="B527" s="2" t="s">
        <v>743</v>
      </c>
      <c r="C527" s="2" t="s">
        <v>455</v>
      </c>
      <c r="D527" s="8">
        <v>24060</v>
      </c>
      <c r="E527" s="3">
        <v>3829.3</v>
      </c>
      <c r="F527" s="2">
        <v>2024</v>
      </c>
      <c r="G527" s="2" t="s">
        <v>48</v>
      </c>
      <c r="H527" s="2" t="s">
        <v>29</v>
      </c>
      <c r="I527" s="2" t="s">
        <v>30</v>
      </c>
      <c r="J527" s="2" t="s">
        <v>62</v>
      </c>
      <c r="K527" s="2" t="s">
        <v>32</v>
      </c>
      <c r="L527" s="2" t="s">
        <v>144</v>
      </c>
      <c r="M527" s="8">
        <v>45416</v>
      </c>
      <c r="N527" s="2" t="s">
        <v>1356</v>
      </c>
      <c r="O527" s="8">
        <v>45413</v>
      </c>
      <c r="P527" s="8">
        <v>45416</v>
      </c>
      <c r="Q527" s="2" t="s">
        <v>41</v>
      </c>
      <c r="R527" s="2" t="s">
        <v>65</v>
      </c>
      <c r="S527" s="2">
        <v>844747</v>
      </c>
      <c r="T527" s="2" t="s">
        <v>37</v>
      </c>
      <c r="U527" s="2" t="s">
        <v>38</v>
      </c>
      <c r="V527" s="2" t="s">
        <v>1357</v>
      </c>
      <c r="W527" s="2">
        <v>10</v>
      </c>
      <c r="X527" s="4">
        <v>0</v>
      </c>
      <c r="Y527" s="3">
        <v>199.07</v>
      </c>
    </row>
    <row r="528" spans="1:25" x14ac:dyDescent="0.3">
      <c r="A528" s="2" t="s">
        <v>1355</v>
      </c>
      <c r="B528" s="2" t="s">
        <v>743</v>
      </c>
      <c r="C528" s="2" t="s">
        <v>455</v>
      </c>
      <c r="D528" s="8">
        <v>24060</v>
      </c>
      <c r="E528" s="3">
        <v>1258.5</v>
      </c>
      <c r="F528" s="2">
        <v>2025</v>
      </c>
      <c r="G528" s="2" t="s">
        <v>87</v>
      </c>
      <c r="H528" s="2" t="s">
        <v>29</v>
      </c>
      <c r="I528" s="2" t="s">
        <v>30</v>
      </c>
      <c r="J528" s="2" t="s">
        <v>62</v>
      </c>
      <c r="K528" s="2" t="s">
        <v>32</v>
      </c>
      <c r="L528" s="2" t="s">
        <v>144</v>
      </c>
      <c r="M528" s="8">
        <v>45816</v>
      </c>
      <c r="N528" s="2" t="s">
        <v>1358</v>
      </c>
      <c r="O528" s="8">
        <v>45815</v>
      </c>
      <c r="P528" s="8">
        <v>45816</v>
      </c>
      <c r="Q528" s="2" t="s">
        <v>74</v>
      </c>
      <c r="R528" s="2" t="s">
        <v>65</v>
      </c>
      <c r="S528" s="2">
        <v>618101</v>
      </c>
      <c r="T528" s="2" t="s">
        <v>75</v>
      </c>
      <c r="U528" s="2" t="s">
        <v>76</v>
      </c>
      <c r="V528" s="2" t="s">
        <v>1359</v>
      </c>
      <c r="W528" s="2">
        <v>3</v>
      </c>
      <c r="X528" s="4">
        <v>0</v>
      </c>
      <c r="Y528" s="3">
        <v>272.04000000000002</v>
      </c>
    </row>
    <row r="529" spans="1:25" x14ac:dyDescent="0.3">
      <c r="A529" s="2" t="s">
        <v>1360</v>
      </c>
      <c r="B529" s="2" t="s">
        <v>247</v>
      </c>
      <c r="C529" s="2" t="s">
        <v>376</v>
      </c>
      <c r="D529" s="8">
        <v>24867</v>
      </c>
      <c r="E529" s="3">
        <v>1915.56</v>
      </c>
      <c r="F529" s="2">
        <v>2023</v>
      </c>
      <c r="G529" s="2" t="s">
        <v>28</v>
      </c>
      <c r="H529" s="2" t="s">
        <v>163</v>
      </c>
      <c r="I529" s="2" t="s">
        <v>78</v>
      </c>
      <c r="J529" s="2" t="s">
        <v>102</v>
      </c>
      <c r="K529" s="2" t="s">
        <v>32</v>
      </c>
      <c r="L529" s="2" t="s">
        <v>33</v>
      </c>
      <c r="M529" s="8">
        <v>44955</v>
      </c>
      <c r="N529" s="2" t="s">
        <v>1361</v>
      </c>
      <c r="O529" s="8">
        <v>44954</v>
      </c>
      <c r="P529" s="8">
        <v>44955</v>
      </c>
      <c r="Q529" s="2" t="s">
        <v>121</v>
      </c>
      <c r="R529" s="2" t="s">
        <v>197</v>
      </c>
      <c r="S529" s="2">
        <v>615780</v>
      </c>
      <c r="T529" s="2" t="s">
        <v>89</v>
      </c>
      <c r="U529" s="2" t="s">
        <v>90</v>
      </c>
      <c r="V529" s="2" t="s">
        <v>1362</v>
      </c>
      <c r="W529" s="2">
        <v>5</v>
      </c>
      <c r="X529" s="4">
        <v>0.2</v>
      </c>
      <c r="Y529" s="3">
        <v>461.59</v>
      </c>
    </row>
    <row r="530" spans="1:25" x14ac:dyDescent="0.3">
      <c r="A530" s="2" t="s">
        <v>1360</v>
      </c>
      <c r="B530" s="2" t="s">
        <v>247</v>
      </c>
      <c r="C530" s="2" t="s">
        <v>376</v>
      </c>
      <c r="D530" s="8">
        <v>24867</v>
      </c>
      <c r="E530" s="3">
        <v>77.290000000000006</v>
      </c>
      <c r="F530" s="2">
        <v>2023</v>
      </c>
      <c r="G530" s="2" t="s">
        <v>87</v>
      </c>
      <c r="H530" s="2" t="s">
        <v>163</v>
      </c>
      <c r="I530" s="2" t="s">
        <v>49</v>
      </c>
      <c r="J530" s="2" t="s">
        <v>102</v>
      </c>
      <c r="K530" s="2" t="s">
        <v>32</v>
      </c>
      <c r="L530" s="2" t="s">
        <v>33</v>
      </c>
      <c r="M530" s="8">
        <v>45157</v>
      </c>
      <c r="N530" s="2" t="s">
        <v>1363</v>
      </c>
      <c r="O530" s="8">
        <v>45156</v>
      </c>
      <c r="P530" s="8">
        <v>45157</v>
      </c>
      <c r="Q530" s="2" t="s">
        <v>41</v>
      </c>
      <c r="R530" s="2" t="s">
        <v>197</v>
      </c>
      <c r="S530" s="2">
        <v>693047</v>
      </c>
      <c r="T530" s="2" t="s">
        <v>51</v>
      </c>
      <c r="U530" s="2" t="s">
        <v>52</v>
      </c>
      <c r="V530" s="2" t="s">
        <v>1364</v>
      </c>
      <c r="W530" s="2">
        <v>1</v>
      </c>
      <c r="X530" s="4">
        <v>0</v>
      </c>
      <c r="Y530" s="3">
        <v>15.3</v>
      </c>
    </row>
    <row r="531" spans="1:25" x14ac:dyDescent="0.3">
      <c r="A531" s="2" t="s">
        <v>1360</v>
      </c>
      <c r="B531" s="2" t="s">
        <v>247</v>
      </c>
      <c r="C531" s="2" t="s">
        <v>376</v>
      </c>
      <c r="D531" s="8">
        <v>24867</v>
      </c>
      <c r="E531" s="3">
        <v>3120.9</v>
      </c>
      <c r="F531" s="2">
        <v>2024</v>
      </c>
      <c r="G531" s="2" t="s">
        <v>87</v>
      </c>
      <c r="H531" s="2" t="s">
        <v>163</v>
      </c>
      <c r="I531" s="2" t="s">
        <v>92</v>
      </c>
      <c r="J531" s="2" t="s">
        <v>102</v>
      </c>
      <c r="K531" s="2" t="s">
        <v>32</v>
      </c>
      <c r="L531" s="2" t="s">
        <v>33</v>
      </c>
      <c r="M531" s="8">
        <v>45406</v>
      </c>
      <c r="N531" s="2" t="s">
        <v>1365</v>
      </c>
      <c r="O531" s="8">
        <v>45401</v>
      </c>
      <c r="P531" s="8">
        <v>45406</v>
      </c>
      <c r="Q531" s="2" t="s">
        <v>35</v>
      </c>
      <c r="R531" s="2" t="s">
        <v>197</v>
      </c>
      <c r="S531" s="2">
        <v>986340</v>
      </c>
      <c r="T531" s="2" t="s">
        <v>94</v>
      </c>
      <c r="U531" s="2" t="s">
        <v>95</v>
      </c>
      <c r="V531" s="2" t="s">
        <v>1366</v>
      </c>
      <c r="W531" s="2">
        <v>8</v>
      </c>
      <c r="X531" s="4">
        <v>0.2</v>
      </c>
      <c r="Y531" s="3">
        <v>268.01</v>
      </c>
    </row>
    <row r="532" spans="1:25" x14ac:dyDescent="0.3">
      <c r="A532" s="2" t="s">
        <v>1360</v>
      </c>
      <c r="B532" s="2" t="s">
        <v>247</v>
      </c>
      <c r="C532" s="2" t="s">
        <v>376</v>
      </c>
      <c r="D532" s="8">
        <v>24867</v>
      </c>
      <c r="E532" s="3">
        <v>85.64</v>
      </c>
      <c r="F532" s="2">
        <v>2025</v>
      </c>
      <c r="G532" s="2" t="s">
        <v>48</v>
      </c>
      <c r="H532" s="2" t="s">
        <v>163</v>
      </c>
      <c r="I532" s="2" t="s">
        <v>43</v>
      </c>
      <c r="J532" s="2" t="s">
        <v>102</v>
      </c>
      <c r="K532" s="2" t="s">
        <v>32</v>
      </c>
      <c r="L532" s="2" t="s">
        <v>33</v>
      </c>
      <c r="M532" s="8">
        <v>45738</v>
      </c>
      <c r="N532" s="2" t="s">
        <v>1367</v>
      </c>
      <c r="O532" s="8">
        <v>45737</v>
      </c>
      <c r="P532" s="8">
        <v>45739</v>
      </c>
      <c r="Q532" s="2" t="s">
        <v>35</v>
      </c>
      <c r="R532" s="2" t="s">
        <v>197</v>
      </c>
      <c r="S532" s="2">
        <v>385915</v>
      </c>
      <c r="T532" s="2" t="s">
        <v>45</v>
      </c>
      <c r="U532" s="2" t="s">
        <v>46</v>
      </c>
      <c r="V532" s="2" t="s">
        <v>1368</v>
      </c>
      <c r="W532" s="2">
        <v>1</v>
      </c>
      <c r="X532" s="4">
        <v>0.05</v>
      </c>
      <c r="Y532" s="3">
        <v>26.85</v>
      </c>
    </row>
    <row r="533" spans="1:25" x14ac:dyDescent="0.3">
      <c r="A533" s="2" t="s">
        <v>1369</v>
      </c>
      <c r="B533" s="2" t="s">
        <v>607</v>
      </c>
      <c r="C533" s="2" t="s">
        <v>259</v>
      </c>
      <c r="D533" s="8">
        <v>24076</v>
      </c>
      <c r="E533" s="3">
        <v>426.66</v>
      </c>
      <c r="F533" s="2">
        <v>2023</v>
      </c>
      <c r="G533" s="2" t="s">
        <v>87</v>
      </c>
      <c r="H533" s="2" t="s">
        <v>29</v>
      </c>
      <c r="I533" s="2" t="s">
        <v>43</v>
      </c>
      <c r="J533" s="2" t="s">
        <v>227</v>
      </c>
      <c r="K533" s="2" t="s">
        <v>32</v>
      </c>
      <c r="L533" s="2" t="s">
        <v>33</v>
      </c>
      <c r="M533" s="8">
        <v>44976</v>
      </c>
      <c r="N533" s="2" t="s">
        <v>1370</v>
      </c>
      <c r="O533" s="8">
        <v>44976</v>
      </c>
      <c r="P533" s="8">
        <v>44977</v>
      </c>
      <c r="Q533" s="2" t="s">
        <v>74</v>
      </c>
      <c r="R533" s="2" t="s">
        <v>738</v>
      </c>
      <c r="S533" s="2">
        <v>431570</v>
      </c>
      <c r="T533" s="2" t="s">
        <v>153</v>
      </c>
      <c r="U533" s="2" t="s">
        <v>154</v>
      </c>
      <c r="V533" s="2" t="s">
        <v>1371</v>
      </c>
      <c r="W533" s="2">
        <v>2</v>
      </c>
      <c r="X533" s="4">
        <v>0.2</v>
      </c>
      <c r="Y533" s="3">
        <v>101.72</v>
      </c>
    </row>
    <row r="534" spans="1:25" x14ac:dyDescent="0.3">
      <c r="A534" s="2" t="s">
        <v>1369</v>
      </c>
      <c r="B534" s="2" t="s">
        <v>607</v>
      </c>
      <c r="C534" s="2" t="s">
        <v>259</v>
      </c>
      <c r="D534" s="8">
        <v>24076</v>
      </c>
      <c r="E534" s="3">
        <v>356.4</v>
      </c>
      <c r="F534" s="2">
        <v>2023</v>
      </c>
      <c r="G534" s="2" t="s">
        <v>48</v>
      </c>
      <c r="H534" s="2" t="s">
        <v>29</v>
      </c>
      <c r="I534" s="2" t="s">
        <v>49</v>
      </c>
      <c r="J534" s="2" t="s">
        <v>227</v>
      </c>
      <c r="K534" s="2" t="s">
        <v>32</v>
      </c>
      <c r="L534" s="2" t="s">
        <v>33</v>
      </c>
      <c r="M534" s="8">
        <v>45291</v>
      </c>
      <c r="N534" s="2" t="s">
        <v>1372</v>
      </c>
      <c r="O534" s="8">
        <v>45291</v>
      </c>
      <c r="P534" s="8">
        <v>45293</v>
      </c>
      <c r="Q534" s="2" t="s">
        <v>74</v>
      </c>
      <c r="R534" s="2" t="s">
        <v>738</v>
      </c>
      <c r="S534" s="2">
        <v>491133</v>
      </c>
      <c r="T534" s="2" t="s">
        <v>84</v>
      </c>
      <c r="U534" s="2" t="s">
        <v>85</v>
      </c>
      <c r="V534" s="2" t="s">
        <v>1373</v>
      </c>
      <c r="W534" s="2">
        <v>6</v>
      </c>
      <c r="X534" s="4">
        <v>0.1</v>
      </c>
      <c r="Y534" s="3">
        <v>55.42</v>
      </c>
    </row>
    <row r="535" spans="1:25" x14ac:dyDescent="0.3">
      <c r="A535" s="2" t="s">
        <v>1369</v>
      </c>
      <c r="B535" s="2" t="s">
        <v>607</v>
      </c>
      <c r="C535" s="2" t="s">
        <v>259</v>
      </c>
      <c r="D535" s="8">
        <v>24076</v>
      </c>
      <c r="E535" s="3">
        <v>207.48</v>
      </c>
      <c r="F535" s="2">
        <v>2024</v>
      </c>
      <c r="G535" s="2" t="s">
        <v>87</v>
      </c>
      <c r="H535" s="2" t="s">
        <v>29</v>
      </c>
      <c r="I535" s="2" t="s">
        <v>92</v>
      </c>
      <c r="J535" s="2" t="s">
        <v>227</v>
      </c>
      <c r="K535" s="2" t="s">
        <v>32</v>
      </c>
      <c r="L535" s="2" t="s">
        <v>33</v>
      </c>
      <c r="M535" s="8">
        <v>45580</v>
      </c>
      <c r="N535" s="2" t="s">
        <v>1374</v>
      </c>
      <c r="O535" s="8">
        <v>45578</v>
      </c>
      <c r="P535" s="8">
        <v>45580</v>
      </c>
      <c r="Q535" s="2" t="s">
        <v>35</v>
      </c>
      <c r="R535" s="2" t="s">
        <v>738</v>
      </c>
      <c r="S535" s="2">
        <v>537619</v>
      </c>
      <c r="T535" s="2" t="s">
        <v>127</v>
      </c>
      <c r="U535" s="2" t="s">
        <v>128</v>
      </c>
      <c r="V535" s="2" t="s">
        <v>1375</v>
      </c>
      <c r="W535" s="2">
        <v>3</v>
      </c>
      <c r="X535" s="4">
        <v>0</v>
      </c>
      <c r="Y535" s="3">
        <v>41.71</v>
      </c>
    </row>
    <row r="536" spans="1:25" x14ac:dyDescent="0.3">
      <c r="A536" s="2" t="s">
        <v>1376</v>
      </c>
      <c r="B536" s="2" t="s">
        <v>59</v>
      </c>
      <c r="C536" s="2" t="s">
        <v>455</v>
      </c>
      <c r="D536" s="8">
        <v>34711</v>
      </c>
      <c r="E536" s="3">
        <v>1758.5</v>
      </c>
      <c r="F536" s="2">
        <v>2023</v>
      </c>
      <c r="G536" s="2" t="s">
        <v>28</v>
      </c>
      <c r="H536" s="2" t="s">
        <v>29</v>
      </c>
      <c r="I536" s="2" t="s">
        <v>78</v>
      </c>
      <c r="J536" s="2" t="s">
        <v>102</v>
      </c>
      <c r="K536" s="2" t="s">
        <v>32</v>
      </c>
      <c r="L536" s="2" t="s">
        <v>144</v>
      </c>
      <c r="M536" s="8">
        <v>45009</v>
      </c>
      <c r="N536" s="2" t="s">
        <v>1377</v>
      </c>
      <c r="O536" s="8">
        <v>45005</v>
      </c>
      <c r="P536" s="8">
        <v>45010</v>
      </c>
      <c r="Q536" s="2" t="s">
        <v>121</v>
      </c>
      <c r="R536" s="2" t="s">
        <v>186</v>
      </c>
      <c r="S536" s="2">
        <v>844378</v>
      </c>
      <c r="T536" s="2" t="s">
        <v>80</v>
      </c>
      <c r="U536" s="2" t="s">
        <v>81</v>
      </c>
      <c r="V536" s="2" t="s">
        <v>1378</v>
      </c>
      <c r="W536" s="2">
        <v>5</v>
      </c>
      <c r="X536" s="4">
        <v>0</v>
      </c>
      <c r="Y536" s="3">
        <v>518.95000000000005</v>
      </c>
    </row>
    <row r="537" spans="1:25" x14ac:dyDescent="0.3">
      <c r="A537" s="2" t="s">
        <v>1376</v>
      </c>
      <c r="B537" s="2" t="s">
        <v>59</v>
      </c>
      <c r="C537" s="2" t="s">
        <v>455</v>
      </c>
      <c r="D537" s="8">
        <v>34711</v>
      </c>
      <c r="E537" s="3">
        <v>202.77</v>
      </c>
      <c r="F537" s="2">
        <v>2023</v>
      </c>
      <c r="G537" s="2" t="s">
        <v>48</v>
      </c>
      <c r="H537" s="2" t="s">
        <v>29</v>
      </c>
      <c r="I537" s="2" t="s">
        <v>43</v>
      </c>
      <c r="J537" s="2" t="s">
        <v>102</v>
      </c>
      <c r="K537" s="2" t="s">
        <v>32</v>
      </c>
      <c r="L537" s="2" t="s">
        <v>144</v>
      </c>
      <c r="M537" s="8">
        <v>45047</v>
      </c>
      <c r="N537" s="2" t="s">
        <v>1379</v>
      </c>
      <c r="O537" s="8">
        <v>45046</v>
      </c>
      <c r="P537" s="8">
        <v>45048</v>
      </c>
      <c r="Q537" s="2" t="s">
        <v>121</v>
      </c>
      <c r="R537" s="2" t="s">
        <v>186</v>
      </c>
      <c r="S537" s="2">
        <v>236543</v>
      </c>
      <c r="T537" s="2" t="s">
        <v>45</v>
      </c>
      <c r="U537" s="2" t="s">
        <v>46</v>
      </c>
      <c r="V537" s="2" t="s">
        <v>1380</v>
      </c>
      <c r="W537" s="2">
        <v>2</v>
      </c>
      <c r="X537" s="4">
        <v>0.2</v>
      </c>
      <c r="Y537" s="3">
        <v>52.37</v>
      </c>
    </row>
    <row r="538" spans="1:25" x14ac:dyDescent="0.3">
      <c r="A538" s="2" t="s">
        <v>1376</v>
      </c>
      <c r="B538" s="2" t="s">
        <v>59</v>
      </c>
      <c r="C538" s="2" t="s">
        <v>455</v>
      </c>
      <c r="D538" s="8">
        <v>34711</v>
      </c>
      <c r="E538" s="3">
        <v>91.7</v>
      </c>
      <c r="F538" s="2">
        <v>2023</v>
      </c>
      <c r="G538" s="2" t="s">
        <v>48</v>
      </c>
      <c r="H538" s="2" t="s">
        <v>29</v>
      </c>
      <c r="I538" s="2" t="s">
        <v>78</v>
      </c>
      <c r="J538" s="2" t="s">
        <v>102</v>
      </c>
      <c r="K538" s="2" t="s">
        <v>32</v>
      </c>
      <c r="L538" s="2" t="s">
        <v>144</v>
      </c>
      <c r="M538" s="8">
        <v>45061</v>
      </c>
      <c r="N538" s="2" t="s">
        <v>1381</v>
      </c>
      <c r="O538" s="8">
        <v>45061</v>
      </c>
      <c r="P538" s="8">
        <v>45065</v>
      </c>
      <c r="Q538" s="2" t="s">
        <v>35</v>
      </c>
      <c r="R538" s="2" t="s">
        <v>186</v>
      </c>
      <c r="S538" s="2">
        <v>134385</v>
      </c>
      <c r="T538" s="2" t="s">
        <v>80</v>
      </c>
      <c r="U538" s="2" t="s">
        <v>81</v>
      </c>
      <c r="V538" s="2" t="s">
        <v>1382</v>
      </c>
      <c r="W538" s="2">
        <v>2</v>
      </c>
      <c r="X538" s="4">
        <v>0.2</v>
      </c>
      <c r="Y538" s="3">
        <v>17.91</v>
      </c>
    </row>
    <row r="539" spans="1:25" x14ac:dyDescent="0.3">
      <c r="A539" s="2" t="s">
        <v>1376</v>
      </c>
      <c r="B539" s="2" t="s">
        <v>59</v>
      </c>
      <c r="C539" s="2" t="s">
        <v>455</v>
      </c>
      <c r="D539" s="8">
        <v>34711</v>
      </c>
      <c r="E539" s="3">
        <v>245.16</v>
      </c>
      <c r="F539" s="2">
        <v>2025</v>
      </c>
      <c r="G539" s="2" t="s">
        <v>48</v>
      </c>
      <c r="H539" s="2" t="s">
        <v>29</v>
      </c>
      <c r="I539" s="2" t="s">
        <v>49</v>
      </c>
      <c r="J539" s="2" t="s">
        <v>102</v>
      </c>
      <c r="K539" s="2" t="s">
        <v>32</v>
      </c>
      <c r="L539" s="2" t="s">
        <v>144</v>
      </c>
      <c r="M539" s="8">
        <v>45765</v>
      </c>
      <c r="N539" s="2" t="s">
        <v>1383</v>
      </c>
      <c r="O539" s="8">
        <v>45765</v>
      </c>
      <c r="P539" s="8">
        <v>45768</v>
      </c>
      <c r="Q539" s="2" t="s">
        <v>35</v>
      </c>
      <c r="R539" s="2" t="s">
        <v>186</v>
      </c>
      <c r="S539" s="2">
        <v>731024</v>
      </c>
      <c r="T539" s="2" t="s">
        <v>51</v>
      </c>
      <c r="U539" s="2" t="s">
        <v>52</v>
      </c>
      <c r="V539" s="2" t="s">
        <v>237</v>
      </c>
      <c r="W539" s="2">
        <v>1</v>
      </c>
      <c r="X539" s="4">
        <v>0</v>
      </c>
      <c r="Y539" s="3">
        <v>15.44</v>
      </c>
    </row>
    <row r="540" spans="1:25" x14ac:dyDescent="0.3">
      <c r="A540" s="2" t="s">
        <v>1384</v>
      </c>
      <c r="B540" s="2" t="s">
        <v>684</v>
      </c>
      <c r="C540" s="2" t="s">
        <v>162</v>
      </c>
      <c r="D540" s="8">
        <v>36307</v>
      </c>
      <c r="E540" s="3">
        <v>152.78</v>
      </c>
      <c r="F540" s="2">
        <v>2023</v>
      </c>
      <c r="G540" s="2" t="s">
        <v>28</v>
      </c>
      <c r="H540" s="2" t="s">
        <v>29</v>
      </c>
      <c r="I540" s="2" t="s">
        <v>49</v>
      </c>
      <c r="J540" s="2" t="s">
        <v>143</v>
      </c>
      <c r="K540" s="2" t="s">
        <v>32</v>
      </c>
      <c r="L540" s="2" t="s">
        <v>63</v>
      </c>
      <c r="M540" s="8">
        <v>45118</v>
      </c>
      <c r="N540" s="2" t="s">
        <v>1385</v>
      </c>
      <c r="O540" s="8">
        <v>45116</v>
      </c>
      <c r="P540" s="8">
        <v>45121</v>
      </c>
      <c r="Q540" s="2" t="s">
        <v>121</v>
      </c>
      <c r="R540" s="2" t="s">
        <v>523</v>
      </c>
      <c r="S540" s="2">
        <v>996677</v>
      </c>
      <c r="T540" s="2" t="s">
        <v>84</v>
      </c>
      <c r="U540" s="2" t="s">
        <v>85</v>
      </c>
      <c r="V540" s="2" t="s">
        <v>1386</v>
      </c>
      <c r="W540" s="2">
        <v>2</v>
      </c>
      <c r="X540" s="4">
        <v>0.15</v>
      </c>
      <c r="Y540" s="3">
        <v>50.81</v>
      </c>
    </row>
    <row r="541" spans="1:25" x14ac:dyDescent="0.3">
      <c r="A541" s="2" t="s">
        <v>1384</v>
      </c>
      <c r="B541" s="2" t="s">
        <v>684</v>
      </c>
      <c r="C541" s="2" t="s">
        <v>162</v>
      </c>
      <c r="D541" s="8">
        <v>36307</v>
      </c>
      <c r="E541" s="3">
        <v>1049.44</v>
      </c>
      <c r="F541" s="2">
        <v>2023</v>
      </c>
      <c r="G541" s="2" t="s">
        <v>87</v>
      </c>
      <c r="H541" s="2" t="s">
        <v>29</v>
      </c>
      <c r="I541" s="2" t="s">
        <v>30</v>
      </c>
      <c r="J541" s="2" t="s">
        <v>143</v>
      </c>
      <c r="K541" s="2" t="s">
        <v>32</v>
      </c>
      <c r="L541" s="2" t="s">
        <v>63</v>
      </c>
      <c r="M541" s="8">
        <v>45131</v>
      </c>
      <c r="N541" s="2" t="s">
        <v>1387</v>
      </c>
      <c r="O541" s="8">
        <v>45131</v>
      </c>
      <c r="P541" s="8">
        <v>45136</v>
      </c>
      <c r="Q541" s="2" t="s">
        <v>121</v>
      </c>
      <c r="R541" s="2" t="s">
        <v>523</v>
      </c>
      <c r="S541" s="2">
        <v>850582</v>
      </c>
      <c r="T541" s="2" t="s">
        <v>55</v>
      </c>
      <c r="U541" s="2" t="s">
        <v>56</v>
      </c>
      <c r="V541" s="2" t="s">
        <v>1388</v>
      </c>
      <c r="W541" s="2">
        <v>4</v>
      </c>
      <c r="X541" s="4">
        <v>0</v>
      </c>
      <c r="Y541" s="3">
        <v>83.67</v>
      </c>
    </row>
    <row r="542" spans="1:25" x14ac:dyDescent="0.3">
      <c r="A542" s="2" t="s">
        <v>1389</v>
      </c>
      <c r="B542" s="2" t="s">
        <v>195</v>
      </c>
      <c r="C542" s="2" t="s">
        <v>60</v>
      </c>
      <c r="D542" s="8">
        <v>35512</v>
      </c>
      <c r="E542" s="3">
        <v>834.53</v>
      </c>
      <c r="F542" s="2">
        <v>2023</v>
      </c>
      <c r="G542" s="2" t="s">
        <v>87</v>
      </c>
      <c r="H542" s="2" t="s">
        <v>29</v>
      </c>
      <c r="I542" s="2" t="s">
        <v>30</v>
      </c>
      <c r="J542" s="2" t="s">
        <v>102</v>
      </c>
      <c r="K542" s="2" t="s">
        <v>32</v>
      </c>
      <c r="L542" s="2" t="s">
        <v>144</v>
      </c>
      <c r="M542" s="8">
        <v>45104</v>
      </c>
      <c r="N542" s="2" t="s">
        <v>1390</v>
      </c>
      <c r="O542" s="8">
        <v>45102</v>
      </c>
      <c r="P542" s="8">
        <v>45106</v>
      </c>
      <c r="Q542" s="2" t="s">
        <v>121</v>
      </c>
      <c r="R542" s="2" t="s">
        <v>186</v>
      </c>
      <c r="S542" s="2">
        <v>561023</v>
      </c>
      <c r="T542" s="2" t="s">
        <v>75</v>
      </c>
      <c r="U542" s="2" t="s">
        <v>76</v>
      </c>
      <c r="V542" s="2" t="s">
        <v>1391</v>
      </c>
      <c r="W542" s="2">
        <v>2</v>
      </c>
      <c r="X542" s="4">
        <v>0.1</v>
      </c>
      <c r="Y542" s="3">
        <v>254.86</v>
      </c>
    </row>
    <row r="543" spans="1:25" x14ac:dyDescent="0.3">
      <c r="A543" s="2" t="s">
        <v>1389</v>
      </c>
      <c r="B543" s="2" t="s">
        <v>195</v>
      </c>
      <c r="C543" s="2" t="s">
        <v>60</v>
      </c>
      <c r="D543" s="8">
        <v>35512</v>
      </c>
      <c r="E543" s="3">
        <v>2798.81</v>
      </c>
      <c r="F543" s="2">
        <v>2023</v>
      </c>
      <c r="G543" s="2" t="s">
        <v>48</v>
      </c>
      <c r="H543" s="2" t="s">
        <v>29</v>
      </c>
      <c r="I543" s="2" t="s">
        <v>49</v>
      </c>
      <c r="J543" s="2" t="s">
        <v>102</v>
      </c>
      <c r="K543" s="2" t="s">
        <v>32</v>
      </c>
      <c r="L543" s="2" t="s">
        <v>144</v>
      </c>
      <c r="M543" s="8">
        <v>45216</v>
      </c>
      <c r="N543" s="2" t="s">
        <v>1392</v>
      </c>
      <c r="O543" s="8">
        <v>45215</v>
      </c>
      <c r="P543" s="8">
        <v>45217</v>
      </c>
      <c r="Q543" s="2" t="s">
        <v>74</v>
      </c>
      <c r="R543" s="2" t="s">
        <v>186</v>
      </c>
      <c r="S543" s="2">
        <v>229620</v>
      </c>
      <c r="T543" s="2" t="s">
        <v>109</v>
      </c>
      <c r="U543" s="2" t="s">
        <v>110</v>
      </c>
      <c r="V543" s="2" t="s">
        <v>1393</v>
      </c>
      <c r="W543" s="2">
        <v>6</v>
      </c>
      <c r="X543" s="4">
        <v>0.05</v>
      </c>
      <c r="Y543" s="3">
        <v>319.85000000000002</v>
      </c>
    </row>
    <row r="544" spans="1:25" x14ac:dyDescent="0.3">
      <c r="A544" s="2" t="s">
        <v>1394</v>
      </c>
      <c r="B544" s="2" t="s">
        <v>183</v>
      </c>
      <c r="C544" s="2" t="s">
        <v>545</v>
      </c>
      <c r="D544" s="8">
        <v>24163</v>
      </c>
      <c r="E544" s="3">
        <v>3299.67</v>
      </c>
      <c r="F544" s="2">
        <v>2023</v>
      </c>
      <c r="G544" s="2" t="s">
        <v>28</v>
      </c>
      <c r="H544" s="2" t="s">
        <v>163</v>
      </c>
      <c r="I544" s="2" t="s">
        <v>43</v>
      </c>
      <c r="J544" s="2" t="s">
        <v>143</v>
      </c>
      <c r="K544" s="2" t="s">
        <v>32</v>
      </c>
      <c r="L544" s="2" t="s">
        <v>144</v>
      </c>
      <c r="M544" s="8">
        <v>45067</v>
      </c>
      <c r="N544" s="2" t="s">
        <v>1395</v>
      </c>
      <c r="O544" s="8">
        <v>45066</v>
      </c>
      <c r="P544" s="8">
        <v>45067</v>
      </c>
      <c r="Q544" s="2" t="s">
        <v>41</v>
      </c>
      <c r="R544" s="2" t="s">
        <v>421</v>
      </c>
      <c r="S544" s="2">
        <v>729554</v>
      </c>
      <c r="T544" s="2" t="s">
        <v>70</v>
      </c>
      <c r="U544" s="2" t="s">
        <v>71</v>
      </c>
      <c r="V544" s="2" t="s">
        <v>1396</v>
      </c>
      <c r="W544" s="2">
        <v>9</v>
      </c>
      <c r="X544" s="4">
        <v>0</v>
      </c>
      <c r="Y544" s="3">
        <v>489.79</v>
      </c>
    </row>
    <row r="545" spans="1:25" x14ac:dyDescent="0.3">
      <c r="A545" s="2" t="s">
        <v>1394</v>
      </c>
      <c r="B545" s="2" t="s">
        <v>183</v>
      </c>
      <c r="C545" s="2" t="s">
        <v>545</v>
      </c>
      <c r="D545" s="8">
        <v>24163</v>
      </c>
      <c r="E545" s="3">
        <v>975.99</v>
      </c>
      <c r="F545" s="2">
        <v>2024</v>
      </c>
      <c r="G545" s="2" t="s">
        <v>48</v>
      </c>
      <c r="H545" s="2" t="s">
        <v>163</v>
      </c>
      <c r="I545" s="2" t="s">
        <v>49</v>
      </c>
      <c r="J545" s="2" t="s">
        <v>143</v>
      </c>
      <c r="K545" s="2" t="s">
        <v>32</v>
      </c>
      <c r="L545" s="2" t="s">
        <v>144</v>
      </c>
      <c r="M545" s="8">
        <v>45435</v>
      </c>
      <c r="N545" s="2" t="s">
        <v>1397</v>
      </c>
      <c r="O545" s="8">
        <v>45434</v>
      </c>
      <c r="P545" s="8">
        <v>45438</v>
      </c>
      <c r="Q545" s="2" t="s">
        <v>41</v>
      </c>
      <c r="R545" s="2" t="s">
        <v>421</v>
      </c>
      <c r="S545" s="2">
        <v>812120</v>
      </c>
      <c r="T545" s="2" t="s">
        <v>84</v>
      </c>
      <c r="U545" s="2" t="s">
        <v>85</v>
      </c>
      <c r="V545" s="2" t="s">
        <v>1398</v>
      </c>
      <c r="W545" s="2">
        <v>8</v>
      </c>
      <c r="X545" s="4">
        <v>0.05</v>
      </c>
      <c r="Y545" s="3">
        <v>133.88</v>
      </c>
    </row>
    <row r="546" spans="1:25" x14ac:dyDescent="0.3">
      <c r="A546" s="2" t="s">
        <v>1394</v>
      </c>
      <c r="B546" s="2" t="s">
        <v>183</v>
      </c>
      <c r="C546" s="2" t="s">
        <v>545</v>
      </c>
      <c r="D546" s="8">
        <v>24163</v>
      </c>
      <c r="E546" s="3">
        <v>2603.84</v>
      </c>
      <c r="F546" s="2">
        <v>2024</v>
      </c>
      <c r="G546" s="2" t="s">
        <v>48</v>
      </c>
      <c r="H546" s="2" t="s">
        <v>163</v>
      </c>
      <c r="I546" s="2" t="s">
        <v>43</v>
      </c>
      <c r="J546" s="2" t="s">
        <v>143</v>
      </c>
      <c r="K546" s="2" t="s">
        <v>32</v>
      </c>
      <c r="L546" s="2" t="s">
        <v>144</v>
      </c>
      <c r="M546" s="8">
        <v>45459</v>
      </c>
      <c r="N546" s="2" t="s">
        <v>1399</v>
      </c>
      <c r="O546" s="8">
        <v>45459</v>
      </c>
      <c r="P546" s="8">
        <v>45460</v>
      </c>
      <c r="Q546" s="2" t="s">
        <v>41</v>
      </c>
      <c r="R546" s="2" t="s">
        <v>421</v>
      </c>
      <c r="S546" s="2">
        <v>520085</v>
      </c>
      <c r="T546" s="2" t="s">
        <v>45</v>
      </c>
      <c r="U546" s="2" t="s">
        <v>46</v>
      </c>
      <c r="V546" s="2" t="s">
        <v>1400</v>
      </c>
      <c r="W546" s="2">
        <v>8</v>
      </c>
      <c r="X546" s="4">
        <v>0.05</v>
      </c>
      <c r="Y546" s="3">
        <v>472.38</v>
      </c>
    </row>
    <row r="547" spans="1:25" x14ac:dyDescent="0.3">
      <c r="A547" s="2" t="s">
        <v>1394</v>
      </c>
      <c r="B547" s="2" t="s">
        <v>183</v>
      </c>
      <c r="C547" s="2" t="s">
        <v>545</v>
      </c>
      <c r="D547" s="8">
        <v>24163</v>
      </c>
      <c r="E547" s="3">
        <v>153.18</v>
      </c>
      <c r="F547" s="2">
        <v>2025</v>
      </c>
      <c r="G547" s="2" t="s">
        <v>48</v>
      </c>
      <c r="H547" s="2" t="s">
        <v>163</v>
      </c>
      <c r="I547" s="2" t="s">
        <v>49</v>
      </c>
      <c r="J547" s="2" t="s">
        <v>143</v>
      </c>
      <c r="K547" s="2" t="s">
        <v>32</v>
      </c>
      <c r="L547" s="2" t="s">
        <v>144</v>
      </c>
      <c r="M547" s="8">
        <v>45710</v>
      </c>
      <c r="N547" s="2" t="s">
        <v>1401</v>
      </c>
      <c r="O547" s="8">
        <v>45707</v>
      </c>
      <c r="P547" s="8">
        <v>45712</v>
      </c>
      <c r="Q547" s="2" t="s">
        <v>121</v>
      </c>
      <c r="R547" s="2" t="s">
        <v>421</v>
      </c>
      <c r="S547" s="2">
        <v>978821</v>
      </c>
      <c r="T547" s="2" t="s">
        <v>51</v>
      </c>
      <c r="U547" s="2" t="s">
        <v>52</v>
      </c>
      <c r="V547" s="2" t="s">
        <v>1402</v>
      </c>
      <c r="W547" s="2">
        <v>3</v>
      </c>
      <c r="X547" s="4">
        <v>0</v>
      </c>
      <c r="Y547" s="3">
        <v>23.22</v>
      </c>
    </row>
    <row r="548" spans="1:25" x14ac:dyDescent="0.3">
      <c r="A548" s="2" t="s">
        <v>1403</v>
      </c>
      <c r="B548" s="2" t="s">
        <v>1404</v>
      </c>
      <c r="C548" s="2" t="s">
        <v>322</v>
      </c>
      <c r="D548" s="8">
        <v>24988</v>
      </c>
      <c r="E548" s="3">
        <v>1532.12</v>
      </c>
      <c r="F548" s="2">
        <v>2023</v>
      </c>
      <c r="G548" s="2" t="s">
        <v>28</v>
      </c>
      <c r="H548" s="2" t="s">
        <v>29</v>
      </c>
      <c r="I548" s="2" t="s">
        <v>49</v>
      </c>
      <c r="J548" s="2" t="s">
        <v>227</v>
      </c>
      <c r="K548" s="2" t="s">
        <v>32</v>
      </c>
      <c r="L548" s="2" t="s">
        <v>33</v>
      </c>
      <c r="M548" s="8">
        <v>45214</v>
      </c>
      <c r="N548" s="2" t="s">
        <v>1405</v>
      </c>
      <c r="O548" s="8">
        <v>45212</v>
      </c>
      <c r="P548" s="8">
        <v>45216</v>
      </c>
      <c r="Q548" s="2" t="s">
        <v>41</v>
      </c>
      <c r="R548" s="2" t="s">
        <v>229</v>
      </c>
      <c r="S548" s="2">
        <v>608069</v>
      </c>
      <c r="T548" s="2" t="s">
        <v>51</v>
      </c>
      <c r="U548" s="2" t="s">
        <v>52</v>
      </c>
      <c r="V548" s="2" t="s">
        <v>237</v>
      </c>
      <c r="W548" s="2">
        <v>5</v>
      </c>
      <c r="X548" s="4">
        <v>0.2</v>
      </c>
      <c r="Y548" s="3">
        <v>372.53</v>
      </c>
    </row>
    <row r="549" spans="1:25" x14ac:dyDescent="0.3">
      <c r="A549" s="2" t="s">
        <v>1403</v>
      </c>
      <c r="B549" s="2" t="s">
        <v>1404</v>
      </c>
      <c r="C549" s="2" t="s">
        <v>322</v>
      </c>
      <c r="D549" s="8">
        <v>24988</v>
      </c>
      <c r="E549" s="3">
        <v>574.88</v>
      </c>
      <c r="F549" s="2">
        <v>2024</v>
      </c>
      <c r="G549" s="2" t="s">
        <v>48</v>
      </c>
      <c r="H549" s="2" t="s">
        <v>29</v>
      </c>
      <c r="I549" s="2" t="s">
        <v>30</v>
      </c>
      <c r="J549" s="2" t="s">
        <v>227</v>
      </c>
      <c r="K549" s="2" t="s">
        <v>32</v>
      </c>
      <c r="L549" s="2" t="s">
        <v>33</v>
      </c>
      <c r="M549" s="8">
        <v>45440</v>
      </c>
      <c r="N549" s="2" t="s">
        <v>1406</v>
      </c>
      <c r="O549" s="8">
        <v>45438</v>
      </c>
      <c r="P549" s="8">
        <v>45440</v>
      </c>
      <c r="Q549" s="2" t="s">
        <v>35</v>
      </c>
      <c r="R549" s="2" t="s">
        <v>229</v>
      </c>
      <c r="S549" s="2">
        <v>204441</v>
      </c>
      <c r="T549" s="2" t="s">
        <v>37</v>
      </c>
      <c r="U549" s="2" t="s">
        <v>38</v>
      </c>
      <c r="V549" s="2" t="s">
        <v>1407</v>
      </c>
      <c r="W549" s="2">
        <v>8</v>
      </c>
      <c r="X549" s="4">
        <v>0</v>
      </c>
      <c r="Y549" s="3">
        <v>113.14</v>
      </c>
    </row>
    <row r="550" spans="1:25" x14ac:dyDescent="0.3">
      <c r="A550" s="2" t="s">
        <v>1403</v>
      </c>
      <c r="B550" s="2" t="s">
        <v>1404</v>
      </c>
      <c r="C550" s="2" t="s">
        <v>322</v>
      </c>
      <c r="D550" s="8">
        <v>24988</v>
      </c>
      <c r="E550" s="3">
        <v>518.20000000000005</v>
      </c>
      <c r="F550" s="2">
        <v>2025</v>
      </c>
      <c r="G550" s="2" t="s">
        <v>87</v>
      </c>
      <c r="H550" s="2" t="s">
        <v>29</v>
      </c>
      <c r="I550" s="2" t="s">
        <v>49</v>
      </c>
      <c r="J550" s="2" t="s">
        <v>227</v>
      </c>
      <c r="K550" s="2" t="s">
        <v>32</v>
      </c>
      <c r="L550" s="2" t="s">
        <v>33</v>
      </c>
      <c r="M550" s="8">
        <v>45714</v>
      </c>
      <c r="N550" s="2" t="s">
        <v>1408</v>
      </c>
      <c r="O550" s="8">
        <v>45710</v>
      </c>
      <c r="P550" s="8">
        <v>45714</v>
      </c>
      <c r="Q550" s="2" t="s">
        <v>74</v>
      </c>
      <c r="R550" s="2" t="s">
        <v>229</v>
      </c>
      <c r="S550" s="2">
        <v>260155</v>
      </c>
      <c r="T550" s="2" t="s">
        <v>109</v>
      </c>
      <c r="U550" s="2" t="s">
        <v>110</v>
      </c>
      <c r="V550" s="2" t="s">
        <v>1409</v>
      </c>
      <c r="W550" s="2">
        <v>2</v>
      </c>
      <c r="X550" s="4">
        <v>0</v>
      </c>
      <c r="Y550" s="3">
        <v>177.03</v>
      </c>
    </row>
    <row r="551" spans="1:25" x14ac:dyDescent="0.3">
      <c r="A551" s="2" t="s">
        <v>1410</v>
      </c>
      <c r="B551" s="2" t="s">
        <v>684</v>
      </c>
      <c r="C551" s="2" t="s">
        <v>437</v>
      </c>
      <c r="D551" s="8">
        <v>28684</v>
      </c>
      <c r="E551" s="3">
        <v>795.12</v>
      </c>
      <c r="F551" s="2">
        <v>2023</v>
      </c>
      <c r="G551" s="2" t="s">
        <v>87</v>
      </c>
      <c r="H551" s="2" t="s">
        <v>29</v>
      </c>
      <c r="I551" s="2" t="s">
        <v>78</v>
      </c>
      <c r="J551" s="2" t="s">
        <v>227</v>
      </c>
      <c r="K551" s="2" t="s">
        <v>32</v>
      </c>
      <c r="L551" s="2" t="s">
        <v>63</v>
      </c>
      <c r="M551" s="8">
        <v>45027</v>
      </c>
      <c r="N551" s="2" t="s">
        <v>1411</v>
      </c>
      <c r="O551" s="8">
        <v>45025</v>
      </c>
      <c r="P551" s="8">
        <v>45030</v>
      </c>
      <c r="Q551" s="2" t="s">
        <v>74</v>
      </c>
      <c r="R551" s="2" t="s">
        <v>738</v>
      </c>
      <c r="S551" s="2">
        <v>948802</v>
      </c>
      <c r="T551" s="2" t="s">
        <v>80</v>
      </c>
      <c r="U551" s="2" t="s">
        <v>81</v>
      </c>
      <c r="V551" s="2" t="s">
        <v>1412</v>
      </c>
      <c r="W551" s="2">
        <v>8</v>
      </c>
      <c r="X551" s="4">
        <v>0.15</v>
      </c>
      <c r="Y551" s="3">
        <v>158.52000000000001</v>
      </c>
    </row>
    <row r="552" spans="1:25" x14ac:dyDescent="0.3">
      <c r="A552" s="2" t="s">
        <v>1410</v>
      </c>
      <c r="B552" s="2" t="s">
        <v>684</v>
      </c>
      <c r="C552" s="2" t="s">
        <v>437</v>
      </c>
      <c r="D552" s="8">
        <v>28684</v>
      </c>
      <c r="E552" s="3">
        <v>495.54</v>
      </c>
      <c r="F552" s="2">
        <v>2024</v>
      </c>
      <c r="G552" s="2" t="s">
        <v>28</v>
      </c>
      <c r="H552" s="2" t="s">
        <v>29</v>
      </c>
      <c r="I552" s="2" t="s">
        <v>30</v>
      </c>
      <c r="J552" s="2" t="s">
        <v>227</v>
      </c>
      <c r="K552" s="2" t="s">
        <v>32</v>
      </c>
      <c r="L552" s="2" t="s">
        <v>63</v>
      </c>
      <c r="M552" s="8">
        <v>45568</v>
      </c>
      <c r="N552" s="2" t="s">
        <v>1413</v>
      </c>
      <c r="O552" s="8">
        <v>45565</v>
      </c>
      <c r="P552" s="8">
        <v>45568</v>
      </c>
      <c r="Q552" s="2" t="s">
        <v>41</v>
      </c>
      <c r="R552" s="2" t="s">
        <v>738</v>
      </c>
      <c r="S552" s="2">
        <v>137728</v>
      </c>
      <c r="T552" s="2" t="s">
        <v>55</v>
      </c>
      <c r="U552" s="2" t="s">
        <v>56</v>
      </c>
      <c r="V552" s="2" t="s">
        <v>1414</v>
      </c>
      <c r="W552" s="2">
        <v>1</v>
      </c>
      <c r="X552" s="4">
        <v>0</v>
      </c>
      <c r="Y552" s="3">
        <v>81.81</v>
      </c>
    </row>
    <row r="553" spans="1:25" x14ac:dyDescent="0.3">
      <c r="A553" s="2" t="s">
        <v>1410</v>
      </c>
      <c r="B553" s="2" t="s">
        <v>684</v>
      </c>
      <c r="C553" s="2" t="s">
        <v>437</v>
      </c>
      <c r="D553" s="8">
        <v>28684</v>
      </c>
      <c r="E553" s="3">
        <v>2223.3000000000002</v>
      </c>
      <c r="F553" s="2">
        <v>2025</v>
      </c>
      <c r="G553" s="2" t="s">
        <v>87</v>
      </c>
      <c r="H553" s="2" t="s">
        <v>29</v>
      </c>
      <c r="I553" s="2" t="s">
        <v>78</v>
      </c>
      <c r="J553" s="2" t="s">
        <v>227</v>
      </c>
      <c r="K553" s="2" t="s">
        <v>32</v>
      </c>
      <c r="L553" s="2" t="s">
        <v>63</v>
      </c>
      <c r="M553" s="8">
        <v>45706</v>
      </c>
      <c r="N553" s="2" t="s">
        <v>1415</v>
      </c>
      <c r="O553" s="8">
        <v>45705</v>
      </c>
      <c r="P553" s="8">
        <v>45707</v>
      </c>
      <c r="Q553" s="2" t="s">
        <v>41</v>
      </c>
      <c r="R553" s="2" t="s">
        <v>738</v>
      </c>
      <c r="S553" s="2">
        <v>611133</v>
      </c>
      <c r="T553" s="2" t="s">
        <v>89</v>
      </c>
      <c r="U553" s="2" t="s">
        <v>90</v>
      </c>
      <c r="V553" s="2" t="s">
        <v>1416</v>
      </c>
      <c r="W553" s="2">
        <v>5</v>
      </c>
      <c r="X553" s="4">
        <v>0</v>
      </c>
      <c r="Y553" s="3">
        <v>438.98</v>
      </c>
    </row>
    <row r="554" spans="1:25" x14ac:dyDescent="0.3">
      <c r="A554" s="2" t="s">
        <v>1417</v>
      </c>
      <c r="B554" s="2" t="s">
        <v>562</v>
      </c>
      <c r="C554" s="2" t="s">
        <v>897</v>
      </c>
      <c r="D554" s="8">
        <v>32471</v>
      </c>
      <c r="E554" s="3">
        <v>1590.02</v>
      </c>
      <c r="F554" s="2">
        <v>2024</v>
      </c>
      <c r="G554" s="2" t="s">
        <v>28</v>
      </c>
      <c r="H554" s="2" t="s">
        <v>29</v>
      </c>
      <c r="I554" s="2" t="s">
        <v>49</v>
      </c>
      <c r="J554" s="2" t="s">
        <v>143</v>
      </c>
      <c r="K554" s="2" t="s">
        <v>32</v>
      </c>
      <c r="L554" s="2" t="s">
        <v>33</v>
      </c>
      <c r="M554" s="8">
        <v>45430</v>
      </c>
      <c r="N554" s="2" t="s">
        <v>1418</v>
      </c>
      <c r="O554" s="8">
        <v>45429</v>
      </c>
      <c r="P554" s="8">
        <v>45430</v>
      </c>
      <c r="Q554" s="2" t="s">
        <v>41</v>
      </c>
      <c r="R554" s="2" t="s">
        <v>146</v>
      </c>
      <c r="S554" s="2">
        <v>719755</v>
      </c>
      <c r="T554" s="2" t="s">
        <v>51</v>
      </c>
      <c r="U554" s="2" t="s">
        <v>52</v>
      </c>
      <c r="V554" s="2" t="s">
        <v>1419</v>
      </c>
      <c r="W554" s="2">
        <v>8</v>
      </c>
      <c r="X554" s="4">
        <v>0.2</v>
      </c>
      <c r="Y554" s="3">
        <v>154.06</v>
      </c>
    </row>
    <row r="555" spans="1:25" x14ac:dyDescent="0.3">
      <c r="A555" s="2" t="s">
        <v>1417</v>
      </c>
      <c r="B555" s="2" t="s">
        <v>562</v>
      </c>
      <c r="C555" s="2" t="s">
        <v>897</v>
      </c>
      <c r="D555" s="8">
        <v>32471</v>
      </c>
      <c r="E555" s="3">
        <v>869.15</v>
      </c>
      <c r="F555" s="2">
        <v>2024</v>
      </c>
      <c r="G555" s="2" t="s">
        <v>28</v>
      </c>
      <c r="H555" s="2" t="s">
        <v>29</v>
      </c>
      <c r="I555" s="2" t="s">
        <v>92</v>
      </c>
      <c r="J555" s="2" t="s">
        <v>143</v>
      </c>
      <c r="K555" s="2" t="s">
        <v>32</v>
      </c>
      <c r="L555" s="2" t="s">
        <v>33</v>
      </c>
      <c r="M555" s="8">
        <v>45495</v>
      </c>
      <c r="N555" s="2" t="s">
        <v>1420</v>
      </c>
      <c r="O555" s="8">
        <v>45494</v>
      </c>
      <c r="P555" s="8">
        <v>45496</v>
      </c>
      <c r="Q555" s="2" t="s">
        <v>35</v>
      </c>
      <c r="R555" s="2" t="s">
        <v>146</v>
      </c>
      <c r="S555" s="2">
        <v>902364</v>
      </c>
      <c r="T555" s="2" t="s">
        <v>94</v>
      </c>
      <c r="U555" s="2" t="s">
        <v>95</v>
      </c>
      <c r="V555" s="2" t="s">
        <v>1421</v>
      </c>
      <c r="W555" s="2">
        <v>5</v>
      </c>
      <c r="X555" s="4">
        <v>0</v>
      </c>
      <c r="Y555" s="3">
        <v>197.42</v>
      </c>
    </row>
    <row r="556" spans="1:25" x14ac:dyDescent="0.3">
      <c r="A556" s="2" t="s">
        <v>1417</v>
      </c>
      <c r="B556" s="2" t="s">
        <v>562</v>
      </c>
      <c r="C556" s="2" t="s">
        <v>897</v>
      </c>
      <c r="D556" s="8">
        <v>32471</v>
      </c>
      <c r="E556" s="3">
        <v>451.02</v>
      </c>
      <c r="F556" s="2">
        <v>2024</v>
      </c>
      <c r="G556" s="2" t="s">
        <v>48</v>
      </c>
      <c r="H556" s="2" t="s">
        <v>29</v>
      </c>
      <c r="I556" s="2" t="s">
        <v>49</v>
      </c>
      <c r="J556" s="2" t="s">
        <v>143</v>
      </c>
      <c r="K556" s="2" t="s">
        <v>32</v>
      </c>
      <c r="L556" s="2" t="s">
        <v>33</v>
      </c>
      <c r="M556" s="8">
        <v>45509</v>
      </c>
      <c r="N556" s="2" t="s">
        <v>1422</v>
      </c>
      <c r="O556" s="8">
        <v>45509</v>
      </c>
      <c r="P556" s="8">
        <v>45510</v>
      </c>
      <c r="Q556" s="2" t="s">
        <v>121</v>
      </c>
      <c r="R556" s="2" t="s">
        <v>146</v>
      </c>
      <c r="S556" s="2">
        <v>779564</v>
      </c>
      <c r="T556" s="2" t="s">
        <v>84</v>
      </c>
      <c r="U556" s="2" t="s">
        <v>85</v>
      </c>
      <c r="V556" s="2" t="s">
        <v>1423</v>
      </c>
      <c r="W556" s="2">
        <v>2</v>
      </c>
      <c r="X556" s="4">
        <v>0</v>
      </c>
      <c r="Y556" s="3">
        <v>78.290000000000006</v>
      </c>
    </row>
    <row r="557" spans="1:25" x14ac:dyDescent="0.3">
      <c r="A557" s="2" t="s">
        <v>1417</v>
      </c>
      <c r="B557" s="2" t="s">
        <v>562</v>
      </c>
      <c r="C557" s="2" t="s">
        <v>897</v>
      </c>
      <c r="D557" s="8">
        <v>32471</v>
      </c>
      <c r="E557" s="3">
        <v>874.18</v>
      </c>
      <c r="F557" s="2">
        <v>2024</v>
      </c>
      <c r="G557" s="2" t="s">
        <v>48</v>
      </c>
      <c r="H557" s="2" t="s">
        <v>29</v>
      </c>
      <c r="I557" s="2" t="s">
        <v>43</v>
      </c>
      <c r="J557" s="2" t="s">
        <v>143</v>
      </c>
      <c r="K557" s="2" t="s">
        <v>32</v>
      </c>
      <c r="L557" s="2" t="s">
        <v>33</v>
      </c>
      <c r="M557" s="8">
        <v>45603</v>
      </c>
      <c r="N557" s="2" t="s">
        <v>1424</v>
      </c>
      <c r="O557" s="8">
        <v>45602</v>
      </c>
      <c r="P557" s="8">
        <v>45603</v>
      </c>
      <c r="Q557" s="2" t="s">
        <v>41</v>
      </c>
      <c r="R557" s="2" t="s">
        <v>146</v>
      </c>
      <c r="S557" s="2">
        <v>789719</v>
      </c>
      <c r="T557" s="2" t="s">
        <v>70</v>
      </c>
      <c r="U557" s="2" t="s">
        <v>71</v>
      </c>
      <c r="V557" s="2" t="s">
        <v>1425</v>
      </c>
      <c r="W557" s="2">
        <v>2</v>
      </c>
      <c r="X557" s="4">
        <v>0</v>
      </c>
      <c r="Y557" s="3">
        <v>132.24</v>
      </c>
    </row>
    <row r="558" spans="1:25" x14ac:dyDescent="0.3">
      <c r="A558" s="2" t="s">
        <v>1417</v>
      </c>
      <c r="B558" s="2" t="s">
        <v>562</v>
      </c>
      <c r="C558" s="2" t="s">
        <v>897</v>
      </c>
      <c r="D558" s="8">
        <v>32471</v>
      </c>
      <c r="E558" s="3">
        <v>318.64999999999998</v>
      </c>
      <c r="F558" s="2">
        <v>2024</v>
      </c>
      <c r="G558" s="2" t="s">
        <v>87</v>
      </c>
      <c r="H558" s="2" t="s">
        <v>29</v>
      </c>
      <c r="I558" s="2" t="s">
        <v>92</v>
      </c>
      <c r="J558" s="2" t="s">
        <v>143</v>
      </c>
      <c r="K558" s="2" t="s">
        <v>32</v>
      </c>
      <c r="L558" s="2" t="s">
        <v>33</v>
      </c>
      <c r="M558" s="8">
        <v>45621</v>
      </c>
      <c r="N558" s="2" t="s">
        <v>1426</v>
      </c>
      <c r="O558" s="8">
        <v>45618</v>
      </c>
      <c r="P558" s="8">
        <v>45621</v>
      </c>
      <c r="Q558" s="2" t="s">
        <v>41</v>
      </c>
      <c r="R558" s="2" t="s">
        <v>146</v>
      </c>
      <c r="S558" s="2">
        <v>438083</v>
      </c>
      <c r="T558" s="2" t="s">
        <v>127</v>
      </c>
      <c r="U558" s="2" t="s">
        <v>128</v>
      </c>
      <c r="V558" s="2" t="s">
        <v>1427</v>
      </c>
      <c r="W558" s="2">
        <v>1</v>
      </c>
      <c r="X558" s="4">
        <v>0.1</v>
      </c>
      <c r="Y558" s="3">
        <v>18.059999999999999</v>
      </c>
    </row>
    <row r="559" spans="1:25" x14ac:dyDescent="0.3">
      <c r="A559" s="2" t="s">
        <v>1428</v>
      </c>
      <c r="B559" s="2" t="s">
        <v>124</v>
      </c>
      <c r="C559" s="2" t="s">
        <v>376</v>
      </c>
      <c r="D559" s="8">
        <v>29333</v>
      </c>
      <c r="E559" s="3">
        <v>1672.51</v>
      </c>
      <c r="F559" s="2">
        <v>2023</v>
      </c>
      <c r="G559" s="2" t="s">
        <v>28</v>
      </c>
      <c r="H559" s="2" t="s">
        <v>29</v>
      </c>
      <c r="I559" s="2" t="s">
        <v>49</v>
      </c>
      <c r="J559" s="2" t="s">
        <v>102</v>
      </c>
      <c r="K559" s="2" t="s">
        <v>32</v>
      </c>
      <c r="L559" s="2" t="s">
        <v>144</v>
      </c>
      <c r="M559" s="8">
        <v>45031</v>
      </c>
      <c r="N559" s="2" t="s">
        <v>1429</v>
      </c>
      <c r="O559" s="8">
        <v>45029</v>
      </c>
      <c r="P559" s="8">
        <v>45031</v>
      </c>
      <c r="Q559" s="2" t="s">
        <v>74</v>
      </c>
      <c r="R559" s="2" t="s">
        <v>165</v>
      </c>
      <c r="S559" s="2">
        <v>557169</v>
      </c>
      <c r="T559" s="2" t="s">
        <v>109</v>
      </c>
      <c r="U559" s="2" t="s">
        <v>110</v>
      </c>
      <c r="V559" s="2" t="s">
        <v>1430</v>
      </c>
      <c r="W559" s="2">
        <v>8</v>
      </c>
      <c r="X559" s="4">
        <v>0.2</v>
      </c>
      <c r="Y559" s="3">
        <v>418.49</v>
      </c>
    </row>
    <row r="560" spans="1:25" x14ac:dyDescent="0.3">
      <c r="A560" s="2" t="s">
        <v>1428</v>
      </c>
      <c r="B560" s="2" t="s">
        <v>124</v>
      </c>
      <c r="C560" s="2" t="s">
        <v>376</v>
      </c>
      <c r="D560" s="8">
        <v>29333</v>
      </c>
      <c r="E560" s="3">
        <v>762.08</v>
      </c>
      <c r="F560" s="2">
        <v>2024</v>
      </c>
      <c r="G560" s="2" t="s">
        <v>28</v>
      </c>
      <c r="H560" s="2" t="s">
        <v>29</v>
      </c>
      <c r="I560" s="2" t="s">
        <v>61</v>
      </c>
      <c r="J560" s="2" t="s">
        <v>102</v>
      </c>
      <c r="K560" s="2" t="s">
        <v>32</v>
      </c>
      <c r="L560" s="2" t="s">
        <v>144</v>
      </c>
      <c r="M560" s="8">
        <v>45427</v>
      </c>
      <c r="N560" s="2" t="s">
        <v>1431</v>
      </c>
      <c r="O560" s="8">
        <v>45427</v>
      </c>
      <c r="P560" s="8">
        <v>45430</v>
      </c>
      <c r="Q560" s="2" t="s">
        <v>41</v>
      </c>
      <c r="R560" s="2" t="s">
        <v>165</v>
      </c>
      <c r="S560" s="2">
        <v>943687</v>
      </c>
      <c r="T560" s="2" t="s">
        <v>113</v>
      </c>
      <c r="U560" s="2" t="s">
        <v>114</v>
      </c>
      <c r="V560" s="2" t="s">
        <v>1432</v>
      </c>
      <c r="W560" s="2">
        <v>2</v>
      </c>
      <c r="X560" s="4">
        <v>0.1</v>
      </c>
      <c r="Y560" s="3">
        <v>87.05</v>
      </c>
    </row>
    <row r="561" spans="1:25" x14ac:dyDescent="0.3">
      <c r="A561" s="2" t="s">
        <v>1428</v>
      </c>
      <c r="B561" s="2" t="s">
        <v>124</v>
      </c>
      <c r="C561" s="2" t="s">
        <v>376</v>
      </c>
      <c r="D561" s="8">
        <v>29333</v>
      </c>
      <c r="E561" s="3">
        <v>654.70000000000005</v>
      </c>
      <c r="F561" s="2">
        <v>2024</v>
      </c>
      <c r="G561" s="2" t="s">
        <v>28</v>
      </c>
      <c r="H561" s="2" t="s">
        <v>29</v>
      </c>
      <c r="I561" s="2" t="s">
        <v>61</v>
      </c>
      <c r="J561" s="2" t="s">
        <v>102</v>
      </c>
      <c r="K561" s="2" t="s">
        <v>32</v>
      </c>
      <c r="L561" s="2" t="s">
        <v>144</v>
      </c>
      <c r="M561" s="8">
        <v>45638</v>
      </c>
      <c r="N561" s="2" t="s">
        <v>1433</v>
      </c>
      <c r="O561" s="8">
        <v>45634</v>
      </c>
      <c r="P561" s="8">
        <v>45639</v>
      </c>
      <c r="Q561" s="2" t="s">
        <v>41</v>
      </c>
      <c r="R561" s="2" t="s">
        <v>165</v>
      </c>
      <c r="S561" s="2">
        <v>319927</v>
      </c>
      <c r="T561" s="2" t="s">
        <v>312</v>
      </c>
      <c r="U561" s="2" t="s">
        <v>313</v>
      </c>
      <c r="V561" s="2" t="s">
        <v>1434</v>
      </c>
      <c r="W561" s="2">
        <v>10</v>
      </c>
      <c r="X561" s="4">
        <v>0</v>
      </c>
      <c r="Y561" s="3">
        <v>86.43</v>
      </c>
    </row>
    <row r="562" spans="1:25" x14ac:dyDescent="0.3">
      <c r="A562" s="2" t="s">
        <v>1428</v>
      </c>
      <c r="B562" s="2" t="s">
        <v>124</v>
      </c>
      <c r="C562" s="2" t="s">
        <v>376</v>
      </c>
      <c r="D562" s="8">
        <v>29333</v>
      </c>
      <c r="E562" s="3">
        <v>1311.15</v>
      </c>
      <c r="F562" s="2">
        <v>2025</v>
      </c>
      <c r="G562" s="2" t="s">
        <v>48</v>
      </c>
      <c r="H562" s="2" t="s">
        <v>29</v>
      </c>
      <c r="I562" s="2" t="s">
        <v>43</v>
      </c>
      <c r="J562" s="2" t="s">
        <v>102</v>
      </c>
      <c r="K562" s="2" t="s">
        <v>32</v>
      </c>
      <c r="L562" s="2" t="s">
        <v>144</v>
      </c>
      <c r="M562" s="8">
        <v>45756</v>
      </c>
      <c r="N562" s="2" t="s">
        <v>1435</v>
      </c>
      <c r="O562" s="8">
        <v>45754</v>
      </c>
      <c r="P562" s="8">
        <v>45759</v>
      </c>
      <c r="Q562" s="2" t="s">
        <v>41</v>
      </c>
      <c r="R562" s="2" t="s">
        <v>165</v>
      </c>
      <c r="S562" s="2">
        <v>521843</v>
      </c>
      <c r="T562" s="2" t="s">
        <v>45</v>
      </c>
      <c r="U562" s="2" t="s">
        <v>46</v>
      </c>
      <c r="V562" s="2" t="s">
        <v>1436</v>
      </c>
      <c r="W562" s="2">
        <v>5</v>
      </c>
      <c r="X562" s="4">
        <v>0</v>
      </c>
      <c r="Y562" s="3">
        <v>235.84</v>
      </c>
    </row>
    <row r="563" spans="1:25" x14ac:dyDescent="0.3">
      <c r="A563" s="2" t="s">
        <v>1437</v>
      </c>
      <c r="B563" s="2" t="s">
        <v>183</v>
      </c>
      <c r="C563" s="2" t="s">
        <v>348</v>
      </c>
      <c r="D563" s="8">
        <v>29677</v>
      </c>
      <c r="E563" s="3">
        <v>3516.21</v>
      </c>
      <c r="F563" s="2">
        <v>2024</v>
      </c>
      <c r="G563" s="2" t="s">
        <v>87</v>
      </c>
      <c r="H563" s="2" t="s">
        <v>163</v>
      </c>
      <c r="I563" s="2" t="s">
        <v>30</v>
      </c>
      <c r="J563" s="2" t="s">
        <v>62</v>
      </c>
      <c r="K563" s="2" t="s">
        <v>32</v>
      </c>
      <c r="L563" s="2" t="s">
        <v>144</v>
      </c>
      <c r="M563" s="8">
        <v>45393</v>
      </c>
      <c r="N563" s="2" t="s">
        <v>1438</v>
      </c>
      <c r="O563" s="8">
        <v>45391</v>
      </c>
      <c r="P563" s="8">
        <v>45395</v>
      </c>
      <c r="Q563" s="2" t="s">
        <v>41</v>
      </c>
      <c r="R563" s="2" t="s">
        <v>286</v>
      </c>
      <c r="S563" s="2">
        <v>693616</v>
      </c>
      <c r="T563" s="2" t="s">
        <v>75</v>
      </c>
      <c r="U563" s="2" t="s">
        <v>76</v>
      </c>
      <c r="V563" s="2" t="s">
        <v>1439</v>
      </c>
      <c r="W563" s="2">
        <v>9</v>
      </c>
      <c r="X563" s="4">
        <v>0.1</v>
      </c>
      <c r="Y563" s="3">
        <v>702.4</v>
      </c>
    </row>
    <row r="564" spans="1:25" x14ac:dyDescent="0.3">
      <c r="A564" s="2" t="s">
        <v>1437</v>
      </c>
      <c r="B564" s="2" t="s">
        <v>183</v>
      </c>
      <c r="C564" s="2" t="s">
        <v>348</v>
      </c>
      <c r="D564" s="8">
        <v>29677</v>
      </c>
      <c r="E564" s="3">
        <v>994.45</v>
      </c>
      <c r="F564" s="2">
        <v>2024</v>
      </c>
      <c r="G564" s="2" t="s">
        <v>87</v>
      </c>
      <c r="H564" s="2" t="s">
        <v>163</v>
      </c>
      <c r="I564" s="2" t="s">
        <v>49</v>
      </c>
      <c r="J564" s="2" t="s">
        <v>62</v>
      </c>
      <c r="K564" s="2" t="s">
        <v>32</v>
      </c>
      <c r="L564" s="2" t="s">
        <v>144</v>
      </c>
      <c r="M564" s="8">
        <v>45456</v>
      </c>
      <c r="N564" s="2" t="s">
        <v>1440</v>
      </c>
      <c r="O564" s="8">
        <v>45454</v>
      </c>
      <c r="P564" s="8">
        <v>45456</v>
      </c>
      <c r="Q564" s="2" t="s">
        <v>74</v>
      </c>
      <c r="R564" s="2" t="s">
        <v>286</v>
      </c>
      <c r="S564" s="2">
        <v>985126</v>
      </c>
      <c r="T564" s="2" t="s">
        <v>51</v>
      </c>
      <c r="U564" s="2" t="s">
        <v>52</v>
      </c>
      <c r="V564" s="2" t="s">
        <v>1441</v>
      </c>
      <c r="W564" s="2">
        <v>9</v>
      </c>
      <c r="X564" s="4">
        <v>0.05</v>
      </c>
      <c r="Y564" s="3">
        <v>93.8</v>
      </c>
    </row>
    <row r="565" spans="1:25" x14ac:dyDescent="0.3">
      <c r="A565" s="2" t="s">
        <v>1437</v>
      </c>
      <c r="B565" s="2" t="s">
        <v>183</v>
      </c>
      <c r="C565" s="2" t="s">
        <v>348</v>
      </c>
      <c r="D565" s="8">
        <v>29677</v>
      </c>
      <c r="E565" s="3">
        <v>518.86</v>
      </c>
      <c r="F565" s="2">
        <v>2024</v>
      </c>
      <c r="G565" s="2" t="s">
        <v>28</v>
      </c>
      <c r="H565" s="2" t="s">
        <v>163</v>
      </c>
      <c r="I565" s="2" t="s">
        <v>92</v>
      </c>
      <c r="J565" s="2" t="s">
        <v>62</v>
      </c>
      <c r="K565" s="2" t="s">
        <v>32</v>
      </c>
      <c r="L565" s="2" t="s">
        <v>144</v>
      </c>
      <c r="M565" s="8">
        <v>45615</v>
      </c>
      <c r="N565" s="2" t="s">
        <v>1442</v>
      </c>
      <c r="O565" s="8">
        <v>45614</v>
      </c>
      <c r="P565" s="8">
        <v>45617</v>
      </c>
      <c r="Q565" s="2" t="s">
        <v>121</v>
      </c>
      <c r="R565" s="2" t="s">
        <v>286</v>
      </c>
      <c r="S565" s="2">
        <v>525581</v>
      </c>
      <c r="T565" s="2" t="s">
        <v>127</v>
      </c>
      <c r="U565" s="2" t="s">
        <v>128</v>
      </c>
      <c r="V565" s="2" t="s">
        <v>1443</v>
      </c>
      <c r="W565" s="2">
        <v>2</v>
      </c>
      <c r="X565" s="4">
        <v>0.2</v>
      </c>
      <c r="Y565" s="3">
        <v>90.14</v>
      </c>
    </row>
    <row r="566" spans="1:25" x14ac:dyDescent="0.3">
      <c r="A566" s="2" t="s">
        <v>1444</v>
      </c>
      <c r="B566" s="2" t="s">
        <v>924</v>
      </c>
      <c r="C566" s="2" t="s">
        <v>60</v>
      </c>
      <c r="D566" s="8">
        <v>32291</v>
      </c>
      <c r="E566" s="3">
        <v>1092.5999999999999</v>
      </c>
      <c r="F566" s="2">
        <v>2023</v>
      </c>
      <c r="G566" s="2" t="s">
        <v>48</v>
      </c>
      <c r="H566" s="2" t="s">
        <v>29</v>
      </c>
      <c r="I566" s="2" t="s">
        <v>78</v>
      </c>
      <c r="J566" s="2" t="s">
        <v>31</v>
      </c>
      <c r="K566" s="2" t="s">
        <v>32</v>
      </c>
      <c r="L566" s="2" t="s">
        <v>144</v>
      </c>
      <c r="M566" s="8">
        <v>45080</v>
      </c>
      <c r="N566" s="2" t="s">
        <v>1445</v>
      </c>
      <c r="O566" s="8">
        <v>45080</v>
      </c>
      <c r="P566" s="8">
        <v>45084</v>
      </c>
      <c r="Q566" s="2" t="s">
        <v>121</v>
      </c>
      <c r="R566" s="2" t="s">
        <v>36</v>
      </c>
      <c r="S566" s="2">
        <v>385959</v>
      </c>
      <c r="T566" s="2" t="s">
        <v>89</v>
      </c>
      <c r="U566" s="2" t="s">
        <v>90</v>
      </c>
      <c r="V566" s="2" t="s">
        <v>1446</v>
      </c>
      <c r="W566" s="2">
        <v>5</v>
      </c>
      <c r="X566" s="4">
        <v>0.1</v>
      </c>
      <c r="Y566" s="3">
        <v>379.56</v>
      </c>
    </row>
    <row r="567" spans="1:25" x14ac:dyDescent="0.3">
      <c r="A567" s="2" t="s">
        <v>1444</v>
      </c>
      <c r="B567" s="2" t="s">
        <v>924</v>
      </c>
      <c r="C567" s="2" t="s">
        <v>60</v>
      </c>
      <c r="D567" s="8">
        <v>32291</v>
      </c>
      <c r="E567" s="3">
        <v>1680.8</v>
      </c>
      <c r="F567" s="2">
        <v>2023</v>
      </c>
      <c r="G567" s="2" t="s">
        <v>48</v>
      </c>
      <c r="H567" s="2" t="s">
        <v>29</v>
      </c>
      <c r="I567" s="2" t="s">
        <v>61</v>
      </c>
      <c r="J567" s="2" t="s">
        <v>31</v>
      </c>
      <c r="K567" s="2" t="s">
        <v>32</v>
      </c>
      <c r="L567" s="2" t="s">
        <v>144</v>
      </c>
      <c r="M567" s="8">
        <v>45124</v>
      </c>
      <c r="N567" s="2" t="s">
        <v>1447</v>
      </c>
      <c r="O567" s="8">
        <v>45123</v>
      </c>
      <c r="P567" s="8">
        <v>45124</v>
      </c>
      <c r="Q567" s="2" t="s">
        <v>35</v>
      </c>
      <c r="R567" s="2" t="s">
        <v>36</v>
      </c>
      <c r="S567" s="2">
        <v>188006</v>
      </c>
      <c r="T567" s="2" t="s">
        <v>312</v>
      </c>
      <c r="U567" s="2" t="s">
        <v>313</v>
      </c>
      <c r="V567" s="2" t="s">
        <v>1448</v>
      </c>
      <c r="W567" s="2">
        <v>5</v>
      </c>
      <c r="X567" s="4">
        <v>0</v>
      </c>
      <c r="Y567" s="3">
        <v>408.92</v>
      </c>
    </row>
    <row r="568" spans="1:25" x14ac:dyDescent="0.3">
      <c r="A568" s="2" t="s">
        <v>1449</v>
      </c>
      <c r="B568" s="2" t="s">
        <v>100</v>
      </c>
      <c r="C568" s="2" t="s">
        <v>259</v>
      </c>
      <c r="D568" s="8">
        <v>35720</v>
      </c>
      <c r="E568" s="3">
        <v>336.82</v>
      </c>
      <c r="F568" s="2">
        <v>2023</v>
      </c>
      <c r="G568" s="2" t="s">
        <v>48</v>
      </c>
      <c r="H568" s="2" t="s">
        <v>29</v>
      </c>
      <c r="I568" s="2" t="s">
        <v>92</v>
      </c>
      <c r="J568" s="2" t="s">
        <v>227</v>
      </c>
      <c r="K568" s="2" t="s">
        <v>32</v>
      </c>
      <c r="L568" s="2" t="s">
        <v>144</v>
      </c>
      <c r="M568" s="8">
        <v>44992</v>
      </c>
      <c r="N568" s="2" t="s">
        <v>1450</v>
      </c>
      <c r="O568" s="8">
        <v>44992</v>
      </c>
      <c r="P568" s="8">
        <v>44994</v>
      </c>
      <c r="Q568" s="2" t="s">
        <v>35</v>
      </c>
      <c r="R568" s="2" t="s">
        <v>229</v>
      </c>
      <c r="S568" s="2">
        <v>647312</v>
      </c>
      <c r="T568" s="2" t="s">
        <v>94</v>
      </c>
      <c r="U568" s="2" t="s">
        <v>95</v>
      </c>
      <c r="V568" s="2" t="s">
        <v>1451</v>
      </c>
      <c r="W568" s="2">
        <v>2</v>
      </c>
      <c r="X568" s="4">
        <v>0.2</v>
      </c>
      <c r="Y568" s="3">
        <v>90.02</v>
      </c>
    </row>
    <row r="569" spans="1:25" x14ac:dyDescent="0.3">
      <c r="A569" s="2" t="s">
        <v>1449</v>
      </c>
      <c r="B569" s="2" t="s">
        <v>100</v>
      </c>
      <c r="C569" s="2" t="s">
        <v>259</v>
      </c>
      <c r="D569" s="8">
        <v>35720</v>
      </c>
      <c r="E569" s="3">
        <v>1267.83</v>
      </c>
      <c r="F569" s="2">
        <v>2023</v>
      </c>
      <c r="G569" s="2" t="s">
        <v>28</v>
      </c>
      <c r="H569" s="2" t="s">
        <v>29</v>
      </c>
      <c r="I569" s="2" t="s">
        <v>49</v>
      </c>
      <c r="J569" s="2" t="s">
        <v>227</v>
      </c>
      <c r="K569" s="2" t="s">
        <v>32</v>
      </c>
      <c r="L569" s="2" t="s">
        <v>144</v>
      </c>
      <c r="M569" s="8">
        <v>45233</v>
      </c>
      <c r="N569" s="2" t="s">
        <v>1452</v>
      </c>
      <c r="O569" s="8">
        <v>45232</v>
      </c>
      <c r="P569" s="8">
        <v>45233</v>
      </c>
      <c r="Q569" s="2" t="s">
        <v>41</v>
      </c>
      <c r="R569" s="2" t="s">
        <v>229</v>
      </c>
      <c r="S569" s="2">
        <v>944986</v>
      </c>
      <c r="T569" s="2" t="s">
        <v>51</v>
      </c>
      <c r="U569" s="2" t="s">
        <v>52</v>
      </c>
      <c r="V569" s="2" t="s">
        <v>1453</v>
      </c>
      <c r="W569" s="2">
        <v>9</v>
      </c>
      <c r="X569" s="4">
        <v>0</v>
      </c>
      <c r="Y569" s="3">
        <v>153.94</v>
      </c>
    </row>
    <row r="570" spans="1:25" x14ac:dyDescent="0.3">
      <c r="A570" s="2" t="s">
        <v>1449</v>
      </c>
      <c r="B570" s="2" t="s">
        <v>100</v>
      </c>
      <c r="C570" s="2" t="s">
        <v>259</v>
      </c>
      <c r="D570" s="8">
        <v>35720</v>
      </c>
      <c r="E570" s="3">
        <v>872.48</v>
      </c>
      <c r="F570" s="2">
        <v>2025</v>
      </c>
      <c r="G570" s="2" t="s">
        <v>28</v>
      </c>
      <c r="H570" s="2" t="s">
        <v>29</v>
      </c>
      <c r="I570" s="2" t="s">
        <v>49</v>
      </c>
      <c r="J570" s="2" t="s">
        <v>227</v>
      </c>
      <c r="K570" s="2" t="s">
        <v>32</v>
      </c>
      <c r="L570" s="2" t="s">
        <v>144</v>
      </c>
      <c r="M570" s="8">
        <v>45817</v>
      </c>
      <c r="N570" s="2" t="s">
        <v>1454</v>
      </c>
      <c r="O570" s="8">
        <v>45814</v>
      </c>
      <c r="P570" s="8">
        <v>45817</v>
      </c>
      <c r="Q570" s="2" t="s">
        <v>74</v>
      </c>
      <c r="R570" s="2" t="s">
        <v>229</v>
      </c>
      <c r="S570" s="2">
        <v>718115</v>
      </c>
      <c r="T570" s="2" t="s">
        <v>51</v>
      </c>
      <c r="U570" s="2" t="s">
        <v>52</v>
      </c>
      <c r="V570" s="2" t="s">
        <v>1455</v>
      </c>
      <c r="W570" s="2">
        <v>7</v>
      </c>
      <c r="X570" s="4">
        <v>0</v>
      </c>
      <c r="Y570" s="3">
        <v>89.47</v>
      </c>
    </row>
    <row r="571" spans="1:25" x14ac:dyDescent="0.3">
      <c r="A571" s="2" t="s">
        <v>1456</v>
      </c>
      <c r="B571" s="2" t="s">
        <v>467</v>
      </c>
      <c r="C571" s="2" t="s">
        <v>259</v>
      </c>
      <c r="D571" s="8">
        <v>25162</v>
      </c>
      <c r="E571" s="3">
        <v>1607.17</v>
      </c>
      <c r="F571" s="2">
        <v>2024</v>
      </c>
      <c r="G571" s="2" t="s">
        <v>28</v>
      </c>
      <c r="H571" s="2" t="s">
        <v>29</v>
      </c>
      <c r="I571" s="2" t="s">
        <v>43</v>
      </c>
      <c r="J571" s="2" t="s">
        <v>31</v>
      </c>
      <c r="K571" s="2" t="s">
        <v>32</v>
      </c>
      <c r="L571" s="2" t="s">
        <v>33</v>
      </c>
      <c r="M571" s="8">
        <v>45474</v>
      </c>
      <c r="N571" s="2" t="s">
        <v>1457</v>
      </c>
      <c r="O571" s="8">
        <v>45473</v>
      </c>
      <c r="P571" s="8">
        <v>45476</v>
      </c>
      <c r="Q571" s="2" t="s">
        <v>41</v>
      </c>
      <c r="R571" s="2" t="s">
        <v>36</v>
      </c>
      <c r="S571" s="2">
        <v>850435</v>
      </c>
      <c r="T571" s="2" t="s">
        <v>70</v>
      </c>
      <c r="U571" s="2" t="s">
        <v>71</v>
      </c>
      <c r="V571" s="2" t="s">
        <v>1458</v>
      </c>
      <c r="W571" s="2">
        <v>6</v>
      </c>
      <c r="X571" s="4">
        <v>0.05</v>
      </c>
      <c r="Y571" s="3">
        <v>409.54</v>
      </c>
    </row>
    <row r="572" spans="1:25" x14ac:dyDescent="0.3">
      <c r="A572" s="2" t="s">
        <v>1459</v>
      </c>
      <c r="B572" s="2" t="s">
        <v>661</v>
      </c>
      <c r="C572" s="2" t="s">
        <v>618</v>
      </c>
      <c r="D572" s="8">
        <v>33079</v>
      </c>
      <c r="E572" s="3">
        <v>281.22000000000003</v>
      </c>
      <c r="F572" s="2">
        <v>2023</v>
      </c>
      <c r="G572" s="2" t="s">
        <v>28</v>
      </c>
      <c r="H572" s="2" t="s">
        <v>29</v>
      </c>
      <c r="I572" s="2" t="s">
        <v>30</v>
      </c>
      <c r="J572" s="2" t="s">
        <v>227</v>
      </c>
      <c r="K572" s="2" t="s">
        <v>32</v>
      </c>
      <c r="L572" s="2" t="s">
        <v>144</v>
      </c>
      <c r="M572" s="8">
        <v>44951</v>
      </c>
      <c r="N572" s="2" t="s">
        <v>1460</v>
      </c>
      <c r="O572" s="8">
        <v>44948</v>
      </c>
      <c r="P572" s="8">
        <v>44951</v>
      </c>
      <c r="Q572" s="2" t="s">
        <v>74</v>
      </c>
      <c r="R572" s="2" t="s">
        <v>738</v>
      </c>
      <c r="S572" s="2">
        <v>951706</v>
      </c>
      <c r="T572" s="2" t="s">
        <v>75</v>
      </c>
      <c r="U572" s="2" t="s">
        <v>76</v>
      </c>
      <c r="V572" s="2" t="s">
        <v>1461</v>
      </c>
      <c r="W572" s="2">
        <v>1</v>
      </c>
      <c r="X572" s="4">
        <v>0.2</v>
      </c>
      <c r="Y572" s="3">
        <v>70.72</v>
      </c>
    </row>
    <row r="573" spans="1:25" x14ac:dyDescent="0.3">
      <c r="A573" s="2" t="s">
        <v>1459</v>
      </c>
      <c r="B573" s="2" t="s">
        <v>661</v>
      </c>
      <c r="C573" s="2" t="s">
        <v>618</v>
      </c>
      <c r="D573" s="8">
        <v>33079</v>
      </c>
      <c r="E573" s="3">
        <v>1640.35</v>
      </c>
      <c r="F573" s="2">
        <v>2023</v>
      </c>
      <c r="G573" s="2" t="s">
        <v>28</v>
      </c>
      <c r="H573" s="2" t="s">
        <v>29</v>
      </c>
      <c r="I573" s="2" t="s">
        <v>49</v>
      </c>
      <c r="J573" s="2" t="s">
        <v>227</v>
      </c>
      <c r="K573" s="2" t="s">
        <v>32</v>
      </c>
      <c r="L573" s="2" t="s">
        <v>144</v>
      </c>
      <c r="M573" s="8">
        <v>45244</v>
      </c>
      <c r="N573" s="2" t="s">
        <v>1462</v>
      </c>
      <c r="O573" s="8">
        <v>45242</v>
      </c>
      <c r="P573" s="8">
        <v>45246</v>
      </c>
      <c r="Q573" s="2" t="s">
        <v>35</v>
      </c>
      <c r="R573" s="2" t="s">
        <v>738</v>
      </c>
      <c r="S573" s="2">
        <v>962671</v>
      </c>
      <c r="T573" s="2" t="s">
        <v>109</v>
      </c>
      <c r="U573" s="2" t="s">
        <v>110</v>
      </c>
      <c r="V573" s="2" t="s">
        <v>1463</v>
      </c>
      <c r="W573" s="2">
        <v>4</v>
      </c>
      <c r="X573" s="4">
        <v>0.05</v>
      </c>
      <c r="Y573" s="3">
        <v>85.89</v>
      </c>
    </row>
    <row r="574" spans="1:25" x14ac:dyDescent="0.3">
      <c r="A574" s="2" t="s">
        <v>1459</v>
      </c>
      <c r="B574" s="2" t="s">
        <v>661</v>
      </c>
      <c r="C574" s="2" t="s">
        <v>618</v>
      </c>
      <c r="D574" s="8">
        <v>33079</v>
      </c>
      <c r="E574" s="3">
        <v>1172.06</v>
      </c>
      <c r="F574" s="2">
        <v>2024</v>
      </c>
      <c r="G574" s="2" t="s">
        <v>28</v>
      </c>
      <c r="H574" s="2" t="s">
        <v>29</v>
      </c>
      <c r="I574" s="2" t="s">
        <v>61</v>
      </c>
      <c r="J574" s="2" t="s">
        <v>227</v>
      </c>
      <c r="K574" s="2" t="s">
        <v>32</v>
      </c>
      <c r="L574" s="2" t="s">
        <v>144</v>
      </c>
      <c r="M574" s="8">
        <v>45587</v>
      </c>
      <c r="N574" s="2" t="s">
        <v>1464</v>
      </c>
      <c r="O574" s="8">
        <v>45587</v>
      </c>
      <c r="P574" s="8">
        <v>45591</v>
      </c>
      <c r="Q574" s="2" t="s">
        <v>35</v>
      </c>
      <c r="R574" s="2" t="s">
        <v>738</v>
      </c>
      <c r="S574" s="2">
        <v>963185</v>
      </c>
      <c r="T574" s="2" t="s">
        <v>204</v>
      </c>
      <c r="U574" s="2" t="s">
        <v>205</v>
      </c>
      <c r="V574" s="2" t="s">
        <v>1465</v>
      </c>
      <c r="W574" s="2">
        <v>3</v>
      </c>
      <c r="X574" s="4">
        <v>0.15</v>
      </c>
      <c r="Y574" s="3">
        <v>170.13</v>
      </c>
    </row>
    <row r="575" spans="1:25" x14ac:dyDescent="0.3">
      <c r="A575" s="2" t="s">
        <v>1466</v>
      </c>
      <c r="B575" s="2" t="s">
        <v>544</v>
      </c>
      <c r="C575" s="2" t="s">
        <v>455</v>
      </c>
      <c r="D575" s="8">
        <v>29068</v>
      </c>
      <c r="E575" s="3">
        <v>706.71</v>
      </c>
      <c r="F575" s="2">
        <v>2024</v>
      </c>
      <c r="G575" s="2" t="s">
        <v>28</v>
      </c>
      <c r="H575" s="2" t="s">
        <v>163</v>
      </c>
      <c r="I575" s="2" t="s">
        <v>43</v>
      </c>
      <c r="J575" s="2" t="s">
        <v>31</v>
      </c>
      <c r="K575" s="2" t="s">
        <v>32</v>
      </c>
      <c r="L575" s="2" t="s">
        <v>33</v>
      </c>
      <c r="M575" s="8">
        <v>45350</v>
      </c>
      <c r="N575" s="2" t="s">
        <v>1467</v>
      </c>
      <c r="O575" s="8">
        <v>45349</v>
      </c>
      <c r="P575" s="8">
        <v>45350</v>
      </c>
      <c r="Q575" s="2" t="s">
        <v>74</v>
      </c>
      <c r="R575" s="2" t="s">
        <v>261</v>
      </c>
      <c r="S575" s="2">
        <v>575279</v>
      </c>
      <c r="T575" s="2" t="s">
        <v>70</v>
      </c>
      <c r="U575" s="2" t="s">
        <v>71</v>
      </c>
      <c r="V575" s="2" t="s">
        <v>1468</v>
      </c>
      <c r="W575" s="2">
        <v>2</v>
      </c>
      <c r="X575" s="4">
        <v>0.15</v>
      </c>
      <c r="Y575" s="3">
        <v>90.66</v>
      </c>
    </row>
    <row r="576" spans="1:25" x14ac:dyDescent="0.3">
      <c r="A576" s="2" t="s">
        <v>1466</v>
      </c>
      <c r="B576" s="2" t="s">
        <v>544</v>
      </c>
      <c r="C576" s="2" t="s">
        <v>455</v>
      </c>
      <c r="D576" s="8">
        <v>29068</v>
      </c>
      <c r="E576" s="3">
        <v>327.86</v>
      </c>
      <c r="F576" s="2">
        <v>2024</v>
      </c>
      <c r="G576" s="2" t="s">
        <v>28</v>
      </c>
      <c r="H576" s="2" t="s">
        <v>163</v>
      </c>
      <c r="I576" s="2" t="s">
        <v>49</v>
      </c>
      <c r="J576" s="2" t="s">
        <v>31</v>
      </c>
      <c r="K576" s="2" t="s">
        <v>32</v>
      </c>
      <c r="L576" s="2" t="s">
        <v>33</v>
      </c>
      <c r="M576" s="8">
        <v>45409</v>
      </c>
      <c r="N576" s="2" t="s">
        <v>1469</v>
      </c>
      <c r="O576" s="8">
        <v>45409</v>
      </c>
      <c r="P576" s="8">
        <v>45411</v>
      </c>
      <c r="Q576" s="2" t="s">
        <v>121</v>
      </c>
      <c r="R576" s="2" t="s">
        <v>261</v>
      </c>
      <c r="S576" s="2">
        <v>758816</v>
      </c>
      <c r="T576" s="2" t="s">
        <v>109</v>
      </c>
      <c r="U576" s="2" t="s">
        <v>110</v>
      </c>
      <c r="V576" s="2" t="s">
        <v>1470</v>
      </c>
      <c r="W576" s="2">
        <v>1</v>
      </c>
      <c r="X576" s="4">
        <v>0</v>
      </c>
      <c r="Y576" s="3">
        <v>78.37</v>
      </c>
    </row>
    <row r="577" spans="1:25" x14ac:dyDescent="0.3">
      <c r="A577" s="2" t="s">
        <v>1466</v>
      </c>
      <c r="B577" s="2" t="s">
        <v>544</v>
      </c>
      <c r="C577" s="2" t="s">
        <v>455</v>
      </c>
      <c r="D577" s="8">
        <v>29068</v>
      </c>
      <c r="E577" s="3">
        <v>146.4</v>
      </c>
      <c r="F577" s="2">
        <v>2024</v>
      </c>
      <c r="G577" s="2" t="s">
        <v>87</v>
      </c>
      <c r="H577" s="2" t="s">
        <v>163</v>
      </c>
      <c r="I577" s="2" t="s">
        <v>43</v>
      </c>
      <c r="J577" s="2" t="s">
        <v>31</v>
      </c>
      <c r="K577" s="2" t="s">
        <v>32</v>
      </c>
      <c r="L577" s="2" t="s">
        <v>33</v>
      </c>
      <c r="M577" s="8">
        <v>45432</v>
      </c>
      <c r="N577" s="2" t="s">
        <v>1471</v>
      </c>
      <c r="O577" s="8">
        <v>45430</v>
      </c>
      <c r="P577" s="8">
        <v>45432</v>
      </c>
      <c r="Q577" s="2" t="s">
        <v>41</v>
      </c>
      <c r="R577" s="2" t="s">
        <v>261</v>
      </c>
      <c r="S577" s="2">
        <v>931145</v>
      </c>
      <c r="T577" s="2" t="s">
        <v>153</v>
      </c>
      <c r="U577" s="2" t="s">
        <v>154</v>
      </c>
      <c r="V577" s="2" t="s">
        <v>1472</v>
      </c>
      <c r="W577" s="2">
        <v>2</v>
      </c>
      <c r="X577" s="4">
        <v>0</v>
      </c>
      <c r="Y577" s="3">
        <v>30</v>
      </c>
    </row>
    <row r="578" spans="1:25" x14ac:dyDescent="0.3">
      <c r="A578" s="2" t="s">
        <v>1466</v>
      </c>
      <c r="B578" s="2" t="s">
        <v>544</v>
      </c>
      <c r="C578" s="2" t="s">
        <v>455</v>
      </c>
      <c r="D578" s="8">
        <v>29068</v>
      </c>
      <c r="E578" s="3">
        <v>370.08</v>
      </c>
      <c r="F578" s="2">
        <v>2025</v>
      </c>
      <c r="G578" s="2" t="s">
        <v>48</v>
      </c>
      <c r="H578" s="2" t="s">
        <v>163</v>
      </c>
      <c r="I578" s="2" t="s">
        <v>43</v>
      </c>
      <c r="J578" s="2" t="s">
        <v>31</v>
      </c>
      <c r="K578" s="2" t="s">
        <v>32</v>
      </c>
      <c r="L578" s="2" t="s">
        <v>33</v>
      </c>
      <c r="M578" s="8">
        <v>45683</v>
      </c>
      <c r="N578" s="2" t="s">
        <v>1473</v>
      </c>
      <c r="O578" s="8">
        <v>45681</v>
      </c>
      <c r="P578" s="8">
        <v>45684</v>
      </c>
      <c r="Q578" s="2" t="s">
        <v>35</v>
      </c>
      <c r="R578" s="2" t="s">
        <v>261</v>
      </c>
      <c r="S578" s="2">
        <v>534631</v>
      </c>
      <c r="T578" s="2" t="s">
        <v>153</v>
      </c>
      <c r="U578" s="2" t="s">
        <v>154</v>
      </c>
      <c r="V578" s="2" t="s">
        <v>1474</v>
      </c>
      <c r="W578" s="2">
        <v>3</v>
      </c>
      <c r="X578" s="4">
        <v>0.15</v>
      </c>
      <c r="Y578" s="3">
        <v>84.34</v>
      </c>
    </row>
    <row r="579" spans="1:25" x14ac:dyDescent="0.3">
      <c r="A579" s="2" t="s">
        <v>1466</v>
      </c>
      <c r="B579" s="2" t="s">
        <v>544</v>
      </c>
      <c r="C579" s="2" t="s">
        <v>455</v>
      </c>
      <c r="D579" s="8">
        <v>29068</v>
      </c>
      <c r="E579" s="3">
        <v>2982.92</v>
      </c>
      <c r="F579" s="2">
        <v>2025</v>
      </c>
      <c r="G579" s="2" t="s">
        <v>48</v>
      </c>
      <c r="H579" s="2" t="s">
        <v>163</v>
      </c>
      <c r="I579" s="2" t="s">
        <v>43</v>
      </c>
      <c r="J579" s="2" t="s">
        <v>31</v>
      </c>
      <c r="K579" s="2" t="s">
        <v>32</v>
      </c>
      <c r="L579" s="2" t="s">
        <v>33</v>
      </c>
      <c r="M579" s="8">
        <v>45788</v>
      </c>
      <c r="N579" s="2" t="s">
        <v>1475</v>
      </c>
      <c r="O579" s="8">
        <v>45788</v>
      </c>
      <c r="P579" s="8">
        <v>45789</v>
      </c>
      <c r="Q579" s="2" t="s">
        <v>41</v>
      </c>
      <c r="R579" s="2" t="s">
        <v>261</v>
      </c>
      <c r="S579" s="2">
        <v>307897</v>
      </c>
      <c r="T579" s="2" t="s">
        <v>45</v>
      </c>
      <c r="U579" s="2" t="s">
        <v>46</v>
      </c>
      <c r="V579" s="2" t="s">
        <v>1476</v>
      </c>
      <c r="W579" s="2">
        <v>7</v>
      </c>
      <c r="X579" s="4">
        <v>0.1</v>
      </c>
      <c r="Y579" s="3">
        <v>350.03</v>
      </c>
    </row>
    <row r="580" spans="1:25" x14ac:dyDescent="0.3">
      <c r="A580" s="2" t="s">
        <v>1477</v>
      </c>
      <c r="B580" s="2" t="s">
        <v>872</v>
      </c>
      <c r="C580" s="2" t="s">
        <v>930</v>
      </c>
      <c r="D580" s="8">
        <v>27975</v>
      </c>
      <c r="E580" s="3">
        <v>458.2</v>
      </c>
      <c r="F580" s="2">
        <v>2023</v>
      </c>
      <c r="G580" s="2" t="s">
        <v>48</v>
      </c>
      <c r="H580" s="2" t="s">
        <v>29</v>
      </c>
      <c r="I580" s="2" t="s">
        <v>92</v>
      </c>
      <c r="J580" s="2" t="s">
        <v>143</v>
      </c>
      <c r="K580" s="2" t="s">
        <v>32</v>
      </c>
      <c r="L580" s="2" t="s">
        <v>63</v>
      </c>
      <c r="M580" s="8">
        <v>44977</v>
      </c>
      <c r="N580" s="2" t="s">
        <v>1478</v>
      </c>
      <c r="O580" s="8">
        <v>44977</v>
      </c>
      <c r="P580" s="8">
        <v>44982</v>
      </c>
      <c r="Q580" s="2" t="s">
        <v>41</v>
      </c>
      <c r="R580" s="2" t="s">
        <v>309</v>
      </c>
      <c r="S580" s="2">
        <v>910926</v>
      </c>
      <c r="T580" s="2" t="s">
        <v>127</v>
      </c>
      <c r="U580" s="2" t="s">
        <v>128</v>
      </c>
      <c r="V580" s="2" t="s">
        <v>1479</v>
      </c>
      <c r="W580" s="2">
        <v>5</v>
      </c>
      <c r="X580" s="4">
        <v>0</v>
      </c>
      <c r="Y580" s="3">
        <v>46.3</v>
      </c>
    </row>
    <row r="581" spans="1:25" x14ac:dyDescent="0.3">
      <c r="A581" s="2" t="s">
        <v>1477</v>
      </c>
      <c r="B581" s="2" t="s">
        <v>872</v>
      </c>
      <c r="C581" s="2" t="s">
        <v>930</v>
      </c>
      <c r="D581" s="8">
        <v>27975</v>
      </c>
      <c r="E581" s="3">
        <v>1450.04</v>
      </c>
      <c r="F581" s="2">
        <v>2023</v>
      </c>
      <c r="G581" s="2" t="s">
        <v>87</v>
      </c>
      <c r="H581" s="2" t="s">
        <v>29</v>
      </c>
      <c r="I581" s="2" t="s">
        <v>92</v>
      </c>
      <c r="J581" s="2" t="s">
        <v>143</v>
      </c>
      <c r="K581" s="2" t="s">
        <v>32</v>
      </c>
      <c r="L581" s="2" t="s">
        <v>63</v>
      </c>
      <c r="M581" s="8">
        <v>45101</v>
      </c>
      <c r="N581" s="2" t="s">
        <v>1480</v>
      </c>
      <c r="O581" s="8">
        <v>45099</v>
      </c>
      <c r="P581" s="8">
        <v>45102</v>
      </c>
      <c r="Q581" s="2" t="s">
        <v>41</v>
      </c>
      <c r="R581" s="2" t="s">
        <v>309</v>
      </c>
      <c r="S581" s="2">
        <v>500633</v>
      </c>
      <c r="T581" s="2" t="s">
        <v>127</v>
      </c>
      <c r="U581" s="2" t="s">
        <v>128</v>
      </c>
      <c r="V581" s="2" t="s">
        <v>1481</v>
      </c>
      <c r="W581" s="2">
        <v>4</v>
      </c>
      <c r="X581" s="4">
        <v>0</v>
      </c>
      <c r="Y581" s="3">
        <v>484.05</v>
      </c>
    </row>
    <row r="582" spans="1:25" x14ac:dyDescent="0.3">
      <c r="A582" s="2" t="s">
        <v>1477</v>
      </c>
      <c r="B582" s="2" t="s">
        <v>872</v>
      </c>
      <c r="C582" s="2" t="s">
        <v>930</v>
      </c>
      <c r="D582" s="8">
        <v>27975</v>
      </c>
      <c r="E582" s="3">
        <v>985.73</v>
      </c>
      <c r="F582" s="2">
        <v>2025</v>
      </c>
      <c r="G582" s="2" t="s">
        <v>48</v>
      </c>
      <c r="H582" s="2" t="s">
        <v>29</v>
      </c>
      <c r="I582" s="2" t="s">
        <v>61</v>
      </c>
      <c r="J582" s="2" t="s">
        <v>143</v>
      </c>
      <c r="K582" s="2" t="s">
        <v>32</v>
      </c>
      <c r="L582" s="2" t="s">
        <v>63</v>
      </c>
      <c r="M582" s="8">
        <v>45800</v>
      </c>
      <c r="N582" s="2" t="s">
        <v>1482</v>
      </c>
      <c r="O582" s="8">
        <v>45799</v>
      </c>
      <c r="P582" s="8">
        <v>45801</v>
      </c>
      <c r="Q582" s="2" t="s">
        <v>41</v>
      </c>
      <c r="R582" s="2" t="s">
        <v>309</v>
      </c>
      <c r="S582" s="2">
        <v>930958</v>
      </c>
      <c r="T582" s="2" t="s">
        <v>113</v>
      </c>
      <c r="U582" s="2" t="s">
        <v>114</v>
      </c>
      <c r="V582" s="2" t="s">
        <v>1483</v>
      </c>
      <c r="W582" s="2">
        <v>4</v>
      </c>
      <c r="X582" s="4">
        <v>0.2</v>
      </c>
      <c r="Y582" s="3">
        <v>132.97</v>
      </c>
    </row>
    <row r="583" spans="1:25" x14ac:dyDescent="0.3">
      <c r="A583" s="2" t="s">
        <v>1484</v>
      </c>
      <c r="B583" s="2" t="s">
        <v>684</v>
      </c>
      <c r="C583" s="2" t="s">
        <v>226</v>
      </c>
      <c r="D583" s="8">
        <v>28269</v>
      </c>
      <c r="E583" s="3">
        <v>1528.93</v>
      </c>
      <c r="F583" s="2">
        <v>2023</v>
      </c>
      <c r="G583" s="2" t="s">
        <v>48</v>
      </c>
      <c r="H583" s="2" t="s">
        <v>29</v>
      </c>
      <c r="I583" s="2" t="s">
        <v>61</v>
      </c>
      <c r="J583" s="2" t="s">
        <v>62</v>
      </c>
      <c r="K583" s="2" t="s">
        <v>32</v>
      </c>
      <c r="L583" s="2" t="s">
        <v>63</v>
      </c>
      <c r="M583" s="8">
        <v>45196</v>
      </c>
      <c r="N583" s="2" t="s">
        <v>1485</v>
      </c>
      <c r="O583" s="8">
        <v>45195</v>
      </c>
      <c r="P583" s="8">
        <v>45196</v>
      </c>
      <c r="Q583" s="2" t="s">
        <v>74</v>
      </c>
      <c r="R583" s="2" t="s">
        <v>65</v>
      </c>
      <c r="S583" s="2">
        <v>826687</v>
      </c>
      <c r="T583" s="2" t="s">
        <v>113</v>
      </c>
      <c r="U583" s="2" t="s">
        <v>114</v>
      </c>
      <c r="V583" s="2" t="s">
        <v>1486</v>
      </c>
      <c r="W583" s="2">
        <v>6</v>
      </c>
      <c r="X583" s="4">
        <v>0.15</v>
      </c>
      <c r="Y583" s="3">
        <v>286.60000000000002</v>
      </c>
    </row>
    <row r="584" spans="1:25" x14ac:dyDescent="0.3">
      <c r="A584" s="2" t="s">
        <v>1484</v>
      </c>
      <c r="B584" s="2" t="s">
        <v>684</v>
      </c>
      <c r="C584" s="2" t="s">
        <v>226</v>
      </c>
      <c r="D584" s="8">
        <v>28269</v>
      </c>
      <c r="E584" s="3">
        <v>2142.36</v>
      </c>
      <c r="F584" s="2">
        <v>2023</v>
      </c>
      <c r="G584" s="2" t="s">
        <v>87</v>
      </c>
      <c r="H584" s="2" t="s">
        <v>29</v>
      </c>
      <c r="I584" s="2" t="s">
        <v>92</v>
      </c>
      <c r="J584" s="2" t="s">
        <v>62</v>
      </c>
      <c r="K584" s="2" t="s">
        <v>32</v>
      </c>
      <c r="L584" s="2" t="s">
        <v>63</v>
      </c>
      <c r="M584" s="8">
        <v>45224</v>
      </c>
      <c r="N584" s="2" t="s">
        <v>1487</v>
      </c>
      <c r="O584" s="8">
        <v>45224</v>
      </c>
      <c r="P584" s="8">
        <v>45225</v>
      </c>
      <c r="Q584" s="2" t="s">
        <v>35</v>
      </c>
      <c r="R584" s="2" t="s">
        <v>65</v>
      </c>
      <c r="S584" s="2">
        <v>154644</v>
      </c>
      <c r="T584" s="2" t="s">
        <v>147</v>
      </c>
      <c r="U584" s="2" t="s">
        <v>148</v>
      </c>
      <c r="V584" s="2" t="s">
        <v>1488</v>
      </c>
      <c r="W584" s="2">
        <v>7</v>
      </c>
      <c r="X584" s="4">
        <v>0.15</v>
      </c>
      <c r="Y584" s="3">
        <v>490.94</v>
      </c>
    </row>
    <row r="585" spans="1:25" x14ac:dyDescent="0.3">
      <c r="A585" s="2" t="s">
        <v>1489</v>
      </c>
      <c r="B585" s="2" t="s">
        <v>607</v>
      </c>
      <c r="C585" s="2" t="s">
        <v>184</v>
      </c>
      <c r="D585" s="8">
        <v>27697</v>
      </c>
      <c r="E585" s="3">
        <v>2884.72</v>
      </c>
      <c r="F585" s="2">
        <v>2023</v>
      </c>
      <c r="G585" s="2" t="s">
        <v>28</v>
      </c>
      <c r="H585" s="2" t="s">
        <v>29</v>
      </c>
      <c r="I585" s="2" t="s">
        <v>30</v>
      </c>
      <c r="J585" s="2" t="s">
        <v>143</v>
      </c>
      <c r="K585" s="2" t="s">
        <v>32</v>
      </c>
      <c r="L585" s="2" t="s">
        <v>63</v>
      </c>
      <c r="M585" s="8">
        <v>45170</v>
      </c>
      <c r="N585" s="2" t="s">
        <v>1490</v>
      </c>
      <c r="O585" s="8">
        <v>45167</v>
      </c>
      <c r="P585" s="8">
        <v>45170</v>
      </c>
      <c r="Q585" s="2" t="s">
        <v>41</v>
      </c>
      <c r="R585" s="2" t="s">
        <v>146</v>
      </c>
      <c r="S585" s="2">
        <v>803869</v>
      </c>
      <c r="T585" s="2" t="s">
        <v>55</v>
      </c>
      <c r="U585" s="2" t="s">
        <v>56</v>
      </c>
      <c r="V585" s="2" t="s">
        <v>1491</v>
      </c>
      <c r="W585" s="2">
        <v>10</v>
      </c>
      <c r="X585" s="4">
        <v>0.2</v>
      </c>
      <c r="Y585" s="3">
        <v>183.62</v>
      </c>
    </row>
    <row r="586" spans="1:25" x14ac:dyDescent="0.3">
      <c r="A586" s="2" t="s">
        <v>1489</v>
      </c>
      <c r="B586" s="2" t="s">
        <v>607</v>
      </c>
      <c r="C586" s="2" t="s">
        <v>184</v>
      </c>
      <c r="D586" s="8">
        <v>27697</v>
      </c>
      <c r="E586" s="3">
        <v>298.63</v>
      </c>
      <c r="F586" s="2">
        <v>2023</v>
      </c>
      <c r="G586" s="2" t="s">
        <v>28</v>
      </c>
      <c r="H586" s="2" t="s">
        <v>29</v>
      </c>
      <c r="I586" s="2" t="s">
        <v>43</v>
      </c>
      <c r="J586" s="2" t="s">
        <v>143</v>
      </c>
      <c r="K586" s="2" t="s">
        <v>32</v>
      </c>
      <c r="L586" s="2" t="s">
        <v>63</v>
      </c>
      <c r="M586" s="8">
        <v>45291</v>
      </c>
      <c r="N586" s="2" t="s">
        <v>1492</v>
      </c>
      <c r="O586" s="8">
        <v>45289</v>
      </c>
      <c r="P586" s="8">
        <v>45293</v>
      </c>
      <c r="Q586" s="2" t="s">
        <v>121</v>
      </c>
      <c r="R586" s="2" t="s">
        <v>146</v>
      </c>
      <c r="S586" s="2">
        <v>194002</v>
      </c>
      <c r="T586" s="2" t="s">
        <v>45</v>
      </c>
      <c r="U586" s="2" t="s">
        <v>46</v>
      </c>
      <c r="V586" s="2" t="s">
        <v>1493</v>
      </c>
      <c r="W586" s="2">
        <v>1</v>
      </c>
      <c r="X586" s="4">
        <v>0</v>
      </c>
      <c r="Y586" s="3">
        <v>30.15</v>
      </c>
    </row>
    <row r="587" spans="1:25" x14ac:dyDescent="0.3">
      <c r="A587" s="2" t="s">
        <v>1489</v>
      </c>
      <c r="B587" s="2" t="s">
        <v>607</v>
      </c>
      <c r="C587" s="2" t="s">
        <v>184</v>
      </c>
      <c r="D587" s="8">
        <v>27697</v>
      </c>
      <c r="E587" s="3">
        <v>616.41999999999996</v>
      </c>
      <c r="F587" s="2">
        <v>2024</v>
      </c>
      <c r="G587" s="2" t="s">
        <v>28</v>
      </c>
      <c r="H587" s="2" t="s">
        <v>29</v>
      </c>
      <c r="I587" s="2" t="s">
        <v>43</v>
      </c>
      <c r="J587" s="2" t="s">
        <v>143</v>
      </c>
      <c r="K587" s="2" t="s">
        <v>32</v>
      </c>
      <c r="L587" s="2" t="s">
        <v>63</v>
      </c>
      <c r="M587" s="8">
        <v>45410</v>
      </c>
      <c r="N587" s="2" t="s">
        <v>1494</v>
      </c>
      <c r="O587" s="8">
        <v>45409</v>
      </c>
      <c r="P587" s="8">
        <v>45411</v>
      </c>
      <c r="Q587" s="2" t="s">
        <v>74</v>
      </c>
      <c r="R587" s="2" t="s">
        <v>146</v>
      </c>
      <c r="S587" s="2">
        <v>550977</v>
      </c>
      <c r="T587" s="2" t="s">
        <v>70</v>
      </c>
      <c r="U587" s="2" t="s">
        <v>71</v>
      </c>
      <c r="V587" s="2" t="s">
        <v>1495</v>
      </c>
      <c r="W587" s="2">
        <v>7</v>
      </c>
      <c r="X587" s="4">
        <v>0</v>
      </c>
      <c r="Y587" s="3">
        <v>88.75</v>
      </c>
    </row>
    <row r="588" spans="1:25" x14ac:dyDescent="0.3">
      <c r="A588" s="2" t="s">
        <v>1496</v>
      </c>
      <c r="B588" s="2" t="s">
        <v>661</v>
      </c>
      <c r="C588" s="2" t="s">
        <v>284</v>
      </c>
      <c r="D588" s="8">
        <v>35057</v>
      </c>
      <c r="E588" s="3">
        <v>3139.36</v>
      </c>
      <c r="F588" s="2">
        <v>2023</v>
      </c>
      <c r="G588" s="2" t="s">
        <v>87</v>
      </c>
      <c r="H588" s="2" t="s">
        <v>29</v>
      </c>
      <c r="I588" s="2" t="s">
        <v>43</v>
      </c>
      <c r="J588" s="2" t="s">
        <v>62</v>
      </c>
      <c r="K588" s="2" t="s">
        <v>32</v>
      </c>
      <c r="L588" s="2" t="s">
        <v>144</v>
      </c>
      <c r="M588" s="8">
        <v>45197</v>
      </c>
      <c r="N588" s="2" t="s">
        <v>1497</v>
      </c>
      <c r="O588" s="8">
        <v>45196</v>
      </c>
      <c r="P588" s="8">
        <v>45200</v>
      </c>
      <c r="Q588" s="2" t="s">
        <v>41</v>
      </c>
      <c r="R588" s="2" t="s">
        <v>1192</v>
      </c>
      <c r="S588" s="2">
        <v>155807</v>
      </c>
      <c r="T588" s="2" t="s">
        <v>70</v>
      </c>
      <c r="U588" s="2" t="s">
        <v>71</v>
      </c>
      <c r="V588" s="2" t="s">
        <v>1498</v>
      </c>
      <c r="W588" s="2">
        <v>7</v>
      </c>
      <c r="X588" s="4">
        <v>0</v>
      </c>
      <c r="Y588" s="3">
        <v>850.96</v>
      </c>
    </row>
    <row r="589" spans="1:25" x14ac:dyDescent="0.3">
      <c r="A589" s="2" t="s">
        <v>1496</v>
      </c>
      <c r="B589" s="2" t="s">
        <v>661</v>
      </c>
      <c r="C589" s="2" t="s">
        <v>284</v>
      </c>
      <c r="D589" s="8">
        <v>35057</v>
      </c>
      <c r="E589" s="3">
        <v>410.06</v>
      </c>
      <c r="F589" s="2">
        <v>2024</v>
      </c>
      <c r="G589" s="2" t="s">
        <v>48</v>
      </c>
      <c r="H589" s="2" t="s">
        <v>29</v>
      </c>
      <c r="I589" s="2" t="s">
        <v>61</v>
      </c>
      <c r="J589" s="2" t="s">
        <v>62</v>
      </c>
      <c r="K589" s="2" t="s">
        <v>32</v>
      </c>
      <c r="L589" s="2" t="s">
        <v>144</v>
      </c>
      <c r="M589" s="8">
        <v>45557</v>
      </c>
      <c r="N589" s="2" t="s">
        <v>1499</v>
      </c>
      <c r="O589" s="8">
        <v>45554</v>
      </c>
      <c r="P589" s="8">
        <v>45558</v>
      </c>
      <c r="Q589" s="2" t="s">
        <v>41</v>
      </c>
      <c r="R589" s="2" t="s">
        <v>1192</v>
      </c>
      <c r="S589" s="2">
        <v>142773</v>
      </c>
      <c r="T589" s="2" t="s">
        <v>66</v>
      </c>
      <c r="U589" s="2" t="s">
        <v>67</v>
      </c>
      <c r="V589" s="2" t="s">
        <v>1500</v>
      </c>
      <c r="W589" s="2">
        <v>4</v>
      </c>
      <c r="X589" s="4">
        <v>0.05</v>
      </c>
      <c r="Y589" s="3">
        <v>52.52</v>
      </c>
    </row>
    <row r="590" spans="1:25" x14ac:dyDescent="0.3">
      <c r="A590" s="2" t="s">
        <v>1496</v>
      </c>
      <c r="B590" s="2" t="s">
        <v>661</v>
      </c>
      <c r="C590" s="2" t="s">
        <v>284</v>
      </c>
      <c r="D590" s="8">
        <v>35057</v>
      </c>
      <c r="E590" s="3">
        <v>2162.29</v>
      </c>
      <c r="F590" s="2">
        <v>2025</v>
      </c>
      <c r="G590" s="2" t="s">
        <v>28</v>
      </c>
      <c r="H590" s="2" t="s">
        <v>29</v>
      </c>
      <c r="I590" s="2" t="s">
        <v>92</v>
      </c>
      <c r="J590" s="2" t="s">
        <v>62</v>
      </c>
      <c r="K590" s="2" t="s">
        <v>32</v>
      </c>
      <c r="L590" s="2" t="s">
        <v>144</v>
      </c>
      <c r="M590" s="8">
        <v>45824</v>
      </c>
      <c r="N590" s="2" t="s">
        <v>1501</v>
      </c>
      <c r="O590" s="8">
        <v>45824</v>
      </c>
      <c r="P590" s="8">
        <v>45826</v>
      </c>
      <c r="Q590" s="2" t="s">
        <v>35</v>
      </c>
      <c r="R590" s="2" t="s">
        <v>1192</v>
      </c>
      <c r="S590" s="2">
        <v>313630</v>
      </c>
      <c r="T590" s="2" t="s">
        <v>94</v>
      </c>
      <c r="U590" s="2" t="s">
        <v>95</v>
      </c>
      <c r="V590" s="2" t="s">
        <v>1502</v>
      </c>
      <c r="W590" s="2">
        <v>9</v>
      </c>
      <c r="X590" s="4">
        <v>0.05</v>
      </c>
      <c r="Y590" s="3">
        <v>181.09</v>
      </c>
    </row>
    <row r="591" spans="1:25" x14ac:dyDescent="0.3">
      <c r="A591" s="2" t="s">
        <v>1503</v>
      </c>
      <c r="B591" s="2" t="s">
        <v>544</v>
      </c>
      <c r="C591" s="2" t="s">
        <v>184</v>
      </c>
      <c r="D591" s="8">
        <v>28563</v>
      </c>
      <c r="E591" s="3">
        <v>1219.5</v>
      </c>
      <c r="F591" s="2">
        <v>2023</v>
      </c>
      <c r="G591" s="2" t="s">
        <v>28</v>
      </c>
      <c r="H591" s="2" t="s">
        <v>29</v>
      </c>
      <c r="I591" s="2" t="s">
        <v>43</v>
      </c>
      <c r="J591" s="2" t="s">
        <v>31</v>
      </c>
      <c r="K591" s="2" t="s">
        <v>32</v>
      </c>
      <c r="L591" s="2" t="s">
        <v>63</v>
      </c>
      <c r="M591" s="8">
        <v>45100</v>
      </c>
      <c r="N591" s="2" t="s">
        <v>1504</v>
      </c>
      <c r="O591" s="8">
        <v>45099</v>
      </c>
      <c r="P591" s="8">
        <v>45104</v>
      </c>
      <c r="Q591" s="2" t="s">
        <v>35</v>
      </c>
      <c r="R591" s="2" t="s">
        <v>236</v>
      </c>
      <c r="S591" s="2">
        <v>358114</v>
      </c>
      <c r="T591" s="2" t="s">
        <v>70</v>
      </c>
      <c r="U591" s="2" t="s">
        <v>71</v>
      </c>
      <c r="V591" s="2" t="s">
        <v>1505</v>
      </c>
      <c r="W591" s="2">
        <v>10</v>
      </c>
      <c r="X591" s="4">
        <v>0</v>
      </c>
      <c r="Y591" s="3">
        <v>253.42</v>
      </c>
    </row>
    <row r="592" spans="1:25" x14ac:dyDescent="0.3">
      <c r="A592" s="2" t="s">
        <v>1503</v>
      </c>
      <c r="B592" s="2" t="s">
        <v>544</v>
      </c>
      <c r="C592" s="2" t="s">
        <v>184</v>
      </c>
      <c r="D592" s="8">
        <v>28563</v>
      </c>
      <c r="E592" s="3">
        <v>132.99</v>
      </c>
      <c r="F592" s="2">
        <v>2023</v>
      </c>
      <c r="G592" s="2" t="s">
        <v>28</v>
      </c>
      <c r="H592" s="2" t="s">
        <v>29</v>
      </c>
      <c r="I592" s="2" t="s">
        <v>92</v>
      </c>
      <c r="J592" s="2" t="s">
        <v>31</v>
      </c>
      <c r="K592" s="2" t="s">
        <v>32</v>
      </c>
      <c r="L592" s="2" t="s">
        <v>63</v>
      </c>
      <c r="M592" s="8">
        <v>45111</v>
      </c>
      <c r="N592" s="2" t="s">
        <v>1506</v>
      </c>
      <c r="O592" s="8">
        <v>45111</v>
      </c>
      <c r="P592" s="8">
        <v>45114</v>
      </c>
      <c r="Q592" s="2" t="s">
        <v>121</v>
      </c>
      <c r="R592" s="2" t="s">
        <v>236</v>
      </c>
      <c r="S592" s="2">
        <v>130277</v>
      </c>
      <c r="T592" s="2" t="s">
        <v>187</v>
      </c>
      <c r="U592" s="2" t="s">
        <v>188</v>
      </c>
      <c r="V592" s="2" t="s">
        <v>1507</v>
      </c>
      <c r="W592" s="2">
        <v>1</v>
      </c>
      <c r="X592" s="4">
        <v>0.15</v>
      </c>
      <c r="Y592" s="3">
        <v>11.52</v>
      </c>
    </row>
    <row r="593" spans="1:25" x14ac:dyDescent="0.3">
      <c r="A593" s="2" t="s">
        <v>1503</v>
      </c>
      <c r="B593" s="2" t="s">
        <v>544</v>
      </c>
      <c r="C593" s="2" t="s">
        <v>184</v>
      </c>
      <c r="D593" s="8">
        <v>28563</v>
      </c>
      <c r="E593" s="3">
        <v>1903.6</v>
      </c>
      <c r="F593" s="2">
        <v>2024</v>
      </c>
      <c r="G593" s="2" t="s">
        <v>48</v>
      </c>
      <c r="H593" s="2" t="s">
        <v>29</v>
      </c>
      <c r="I593" s="2" t="s">
        <v>78</v>
      </c>
      <c r="J593" s="2" t="s">
        <v>31</v>
      </c>
      <c r="K593" s="2" t="s">
        <v>32</v>
      </c>
      <c r="L593" s="2" t="s">
        <v>63</v>
      </c>
      <c r="M593" s="8">
        <v>45448</v>
      </c>
      <c r="N593" s="2" t="s">
        <v>1508</v>
      </c>
      <c r="O593" s="8">
        <v>45447</v>
      </c>
      <c r="P593" s="8">
        <v>45448</v>
      </c>
      <c r="Q593" s="2" t="s">
        <v>41</v>
      </c>
      <c r="R593" s="2" t="s">
        <v>236</v>
      </c>
      <c r="S593" s="2">
        <v>440698</v>
      </c>
      <c r="T593" s="2" t="s">
        <v>80</v>
      </c>
      <c r="U593" s="2" t="s">
        <v>81</v>
      </c>
      <c r="V593" s="2" t="s">
        <v>1509</v>
      </c>
      <c r="W593" s="2">
        <v>8</v>
      </c>
      <c r="X593" s="4">
        <v>0</v>
      </c>
      <c r="Y593" s="3">
        <v>434.52</v>
      </c>
    </row>
    <row r="594" spans="1:25" x14ac:dyDescent="0.3">
      <c r="A594" s="2" t="s">
        <v>1503</v>
      </c>
      <c r="B594" s="2" t="s">
        <v>544</v>
      </c>
      <c r="C594" s="2" t="s">
        <v>184</v>
      </c>
      <c r="D594" s="8">
        <v>28563</v>
      </c>
      <c r="E594" s="3">
        <v>656.56</v>
      </c>
      <c r="F594" s="2">
        <v>2025</v>
      </c>
      <c r="G594" s="2" t="s">
        <v>48</v>
      </c>
      <c r="H594" s="2" t="s">
        <v>29</v>
      </c>
      <c r="I594" s="2" t="s">
        <v>49</v>
      </c>
      <c r="J594" s="2" t="s">
        <v>31</v>
      </c>
      <c r="K594" s="2" t="s">
        <v>32</v>
      </c>
      <c r="L594" s="2" t="s">
        <v>63</v>
      </c>
      <c r="M594" s="8">
        <v>45696</v>
      </c>
      <c r="N594" s="2" t="s">
        <v>1510</v>
      </c>
      <c r="O594" s="8">
        <v>45694</v>
      </c>
      <c r="P594" s="8">
        <v>45697</v>
      </c>
      <c r="Q594" s="2" t="s">
        <v>35</v>
      </c>
      <c r="R594" s="2" t="s">
        <v>236</v>
      </c>
      <c r="S594" s="2">
        <v>673734</v>
      </c>
      <c r="T594" s="2" t="s">
        <v>51</v>
      </c>
      <c r="U594" s="2" t="s">
        <v>52</v>
      </c>
      <c r="V594" s="2" t="s">
        <v>1511</v>
      </c>
      <c r="W594" s="2">
        <v>10</v>
      </c>
      <c r="X594" s="4">
        <v>0.2</v>
      </c>
      <c r="Y594" s="3">
        <v>42.42</v>
      </c>
    </row>
    <row r="595" spans="1:25" x14ac:dyDescent="0.3">
      <c r="A595" s="2" t="s">
        <v>1503</v>
      </c>
      <c r="B595" s="2" t="s">
        <v>544</v>
      </c>
      <c r="C595" s="2" t="s">
        <v>184</v>
      </c>
      <c r="D595" s="8">
        <v>28563</v>
      </c>
      <c r="E595" s="3">
        <v>997.36</v>
      </c>
      <c r="F595" s="2">
        <v>2025</v>
      </c>
      <c r="G595" s="2" t="s">
        <v>48</v>
      </c>
      <c r="H595" s="2" t="s">
        <v>29</v>
      </c>
      <c r="I595" s="2" t="s">
        <v>30</v>
      </c>
      <c r="J595" s="2" t="s">
        <v>31</v>
      </c>
      <c r="K595" s="2" t="s">
        <v>32</v>
      </c>
      <c r="L595" s="2" t="s">
        <v>63</v>
      </c>
      <c r="M595" s="8">
        <v>45769</v>
      </c>
      <c r="N595" s="2" t="s">
        <v>1512</v>
      </c>
      <c r="O595" s="8">
        <v>45769</v>
      </c>
      <c r="P595" s="8">
        <v>45773</v>
      </c>
      <c r="Q595" s="2" t="s">
        <v>121</v>
      </c>
      <c r="R595" s="2" t="s">
        <v>236</v>
      </c>
      <c r="S595" s="2">
        <v>270855</v>
      </c>
      <c r="T595" s="2" t="s">
        <v>37</v>
      </c>
      <c r="U595" s="2" t="s">
        <v>38</v>
      </c>
      <c r="V595" s="2" t="s">
        <v>1513</v>
      </c>
      <c r="W595" s="2">
        <v>7</v>
      </c>
      <c r="X595" s="4">
        <v>0</v>
      </c>
      <c r="Y595" s="3">
        <v>338.62</v>
      </c>
    </row>
    <row r="596" spans="1:25" x14ac:dyDescent="0.3">
      <c r="A596" s="2" t="s">
        <v>1503</v>
      </c>
      <c r="B596" s="2" t="s">
        <v>544</v>
      </c>
      <c r="C596" s="2" t="s">
        <v>184</v>
      </c>
      <c r="D596" s="8">
        <v>28563</v>
      </c>
      <c r="E596" s="3">
        <v>221.99</v>
      </c>
      <c r="F596" s="2">
        <v>2025</v>
      </c>
      <c r="G596" s="2" t="s">
        <v>28</v>
      </c>
      <c r="H596" s="2" t="s">
        <v>29</v>
      </c>
      <c r="I596" s="2" t="s">
        <v>92</v>
      </c>
      <c r="J596" s="2" t="s">
        <v>31</v>
      </c>
      <c r="K596" s="2" t="s">
        <v>32</v>
      </c>
      <c r="L596" s="2" t="s">
        <v>63</v>
      </c>
      <c r="M596" s="8">
        <v>45782</v>
      </c>
      <c r="N596" s="2" t="s">
        <v>1514</v>
      </c>
      <c r="O596" s="8">
        <v>45781</v>
      </c>
      <c r="P596" s="8">
        <v>45784</v>
      </c>
      <c r="Q596" s="2" t="s">
        <v>35</v>
      </c>
      <c r="R596" s="2" t="s">
        <v>236</v>
      </c>
      <c r="S596" s="2">
        <v>972470</v>
      </c>
      <c r="T596" s="2" t="s">
        <v>127</v>
      </c>
      <c r="U596" s="2" t="s">
        <v>128</v>
      </c>
      <c r="V596" s="2" t="s">
        <v>1515</v>
      </c>
      <c r="W596" s="2">
        <v>3</v>
      </c>
      <c r="X596" s="4">
        <v>0.05</v>
      </c>
      <c r="Y596" s="3">
        <v>64.45</v>
      </c>
    </row>
    <row r="597" spans="1:25" x14ac:dyDescent="0.3">
      <c r="A597" s="2" t="s">
        <v>1516</v>
      </c>
      <c r="B597" s="2" t="s">
        <v>467</v>
      </c>
      <c r="C597" s="2" t="s">
        <v>690</v>
      </c>
      <c r="D597" s="8">
        <v>34621</v>
      </c>
      <c r="E597" s="3">
        <v>3081.6</v>
      </c>
      <c r="F597" s="2">
        <v>2023</v>
      </c>
      <c r="G597" s="2" t="s">
        <v>28</v>
      </c>
      <c r="H597" s="2" t="s">
        <v>29</v>
      </c>
      <c r="I597" s="2" t="s">
        <v>92</v>
      </c>
      <c r="J597" s="2" t="s">
        <v>227</v>
      </c>
      <c r="K597" s="2" t="s">
        <v>32</v>
      </c>
      <c r="L597" s="2" t="s">
        <v>144</v>
      </c>
      <c r="M597" s="8">
        <v>45132</v>
      </c>
      <c r="N597" s="2" t="s">
        <v>1517</v>
      </c>
      <c r="O597" s="8">
        <v>45131</v>
      </c>
      <c r="P597" s="8">
        <v>45134</v>
      </c>
      <c r="Q597" s="2" t="s">
        <v>41</v>
      </c>
      <c r="R597" s="2" t="s">
        <v>229</v>
      </c>
      <c r="S597" s="2">
        <v>197462</v>
      </c>
      <c r="T597" s="2" t="s">
        <v>127</v>
      </c>
      <c r="U597" s="2" t="s">
        <v>128</v>
      </c>
      <c r="V597" s="2" t="s">
        <v>1518</v>
      </c>
      <c r="W597" s="2">
        <v>10</v>
      </c>
      <c r="X597" s="4">
        <v>0</v>
      </c>
      <c r="Y597" s="3">
        <v>853.44</v>
      </c>
    </row>
    <row r="598" spans="1:25" x14ac:dyDescent="0.3">
      <c r="A598" s="2" t="s">
        <v>1516</v>
      </c>
      <c r="B598" s="2" t="s">
        <v>467</v>
      </c>
      <c r="C598" s="2" t="s">
        <v>690</v>
      </c>
      <c r="D598" s="8">
        <v>34621</v>
      </c>
      <c r="E598" s="3">
        <v>1124.8900000000001</v>
      </c>
      <c r="F598" s="2">
        <v>2024</v>
      </c>
      <c r="G598" s="2" t="s">
        <v>87</v>
      </c>
      <c r="H598" s="2" t="s">
        <v>29</v>
      </c>
      <c r="I598" s="2" t="s">
        <v>78</v>
      </c>
      <c r="J598" s="2" t="s">
        <v>227</v>
      </c>
      <c r="K598" s="2" t="s">
        <v>32</v>
      </c>
      <c r="L598" s="2" t="s">
        <v>144</v>
      </c>
      <c r="M598" s="8">
        <v>45387</v>
      </c>
      <c r="N598" s="2" t="s">
        <v>1519</v>
      </c>
      <c r="O598" s="8">
        <v>45383</v>
      </c>
      <c r="P598" s="8">
        <v>45387</v>
      </c>
      <c r="Q598" s="2" t="s">
        <v>35</v>
      </c>
      <c r="R598" s="2" t="s">
        <v>229</v>
      </c>
      <c r="S598" s="2">
        <v>404824</v>
      </c>
      <c r="T598" s="2" t="s">
        <v>117</v>
      </c>
      <c r="U598" s="2" t="s">
        <v>118</v>
      </c>
      <c r="V598" s="2" t="s">
        <v>1520</v>
      </c>
      <c r="W598" s="2">
        <v>4</v>
      </c>
      <c r="X598" s="4">
        <v>0.15</v>
      </c>
      <c r="Y598" s="3">
        <v>108.58</v>
      </c>
    </row>
    <row r="599" spans="1:25" x14ac:dyDescent="0.3">
      <c r="A599" s="2" t="s">
        <v>1516</v>
      </c>
      <c r="B599" s="2" t="s">
        <v>467</v>
      </c>
      <c r="C599" s="2" t="s">
        <v>690</v>
      </c>
      <c r="D599" s="8">
        <v>34621</v>
      </c>
      <c r="E599" s="3">
        <v>1313.52</v>
      </c>
      <c r="F599" s="2">
        <v>2024</v>
      </c>
      <c r="G599" s="2" t="s">
        <v>87</v>
      </c>
      <c r="H599" s="2" t="s">
        <v>29</v>
      </c>
      <c r="I599" s="2" t="s">
        <v>92</v>
      </c>
      <c r="J599" s="2" t="s">
        <v>227</v>
      </c>
      <c r="K599" s="2" t="s">
        <v>32</v>
      </c>
      <c r="L599" s="2" t="s">
        <v>144</v>
      </c>
      <c r="M599" s="8">
        <v>45429</v>
      </c>
      <c r="N599" s="2" t="s">
        <v>1521</v>
      </c>
      <c r="O599" s="8">
        <v>45428</v>
      </c>
      <c r="P599" s="8">
        <v>45431</v>
      </c>
      <c r="Q599" s="2" t="s">
        <v>41</v>
      </c>
      <c r="R599" s="2" t="s">
        <v>229</v>
      </c>
      <c r="S599" s="2">
        <v>409834</v>
      </c>
      <c r="T599" s="2" t="s">
        <v>127</v>
      </c>
      <c r="U599" s="2" t="s">
        <v>128</v>
      </c>
      <c r="V599" s="2" t="s">
        <v>1522</v>
      </c>
      <c r="W599" s="2">
        <v>8</v>
      </c>
      <c r="X599" s="4">
        <v>0</v>
      </c>
      <c r="Y599" s="3">
        <v>335.33</v>
      </c>
    </row>
    <row r="600" spans="1:25" x14ac:dyDescent="0.3">
      <c r="A600" s="2" t="s">
        <v>1523</v>
      </c>
      <c r="B600" s="2" t="s">
        <v>1157</v>
      </c>
      <c r="C600" s="2" t="s">
        <v>364</v>
      </c>
      <c r="D600" s="8">
        <v>29375</v>
      </c>
      <c r="E600" s="3">
        <v>413.17</v>
      </c>
      <c r="F600" s="2">
        <v>2023</v>
      </c>
      <c r="G600" s="2" t="s">
        <v>28</v>
      </c>
      <c r="H600" s="2" t="s">
        <v>29</v>
      </c>
      <c r="I600" s="2" t="s">
        <v>78</v>
      </c>
      <c r="J600" s="2" t="s">
        <v>143</v>
      </c>
      <c r="K600" s="2" t="s">
        <v>32</v>
      </c>
      <c r="L600" s="2" t="s">
        <v>144</v>
      </c>
      <c r="M600" s="8">
        <v>44975</v>
      </c>
      <c r="N600" s="2" t="s">
        <v>1524</v>
      </c>
      <c r="O600" s="8">
        <v>44973</v>
      </c>
      <c r="P600" s="8">
        <v>44976</v>
      </c>
      <c r="Q600" s="2" t="s">
        <v>35</v>
      </c>
      <c r="R600" s="2" t="s">
        <v>146</v>
      </c>
      <c r="S600" s="2">
        <v>905984</v>
      </c>
      <c r="T600" s="2" t="s">
        <v>80</v>
      </c>
      <c r="U600" s="2" t="s">
        <v>81</v>
      </c>
      <c r="V600" s="2" t="s">
        <v>1525</v>
      </c>
      <c r="W600" s="2">
        <v>2</v>
      </c>
      <c r="X600" s="4">
        <v>0.15</v>
      </c>
      <c r="Y600" s="3">
        <v>91.12</v>
      </c>
    </row>
    <row r="601" spans="1:25" x14ac:dyDescent="0.3">
      <c r="A601" s="2" t="s">
        <v>1523</v>
      </c>
      <c r="B601" s="2" t="s">
        <v>1157</v>
      </c>
      <c r="C601" s="2" t="s">
        <v>364</v>
      </c>
      <c r="D601" s="8">
        <v>29375</v>
      </c>
      <c r="E601" s="3">
        <v>849.52</v>
      </c>
      <c r="F601" s="2">
        <v>2023</v>
      </c>
      <c r="G601" s="2" t="s">
        <v>28</v>
      </c>
      <c r="H601" s="2" t="s">
        <v>29</v>
      </c>
      <c r="I601" s="2" t="s">
        <v>30</v>
      </c>
      <c r="J601" s="2" t="s">
        <v>143</v>
      </c>
      <c r="K601" s="2" t="s">
        <v>32</v>
      </c>
      <c r="L601" s="2" t="s">
        <v>144</v>
      </c>
      <c r="M601" s="8">
        <v>45005</v>
      </c>
      <c r="N601" s="2" t="s">
        <v>1526</v>
      </c>
      <c r="O601" s="8">
        <v>45005</v>
      </c>
      <c r="P601" s="8">
        <v>45006</v>
      </c>
      <c r="Q601" s="2" t="s">
        <v>74</v>
      </c>
      <c r="R601" s="2" t="s">
        <v>146</v>
      </c>
      <c r="S601" s="2">
        <v>429196</v>
      </c>
      <c r="T601" s="2" t="s">
        <v>75</v>
      </c>
      <c r="U601" s="2" t="s">
        <v>76</v>
      </c>
      <c r="V601" s="2" t="s">
        <v>1527</v>
      </c>
      <c r="W601" s="2">
        <v>8</v>
      </c>
      <c r="X601" s="4">
        <v>0</v>
      </c>
      <c r="Y601" s="3">
        <v>257.3</v>
      </c>
    </row>
    <row r="602" spans="1:25" x14ac:dyDescent="0.3">
      <c r="A602" s="2" t="s">
        <v>1523</v>
      </c>
      <c r="B602" s="2" t="s">
        <v>1157</v>
      </c>
      <c r="C602" s="2" t="s">
        <v>364</v>
      </c>
      <c r="D602" s="8">
        <v>29375</v>
      </c>
      <c r="E602" s="3">
        <v>2555.44</v>
      </c>
      <c r="F602" s="2">
        <v>2024</v>
      </c>
      <c r="G602" s="2" t="s">
        <v>48</v>
      </c>
      <c r="H602" s="2" t="s">
        <v>29</v>
      </c>
      <c r="I602" s="2" t="s">
        <v>30</v>
      </c>
      <c r="J602" s="2" t="s">
        <v>143</v>
      </c>
      <c r="K602" s="2" t="s">
        <v>32</v>
      </c>
      <c r="L602" s="2" t="s">
        <v>144</v>
      </c>
      <c r="M602" s="8">
        <v>45452</v>
      </c>
      <c r="N602" s="2" t="s">
        <v>1528</v>
      </c>
      <c r="O602" s="8">
        <v>45452</v>
      </c>
      <c r="P602" s="8">
        <v>45454</v>
      </c>
      <c r="Q602" s="2" t="s">
        <v>35</v>
      </c>
      <c r="R602" s="2" t="s">
        <v>146</v>
      </c>
      <c r="S602" s="2">
        <v>883317</v>
      </c>
      <c r="T602" s="2" t="s">
        <v>55</v>
      </c>
      <c r="U602" s="2" t="s">
        <v>56</v>
      </c>
      <c r="V602" s="2" t="s">
        <v>1529</v>
      </c>
      <c r="W602" s="2">
        <v>8</v>
      </c>
      <c r="X602" s="4">
        <v>0</v>
      </c>
      <c r="Y602" s="3">
        <v>389.45</v>
      </c>
    </row>
    <row r="603" spans="1:25" x14ac:dyDescent="0.3">
      <c r="A603" s="2" t="s">
        <v>1523</v>
      </c>
      <c r="B603" s="2" t="s">
        <v>1157</v>
      </c>
      <c r="C603" s="2" t="s">
        <v>364</v>
      </c>
      <c r="D603" s="8">
        <v>29375</v>
      </c>
      <c r="E603" s="3">
        <v>456.44</v>
      </c>
      <c r="F603" s="2">
        <v>2024</v>
      </c>
      <c r="G603" s="2" t="s">
        <v>48</v>
      </c>
      <c r="H603" s="2" t="s">
        <v>29</v>
      </c>
      <c r="I603" s="2" t="s">
        <v>30</v>
      </c>
      <c r="J603" s="2" t="s">
        <v>143</v>
      </c>
      <c r="K603" s="2" t="s">
        <v>32</v>
      </c>
      <c r="L603" s="2" t="s">
        <v>144</v>
      </c>
      <c r="M603" s="8">
        <v>45491</v>
      </c>
      <c r="N603" s="2" t="s">
        <v>1530</v>
      </c>
      <c r="O603" s="8">
        <v>45491</v>
      </c>
      <c r="P603" s="8">
        <v>45492</v>
      </c>
      <c r="Q603" s="2" t="s">
        <v>41</v>
      </c>
      <c r="R603" s="2" t="s">
        <v>146</v>
      </c>
      <c r="S603" s="2">
        <v>582515</v>
      </c>
      <c r="T603" s="2" t="s">
        <v>37</v>
      </c>
      <c r="U603" s="2" t="s">
        <v>38</v>
      </c>
      <c r="V603" s="2" t="s">
        <v>1531</v>
      </c>
      <c r="W603" s="2">
        <v>2</v>
      </c>
      <c r="X603" s="4">
        <v>0</v>
      </c>
      <c r="Y603" s="3">
        <v>23.62</v>
      </c>
    </row>
    <row r="604" spans="1:25" x14ac:dyDescent="0.3">
      <c r="A604" s="2" t="s">
        <v>1532</v>
      </c>
      <c r="B604" s="2" t="s">
        <v>684</v>
      </c>
      <c r="C604" s="2" t="s">
        <v>618</v>
      </c>
      <c r="D604" s="8">
        <v>28181</v>
      </c>
      <c r="E604" s="3">
        <v>1641.77</v>
      </c>
      <c r="F604" s="2">
        <v>2024</v>
      </c>
      <c r="G604" s="2" t="s">
        <v>48</v>
      </c>
      <c r="H604" s="2" t="s">
        <v>163</v>
      </c>
      <c r="I604" s="2" t="s">
        <v>92</v>
      </c>
      <c r="J604" s="2" t="s">
        <v>143</v>
      </c>
      <c r="K604" s="2" t="s">
        <v>32</v>
      </c>
      <c r="L604" s="2" t="s">
        <v>33</v>
      </c>
      <c r="M604" s="8">
        <v>45545</v>
      </c>
      <c r="N604" s="2" t="s">
        <v>1533</v>
      </c>
      <c r="O604" s="8">
        <v>45543</v>
      </c>
      <c r="P604" s="8">
        <v>45547</v>
      </c>
      <c r="Q604" s="2" t="s">
        <v>121</v>
      </c>
      <c r="R604" s="2" t="s">
        <v>421</v>
      </c>
      <c r="S604" s="2">
        <v>241677</v>
      </c>
      <c r="T604" s="2" t="s">
        <v>94</v>
      </c>
      <c r="U604" s="2" t="s">
        <v>95</v>
      </c>
      <c r="V604" s="2" t="s">
        <v>1534</v>
      </c>
      <c r="W604" s="2">
        <v>10</v>
      </c>
      <c r="X604" s="4">
        <v>0.15</v>
      </c>
      <c r="Y604" s="3">
        <v>556.47</v>
      </c>
    </row>
    <row r="605" spans="1:25" x14ac:dyDescent="0.3">
      <c r="A605" s="2" t="s">
        <v>1532</v>
      </c>
      <c r="B605" s="2" t="s">
        <v>684</v>
      </c>
      <c r="C605" s="2" t="s">
        <v>618</v>
      </c>
      <c r="D605" s="8">
        <v>28181</v>
      </c>
      <c r="E605" s="3">
        <v>354.1</v>
      </c>
      <c r="F605" s="2">
        <v>2024</v>
      </c>
      <c r="G605" s="2" t="s">
        <v>87</v>
      </c>
      <c r="H605" s="2" t="s">
        <v>163</v>
      </c>
      <c r="I605" s="2" t="s">
        <v>78</v>
      </c>
      <c r="J605" s="2" t="s">
        <v>143</v>
      </c>
      <c r="K605" s="2" t="s">
        <v>32</v>
      </c>
      <c r="L605" s="2" t="s">
        <v>33</v>
      </c>
      <c r="M605" s="8">
        <v>45601</v>
      </c>
      <c r="N605" s="2" t="s">
        <v>1535</v>
      </c>
      <c r="O605" s="8">
        <v>45600</v>
      </c>
      <c r="P605" s="8">
        <v>45602</v>
      </c>
      <c r="Q605" s="2" t="s">
        <v>121</v>
      </c>
      <c r="R605" s="2" t="s">
        <v>421</v>
      </c>
      <c r="S605" s="2">
        <v>781301</v>
      </c>
      <c r="T605" s="2" t="s">
        <v>89</v>
      </c>
      <c r="U605" s="2" t="s">
        <v>90</v>
      </c>
      <c r="V605" s="2" t="s">
        <v>1536</v>
      </c>
      <c r="W605" s="2">
        <v>1</v>
      </c>
      <c r="X605" s="4">
        <v>0</v>
      </c>
      <c r="Y605" s="3">
        <v>108.96</v>
      </c>
    </row>
    <row r="606" spans="1:25" x14ac:dyDescent="0.3">
      <c r="A606" s="2" t="s">
        <v>1532</v>
      </c>
      <c r="B606" s="2" t="s">
        <v>684</v>
      </c>
      <c r="C606" s="2" t="s">
        <v>618</v>
      </c>
      <c r="D606" s="8">
        <v>28181</v>
      </c>
      <c r="E606" s="3">
        <v>1004.76</v>
      </c>
      <c r="F606" s="2">
        <v>2025</v>
      </c>
      <c r="G606" s="2" t="s">
        <v>28</v>
      </c>
      <c r="H606" s="2" t="s">
        <v>163</v>
      </c>
      <c r="I606" s="2" t="s">
        <v>61</v>
      </c>
      <c r="J606" s="2" t="s">
        <v>143</v>
      </c>
      <c r="K606" s="2" t="s">
        <v>32</v>
      </c>
      <c r="L606" s="2" t="s">
        <v>33</v>
      </c>
      <c r="M606" s="8">
        <v>45671</v>
      </c>
      <c r="N606" s="2" t="s">
        <v>1537</v>
      </c>
      <c r="O606" s="8">
        <v>45670</v>
      </c>
      <c r="P606" s="8">
        <v>45672</v>
      </c>
      <c r="Q606" s="2" t="s">
        <v>35</v>
      </c>
      <c r="R606" s="2" t="s">
        <v>421</v>
      </c>
      <c r="S606" s="2">
        <v>222115</v>
      </c>
      <c r="T606" s="2" t="s">
        <v>113</v>
      </c>
      <c r="U606" s="2" t="s">
        <v>114</v>
      </c>
      <c r="V606" s="2" t="s">
        <v>1538</v>
      </c>
      <c r="W606" s="2">
        <v>9</v>
      </c>
      <c r="X606" s="4">
        <v>0</v>
      </c>
      <c r="Y606" s="3">
        <v>282.25</v>
      </c>
    </row>
    <row r="607" spans="1:25" x14ac:dyDescent="0.3">
      <c r="A607" s="2" t="s">
        <v>1532</v>
      </c>
      <c r="B607" s="2" t="s">
        <v>684</v>
      </c>
      <c r="C607" s="2" t="s">
        <v>618</v>
      </c>
      <c r="D607" s="8">
        <v>28181</v>
      </c>
      <c r="E607" s="3">
        <v>3668.22</v>
      </c>
      <c r="F607" s="2">
        <v>2025</v>
      </c>
      <c r="G607" s="2" t="s">
        <v>48</v>
      </c>
      <c r="H607" s="2" t="s">
        <v>163</v>
      </c>
      <c r="I607" s="2" t="s">
        <v>61</v>
      </c>
      <c r="J607" s="2" t="s">
        <v>143</v>
      </c>
      <c r="K607" s="2" t="s">
        <v>32</v>
      </c>
      <c r="L607" s="2" t="s">
        <v>33</v>
      </c>
      <c r="M607" s="8">
        <v>45693</v>
      </c>
      <c r="N607" s="2" t="s">
        <v>1539</v>
      </c>
      <c r="O607" s="8">
        <v>45689</v>
      </c>
      <c r="P607" s="8">
        <v>45693</v>
      </c>
      <c r="Q607" s="2" t="s">
        <v>121</v>
      </c>
      <c r="R607" s="2" t="s">
        <v>421</v>
      </c>
      <c r="S607" s="2">
        <v>409153</v>
      </c>
      <c r="T607" s="2" t="s">
        <v>66</v>
      </c>
      <c r="U607" s="2" t="s">
        <v>67</v>
      </c>
      <c r="V607" s="2" t="s">
        <v>1540</v>
      </c>
      <c r="W607" s="2">
        <v>8</v>
      </c>
      <c r="X607" s="4">
        <v>0.05</v>
      </c>
      <c r="Y607" s="3">
        <v>205.01</v>
      </c>
    </row>
    <row r="608" spans="1:25" x14ac:dyDescent="0.3">
      <c r="A608" s="2" t="s">
        <v>1532</v>
      </c>
      <c r="B608" s="2" t="s">
        <v>684</v>
      </c>
      <c r="C608" s="2" t="s">
        <v>618</v>
      </c>
      <c r="D608" s="8">
        <v>28181</v>
      </c>
      <c r="E608" s="3">
        <v>121.28</v>
      </c>
      <c r="F608" s="2">
        <v>2025</v>
      </c>
      <c r="G608" s="2" t="s">
        <v>28</v>
      </c>
      <c r="H608" s="2" t="s">
        <v>163</v>
      </c>
      <c r="I608" s="2" t="s">
        <v>30</v>
      </c>
      <c r="J608" s="2" t="s">
        <v>143</v>
      </c>
      <c r="K608" s="2" t="s">
        <v>32</v>
      </c>
      <c r="L608" s="2" t="s">
        <v>33</v>
      </c>
      <c r="M608" s="8">
        <v>45819</v>
      </c>
      <c r="N608" s="2" t="s">
        <v>1541</v>
      </c>
      <c r="O608" s="8">
        <v>45816</v>
      </c>
      <c r="P608" s="8">
        <v>45820</v>
      </c>
      <c r="Q608" s="2" t="s">
        <v>74</v>
      </c>
      <c r="R608" s="2" t="s">
        <v>421</v>
      </c>
      <c r="S608" s="2">
        <v>138815</v>
      </c>
      <c r="T608" s="2" t="s">
        <v>37</v>
      </c>
      <c r="U608" s="2" t="s">
        <v>38</v>
      </c>
      <c r="V608" s="2" t="s">
        <v>1542</v>
      </c>
      <c r="W608" s="2">
        <v>6</v>
      </c>
      <c r="X608" s="4">
        <v>0.15</v>
      </c>
      <c r="Y608" s="3">
        <v>36.9</v>
      </c>
    </row>
    <row r="609" spans="1:25" x14ac:dyDescent="0.3">
      <c r="A609" s="2" t="s">
        <v>1543</v>
      </c>
      <c r="B609" s="2" t="s">
        <v>210</v>
      </c>
      <c r="C609" s="2" t="s">
        <v>60</v>
      </c>
      <c r="D609" s="8">
        <v>26898</v>
      </c>
      <c r="E609" s="3">
        <v>1050.48</v>
      </c>
      <c r="F609" s="2">
        <v>2024</v>
      </c>
      <c r="G609" s="2" t="s">
        <v>28</v>
      </c>
      <c r="H609" s="2" t="s">
        <v>29</v>
      </c>
      <c r="I609" s="2" t="s">
        <v>30</v>
      </c>
      <c r="J609" s="2" t="s">
        <v>143</v>
      </c>
      <c r="K609" s="2" t="s">
        <v>32</v>
      </c>
      <c r="L609" s="2" t="s">
        <v>63</v>
      </c>
      <c r="M609" s="8">
        <v>45428</v>
      </c>
      <c r="N609" s="2" t="s">
        <v>1544</v>
      </c>
      <c r="O609" s="8">
        <v>45424</v>
      </c>
      <c r="P609" s="8">
        <v>45428</v>
      </c>
      <c r="Q609" s="2" t="s">
        <v>35</v>
      </c>
      <c r="R609" s="2" t="s">
        <v>309</v>
      </c>
      <c r="S609" s="2">
        <v>380859</v>
      </c>
      <c r="T609" s="2" t="s">
        <v>55</v>
      </c>
      <c r="U609" s="2" t="s">
        <v>56</v>
      </c>
      <c r="V609" s="2" t="s">
        <v>1545</v>
      </c>
      <c r="W609" s="2">
        <v>8</v>
      </c>
      <c r="X609" s="4">
        <v>0</v>
      </c>
      <c r="Y609" s="3">
        <v>219.02</v>
      </c>
    </row>
    <row r="610" spans="1:25" x14ac:dyDescent="0.3">
      <c r="A610" s="2" t="s">
        <v>1543</v>
      </c>
      <c r="B610" s="2" t="s">
        <v>210</v>
      </c>
      <c r="C610" s="2" t="s">
        <v>60</v>
      </c>
      <c r="D610" s="8">
        <v>26898</v>
      </c>
      <c r="E610" s="3">
        <v>437.75</v>
      </c>
      <c r="F610" s="2">
        <v>2024</v>
      </c>
      <c r="G610" s="2" t="s">
        <v>48</v>
      </c>
      <c r="H610" s="2" t="s">
        <v>29</v>
      </c>
      <c r="I610" s="2" t="s">
        <v>49</v>
      </c>
      <c r="J610" s="2" t="s">
        <v>143</v>
      </c>
      <c r="K610" s="2" t="s">
        <v>32</v>
      </c>
      <c r="L610" s="2" t="s">
        <v>63</v>
      </c>
      <c r="M610" s="8">
        <v>45452</v>
      </c>
      <c r="N610" s="2" t="s">
        <v>1546</v>
      </c>
      <c r="O610" s="8">
        <v>45452</v>
      </c>
      <c r="P610" s="8">
        <v>45456</v>
      </c>
      <c r="Q610" s="2" t="s">
        <v>74</v>
      </c>
      <c r="R610" s="2" t="s">
        <v>309</v>
      </c>
      <c r="S610" s="2">
        <v>861485</v>
      </c>
      <c r="T610" s="2" t="s">
        <v>84</v>
      </c>
      <c r="U610" s="2" t="s">
        <v>85</v>
      </c>
      <c r="V610" s="2" t="s">
        <v>1547</v>
      </c>
      <c r="W610" s="2">
        <v>2</v>
      </c>
      <c r="X610" s="4">
        <v>0.15</v>
      </c>
      <c r="Y610" s="3">
        <v>67.430000000000007</v>
      </c>
    </row>
    <row r="611" spans="1:25" x14ac:dyDescent="0.3">
      <c r="A611" s="2" t="s">
        <v>1543</v>
      </c>
      <c r="B611" s="2" t="s">
        <v>210</v>
      </c>
      <c r="C611" s="2" t="s">
        <v>60</v>
      </c>
      <c r="D611" s="8">
        <v>26898</v>
      </c>
      <c r="E611" s="3">
        <v>1051.28</v>
      </c>
      <c r="F611" s="2">
        <v>2024</v>
      </c>
      <c r="G611" s="2" t="s">
        <v>48</v>
      </c>
      <c r="H611" s="2" t="s">
        <v>29</v>
      </c>
      <c r="I611" s="2" t="s">
        <v>61</v>
      </c>
      <c r="J611" s="2" t="s">
        <v>143</v>
      </c>
      <c r="K611" s="2" t="s">
        <v>32</v>
      </c>
      <c r="L611" s="2" t="s">
        <v>63</v>
      </c>
      <c r="M611" s="8">
        <v>45535</v>
      </c>
      <c r="N611" s="2" t="s">
        <v>1548</v>
      </c>
      <c r="O611" s="8">
        <v>45532</v>
      </c>
      <c r="P611" s="8">
        <v>45535</v>
      </c>
      <c r="Q611" s="2" t="s">
        <v>74</v>
      </c>
      <c r="R611" s="2" t="s">
        <v>309</v>
      </c>
      <c r="S611" s="2">
        <v>858115</v>
      </c>
      <c r="T611" s="2" t="s">
        <v>113</v>
      </c>
      <c r="U611" s="2" t="s">
        <v>114</v>
      </c>
      <c r="V611" s="2" t="s">
        <v>1549</v>
      </c>
      <c r="W611" s="2">
        <v>8</v>
      </c>
      <c r="X611" s="4">
        <v>0</v>
      </c>
      <c r="Y611" s="3">
        <v>237.9</v>
      </c>
    </row>
    <row r="612" spans="1:25" x14ac:dyDescent="0.3">
      <c r="A612" s="2" t="s">
        <v>1543</v>
      </c>
      <c r="B612" s="2" t="s">
        <v>210</v>
      </c>
      <c r="C612" s="2" t="s">
        <v>60</v>
      </c>
      <c r="D612" s="8">
        <v>26898</v>
      </c>
      <c r="E612" s="3">
        <v>1929.94</v>
      </c>
      <c r="F612" s="2">
        <v>2025</v>
      </c>
      <c r="G612" s="2" t="s">
        <v>48</v>
      </c>
      <c r="H612" s="2" t="s">
        <v>29</v>
      </c>
      <c r="I612" s="2" t="s">
        <v>49</v>
      </c>
      <c r="J612" s="2" t="s">
        <v>143</v>
      </c>
      <c r="K612" s="2" t="s">
        <v>32</v>
      </c>
      <c r="L612" s="2" t="s">
        <v>63</v>
      </c>
      <c r="M612" s="8">
        <v>45671</v>
      </c>
      <c r="N612" s="2" t="s">
        <v>1550</v>
      </c>
      <c r="O612" s="8">
        <v>45669</v>
      </c>
      <c r="P612" s="8">
        <v>45671</v>
      </c>
      <c r="Q612" s="2" t="s">
        <v>74</v>
      </c>
      <c r="R612" s="2" t="s">
        <v>309</v>
      </c>
      <c r="S612" s="2">
        <v>824248</v>
      </c>
      <c r="T612" s="2" t="s">
        <v>84</v>
      </c>
      <c r="U612" s="2" t="s">
        <v>85</v>
      </c>
      <c r="V612" s="2" t="s">
        <v>1551</v>
      </c>
      <c r="W612" s="2">
        <v>6</v>
      </c>
      <c r="X612" s="4">
        <v>0.2</v>
      </c>
      <c r="Y612" s="3">
        <v>658.65</v>
      </c>
    </row>
    <row r="613" spans="1:25" x14ac:dyDescent="0.3">
      <c r="A613" s="2" t="s">
        <v>1552</v>
      </c>
      <c r="B613" s="2" t="s">
        <v>1553</v>
      </c>
      <c r="C613" s="2" t="s">
        <v>437</v>
      </c>
      <c r="D613" s="8">
        <v>35050</v>
      </c>
      <c r="E613" s="3">
        <v>3143.26</v>
      </c>
      <c r="F613" s="2">
        <v>2023</v>
      </c>
      <c r="G613" s="2" t="s">
        <v>48</v>
      </c>
      <c r="H613" s="2" t="s">
        <v>163</v>
      </c>
      <c r="I613" s="2" t="s">
        <v>61</v>
      </c>
      <c r="J613" s="2" t="s">
        <v>31</v>
      </c>
      <c r="K613" s="2" t="s">
        <v>32</v>
      </c>
      <c r="L613" s="2" t="s">
        <v>33</v>
      </c>
      <c r="M613" s="8">
        <v>45061</v>
      </c>
      <c r="N613" s="2" t="s">
        <v>1554</v>
      </c>
      <c r="O613" s="8">
        <v>45059</v>
      </c>
      <c r="P613" s="8">
        <v>45061</v>
      </c>
      <c r="Q613" s="2" t="s">
        <v>35</v>
      </c>
      <c r="R613" s="2" t="s">
        <v>261</v>
      </c>
      <c r="S613" s="2">
        <v>476215</v>
      </c>
      <c r="T613" s="2" t="s">
        <v>113</v>
      </c>
      <c r="U613" s="2" t="s">
        <v>114</v>
      </c>
      <c r="V613" s="2" t="s">
        <v>1555</v>
      </c>
      <c r="W613" s="2">
        <v>7</v>
      </c>
      <c r="X613" s="4">
        <v>0.05</v>
      </c>
      <c r="Y613" s="3">
        <v>443.5</v>
      </c>
    </row>
    <row r="614" spans="1:25" x14ac:dyDescent="0.3">
      <c r="A614" s="2" t="s">
        <v>1552</v>
      </c>
      <c r="B614" s="2" t="s">
        <v>1553</v>
      </c>
      <c r="C614" s="2" t="s">
        <v>437</v>
      </c>
      <c r="D614" s="8">
        <v>35050</v>
      </c>
      <c r="E614" s="3">
        <v>249.26</v>
      </c>
      <c r="F614" s="2">
        <v>2023</v>
      </c>
      <c r="G614" s="2" t="s">
        <v>28</v>
      </c>
      <c r="H614" s="2" t="s">
        <v>163</v>
      </c>
      <c r="I614" s="2" t="s">
        <v>43</v>
      </c>
      <c r="J614" s="2" t="s">
        <v>31</v>
      </c>
      <c r="K614" s="2" t="s">
        <v>32</v>
      </c>
      <c r="L614" s="2" t="s">
        <v>33</v>
      </c>
      <c r="M614" s="8">
        <v>45104</v>
      </c>
      <c r="N614" s="2" t="s">
        <v>1556</v>
      </c>
      <c r="O614" s="8">
        <v>45104</v>
      </c>
      <c r="P614" s="8">
        <v>45105</v>
      </c>
      <c r="Q614" s="2" t="s">
        <v>41</v>
      </c>
      <c r="R614" s="2" t="s">
        <v>261</v>
      </c>
      <c r="S614" s="2">
        <v>219505</v>
      </c>
      <c r="T614" s="2" t="s">
        <v>153</v>
      </c>
      <c r="U614" s="2" t="s">
        <v>154</v>
      </c>
      <c r="V614" s="2" t="s">
        <v>1557</v>
      </c>
      <c r="W614" s="2">
        <v>3</v>
      </c>
      <c r="X614" s="4">
        <v>0.2</v>
      </c>
      <c r="Y614" s="3">
        <v>79.349999999999994</v>
      </c>
    </row>
    <row r="615" spans="1:25" x14ac:dyDescent="0.3">
      <c r="A615" s="2" t="s">
        <v>1552</v>
      </c>
      <c r="B615" s="2" t="s">
        <v>1553</v>
      </c>
      <c r="C615" s="2" t="s">
        <v>437</v>
      </c>
      <c r="D615" s="8">
        <v>35050</v>
      </c>
      <c r="E615" s="3">
        <v>1148.1300000000001</v>
      </c>
      <c r="F615" s="2">
        <v>2023</v>
      </c>
      <c r="G615" s="2" t="s">
        <v>87</v>
      </c>
      <c r="H615" s="2" t="s">
        <v>163</v>
      </c>
      <c r="I615" s="2" t="s">
        <v>30</v>
      </c>
      <c r="J615" s="2" t="s">
        <v>31</v>
      </c>
      <c r="K615" s="2" t="s">
        <v>32</v>
      </c>
      <c r="L615" s="2" t="s">
        <v>33</v>
      </c>
      <c r="M615" s="8">
        <v>45131</v>
      </c>
      <c r="N615" s="2" t="s">
        <v>1558</v>
      </c>
      <c r="O615" s="8">
        <v>45131</v>
      </c>
      <c r="P615" s="8">
        <v>45134</v>
      </c>
      <c r="Q615" s="2" t="s">
        <v>74</v>
      </c>
      <c r="R615" s="2" t="s">
        <v>261</v>
      </c>
      <c r="S615" s="2">
        <v>258522</v>
      </c>
      <c r="T615" s="2" t="s">
        <v>75</v>
      </c>
      <c r="U615" s="2" t="s">
        <v>76</v>
      </c>
      <c r="V615" s="2" t="s">
        <v>1559</v>
      </c>
      <c r="W615" s="2">
        <v>9</v>
      </c>
      <c r="X615" s="4">
        <v>0</v>
      </c>
      <c r="Y615" s="3">
        <v>399.66</v>
      </c>
    </row>
    <row r="616" spans="1:25" x14ac:dyDescent="0.3">
      <c r="A616" s="2" t="s">
        <v>1552</v>
      </c>
      <c r="B616" s="2" t="s">
        <v>1553</v>
      </c>
      <c r="C616" s="2" t="s">
        <v>437</v>
      </c>
      <c r="D616" s="8">
        <v>35050</v>
      </c>
      <c r="E616" s="3">
        <v>682.23</v>
      </c>
      <c r="F616" s="2">
        <v>2024</v>
      </c>
      <c r="G616" s="2" t="s">
        <v>87</v>
      </c>
      <c r="H616" s="2" t="s">
        <v>163</v>
      </c>
      <c r="I616" s="2" t="s">
        <v>49</v>
      </c>
      <c r="J616" s="2" t="s">
        <v>31</v>
      </c>
      <c r="K616" s="2" t="s">
        <v>32</v>
      </c>
      <c r="L616" s="2" t="s">
        <v>33</v>
      </c>
      <c r="M616" s="8">
        <v>45421</v>
      </c>
      <c r="N616" s="2" t="s">
        <v>1560</v>
      </c>
      <c r="O616" s="8">
        <v>45421</v>
      </c>
      <c r="P616" s="8">
        <v>45422</v>
      </c>
      <c r="Q616" s="2" t="s">
        <v>35</v>
      </c>
      <c r="R616" s="2" t="s">
        <v>261</v>
      </c>
      <c r="S616" s="2">
        <v>963617</v>
      </c>
      <c r="T616" s="2" t="s">
        <v>51</v>
      </c>
      <c r="U616" s="2" t="s">
        <v>52</v>
      </c>
      <c r="V616" s="2" t="s">
        <v>1561</v>
      </c>
      <c r="W616" s="2">
        <v>2</v>
      </c>
      <c r="X616" s="4">
        <v>0.05</v>
      </c>
      <c r="Y616" s="3">
        <v>197.64</v>
      </c>
    </row>
    <row r="617" spans="1:25" x14ac:dyDescent="0.3">
      <c r="A617" s="2" t="s">
        <v>1552</v>
      </c>
      <c r="B617" s="2" t="s">
        <v>1553</v>
      </c>
      <c r="C617" s="2" t="s">
        <v>437</v>
      </c>
      <c r="D617" s="8">
        <v>35050</v>
      </c>
      <c r="E617" s="3">
        <v>200.36</v>
      </c>
      <c r="F617" s="2">
        <v>2024</v>
      </c>
      <c r="G617" s="2" t="s">
        <v>87</v>
      </c>
      <c r="H617" s="2" t="s">
        <v>163</v>
      </c>
      <c r="I617" s="2" t="s">
        <v>30</v>
      </c>
      <c r="J617" s="2" t="s">
        <v>31</v>
      </c>
      <c r="K617" s="2" t="s">
        <v>32</v>
      </c>
      <c r="L617" s="2" t="s">
        <v>33</v>
      </c>
      <c r="M617" s="8">
        <v>45611</v>
      </c>
      <c r="N617" s="2" t="s">
        <v>1562</v>
      </c>
      <c r="O617" s="8">
        <v>45610</v>
      </c>
      <c r="P617" s="8">
        <v>45613</v>
      </c>
      <c r="Q617" s="2" t="s">
        <v>74</v>
      </c>
      <c r="R617" s="2" t="s">
        <v>261</v>
      </c>
      <c r="S617" s="2">
        <v>842563</v>
      </c>
      <c r="T617" s="2" t="s">
        <v>75</v>
      </c>
      <c r="U617" s="2" t="s">
        <v>76</v>
      </c>
      <c r="V617" s="2" t="s">
        <v>1563</v>
      </c>
      <c r="W617" s="2">
        <v>2</v>
      </c>
      <c r="X617" s="4">
        <v>0</v>
      </c>
      <c r="Y617" s="3">
        <v>62.36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opLeftCell="A3" workbookViewId="0">
      <selection activeCell="A17" sqref="A17"/>
    </sheetView>
  </sheetViews>
  <sheetFormatPr defaultRowHeight="14.4" x14ac:dyDescent="0.3"/>
  <cols>
    <col min="1" max="1" width="10.6640625" bestFit="1" customWidth="1"/>
    <col min="2" max="2" width="12.109375" bestFit="1" customWidth="1"/>
    <col min="3" max="3" width="14.44140625" bestFit="1" customWidth="1"/>
    <col min="4" max="4" width="12.109375" bestFit="1" customWidth="1"/>
    <col min="5" max="5" width="8.88671875" style="17"/>
  </cols>
  <sheetData>
    <row r="1" spans="1:11" ht="18" x14ac:dyDescent="0.35">
      <c r="A1" s="14" t="s">
        <v>1579</v>
      </c>
    </row>
    <row r="3" spans="1:11" x14ac:dyDescent="0.3">
      <c r="A3" s="7" t="s">
        <v>8</v>
      </c>
      <c r="B3" s="7" t="s">
        <v>1564</v>
      </c>
      <c r="C3" s="7" t="s">
        <v>1577</v>
      </c>
      <c r="D3" s="7" t="s">
        <v>1566</v>
      </c>
      <c r="E3" s="18" t="s">
        <v>1580</v>
      </c>
    </row>
    <row r="4" spans="1:11" x14ac:dyDescent="0.3">
      <c r="A4" s="6" t="s">
        <v>43</v>
      </c>
      <c r="B4" s="5">
        <v>142181.05999999994</v>
      </c>
      <c r="C4">
        <v>107</v>
      </c>
      <c r="D4" s="5">
        <v>29303.679999999993</v>
      </c>
      <c r="E4" s="17">
        <f>AVERAGEIFS(Clean_Data!$X:$X,Clean_Data!$I:$I,A4)</f>
        <v>7.0560747663551415E-2</v>
      </c>
    </row>
    <row r="5" spans="1:11" x14ac:dyDescent="0.3">
      <c r="A5" s="6" t="s">
        <v>92</v>
      </c>
      <c r="B5" s="5">
        <v>145495.56999999995</v>
      </c>
      <c r="C5">
        <v>105</v>
      </c>
      <c r="D5" s="5">
        <v>28571.629999999994</v>
      </c>
      <c r="E5" s="17">
        <f>AVERAGEIFS(Clean_Data!$X:$X,Clean_Data!$I:$I,A5)</f>
        <v>8.095238095238097E-2</v>
      </c>
    </row>
    <row r="6" spans="1:11" x14ac:dyDescent="0.3">
      <c r="A6" s="6" t="s">
        <v>61</v>
      </c>
      <c r="B6" s="5">
        <v>126866.26000000001</v>
      </c>
      <c r="C6">
        <v>92</v>
      </c>
      <c r="D6" s="5">
        <v>26224.739999999994</v>
      </c>
      <c r="E6" s="17">
        <f>AVERAGEIFS(Clean_Data!$X:$X,Clean_Data!$I:$I,A6)</f>
        <v>7.7173913043478246E-2</v>
      </c>
    </row>
    <row r="7" spans="1:11" x14ac:dyDescent="0.3">
      <c r="A7" s="6" t="s">
        <v>78</v>
      </c>
      <c r="B7" s="5">
        <v>131070.93000000004</v>
      </c>
      <c r="C7">
        <v>96</v>
      </c>
      <c r="D7" s="5">
        <v>27564.440000000006</v>
      </c>
      <c r="E7" s="17">
        <f>AVERAGEIFS(Clean_Data!$X:$X,Clean_Data!$I:$I,A7)</f>
        <v>7.6562500000000019E-2</v>
      </c>
    </row>
    <row r="8" spans="1:11" x14ac:dyDescent="0.3">
      <c r="A8" s="6" t="s">
        <v>30</v>
      </c>
      <c r="B8" s="5">
        <v>137101.07999999999</v>
      </c>
      <c r="C8">
        <v>110</v>
      </c>
      <c r="D8" s="5">
        <v>24539.699999999997</v>
      </c>
      <c r="E8" s="17">
        <f>AVERAGEIFS(Clean_Data!$X:$X,Clean_Data!$I:$I,A8)</f>
        <v>7.045454545454545E-2</v>
      </c>
    </row>
    <row r="9" spans="1:11" x14ac:dyDescent="0.3">
      <c r="A9" s="6" t="s">
        <v>49</v>
      </c>
      <c r="B9" s="5">
        <v>134498.13000000003</v>
      </c>
      <c r="C9">
        <v>106</v>
      </c>
      <c r="D9" s="5">
        <v>27081.399999999998</v>
      </c>
      <c r="E9" s="17">
        <f>AVERAGEIFS(Clean_Data!$X:$X,Clean_Data!$I:$I,A9)</f>
        <v>7.6415094339622652E-2</v>
      </c>
    </row>
    <row r="10" spans="1:11" x14ac:dyDescent="0.3">
      <c r="A10" s="6" t="s">
        <v>1567</v>
      </c>
      <c r="B10" s="5">
        <v>817213.03000000061</v>
      </c>
      <c r="C10">
        <v>616</v>
      </c>
      <c r="D10" s="5">
        <v>163285.59</v>
      </c>
      <c r="E10" s="20">
        <f>AVERAGEIFS(Clean_Data!$X:$X,Clean_Data!$X:$X,"&gt;=0")</f>
        <v>7.5243506493506529E-2</v>
      </c>
    </row>
    <row r="14" spans="1:11" ht="21" x14ac:dyDescent="0.4">
      <c r="A14" s="16" t="s">
        <v>1568</v>
      </c>
    </row>
    <row r="16" spans="1:11" x14ac:dyDescent="0.3">
      <c r="A16" s="15" t="s">
        <v>9</v>
      </c>
      <c r="B16" t="s">
        <v>1581</v>
      </c>
      <c r="C16" t="s">
        <v>1565</v>
      </c>
      <c r="D16" t="s">
        <v>1566</v>
      </c>
      <c r="K16" s="19"/>
    </row>
    <row r="17" spans="1:4" x14ac:dyDescent="0.3">
      <c r="A17" s="6" t="s">
        <v>227</v>
      </c>
      <c r="B17">
        <v>1634426.0600000005</v>
      </c>
      <c r="C17">
        <v>1232</v>
      </c>
      <c r="D17">
        <v>326571.17999999993</v>
      </c>
    </row>
    <row r="18" spans="1:4" x14ac:dyDescent="0.3">
      <c r="A18" s="6" t="s">
        <v>62</v>
      </c>
      <c r="B18">
        <v>1634426.0600000005</v>
      </c>
      <c r="C18">
        <v>1232</v>
      </c>
      <c r="D18">
        <v>326571.17999999993</v>
      </c>
    </row>
    <row r="19" spans="1:4" x14ac:dyDescent="0.3">
      <c r="A19" s="6" t="s">
        <v>143</v>
      </c>
      <c r="B19">
        <v>1634426.0600000005</v>
      </c>
      <c r="C19">
        <v>1232</v>
      </c>
      <c r="D19">
        <v>326571.17999999993</v>
      </c>
    </row>
    <row r="20" spans="1:4" x14ac:dyDescent="0.3">
      <c r="A20" s="6" t="s">
        <v>102</v>
      </c>
      <c r="B20">
        <v>1634426.0600000005</v>
      </c>
      <c r="C20">
        <v>1232</v>
      </c>
      <c r="D20">
        <v>326571.17999999993</v>
      </c>
    </row>
    <row r="21" spans="1:4" x14ac:dyDescent="0.3">
      <c r="A21" s="6" t="s">
        <v>31</v>
      </c>
      <c r="B21">
        <v>1634426.0600000005</v>
      </c>
      <c r="C21">
        <v>1232</v>
      </c>
      <c r="D21">
        <v>326571.17999999993</v>
      </c>
    </row>
    <row r="22" spans="1:4" x14ac:dyDescent="0.3">
      <c r="A22" s="6" t="s">
        <v>1567</v>
      </c>
      <c r="B22">
        <v>1634426.0600000005</v>
      </c>
      <c r="C22">
        <v>1232</v>
      </c>
      <c r="D22">
        <v>326571.17999999993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"/>
  <sheetViews>
    <sheetView zoomScale="94" workbookViewId="0">
      <selection activeCell="K13" sqref="K13"/>
    </sheetView>
  </sheetViews>
  <sheetFormatPr defaultRowHeight="14.4" x14ac:dyDescent="0.3"/>
  <cols>
    <col min="1" max="1" width="13.44140625" customWidth="1"/>
    <col min="2" max="2" width="11" customWidth="1"/>
    <col min="3" max="3" width="10.109375" customWidth="1"/>
    <col min="4" max="4" width="11.88671875" customWidth="1"/>
    <col min="8" max="8" width="10.88671875" customWidth="1"/>
    <col min="9" max="9" width="17.44140625" customWidth="1"/>
  </cols>
  <sheetData>
    <row r="1" spans="1:9" x14ac:dyDescent="0.3">
      <c r="A1" s="13" t="s">
        <v>1569</v>
      </c>
      <c r="B1" s="12" t="s">
        <v>1578</v>
      </c>
      <c r="C1" s="12" t="s">
        <v>1570</v>
      </c>
      <c r="D1" s="12" t="s">
        <v>1571</v>
      </c>
      <c r="E1" s="12" t="s">
        <v>1572</v>
      </c>
      <c r="F1" s="12" t="s">
        <v>1573</v>
      </c>
      <c r="G1" s="12" t="s">
        <v>1574</v>
      </c>
      <c r="H1" s="12" t="s">
        <v>1575</v>
      </c>
      <c r="I1" s="12" t="s">
        <v>11</v>
      </c>
    </row>
    <row r="2" spans="1:9" x14ac:dyDescent="0.3">
      <c r="A2" t="s">
        <v>25</v>
      </c>
      <c r="B2">
        <f ca="1">TODAY()-_xlfn.MAXIFS(Clean_Data!$O:$O,Clean_Data!$A:$A,A2)</f>
        <v>611</v>
      </c>
      <c r="C2">
        <f>COUNTIF(Clean_Data!$A:$A,A2)</f>
        <v>5</v>
      </c>
      <c r="D2">
        <f>SUMIF(Clean_Data!$A:$A,A2,Clean_Data!$E:$E)</f>
        <v>5651.66</v>
      </c>
      <c r="E2">
        <f ca="1">IF(PERCENTRANK($B$2:$B$151,B2)&gt;=0.8,1,IF(PERCENTRANK($B$2:$B$151,B2)&gt;=0.6,2,IF(PERCENTRANK($B$2:$B$151,B2)&gt;=0.4,3,IF(PERCENTRANK($B$2:$B$151,B2)&gt;=0.2,4,5))))</f>
        <v>3</v>
      </c>
      <c r="F2">
        <f>IF(PERCENTRANK($C$2:$C$151,C2)&gt;=0.8,5,IF(PERCENTRANK($C$2:$C$151,C2)&gt;=0.6,4,IF(PERCENTRANK($C$2:$C$151,C2)&gt;=0.4,3,IF(PERCENTRANK($C$2:$C$151,C2)&gt;=0.2,2,1))))</f>
        <v>3</v>
      </c>
      <c r="G2">
        <f>IF(PERCENTRANK($D$2:$D$151,D2)&gt;=0.8,5,IF(PERCENTRANK($D$2:$D$151,D2)&gt;=0.6,4,IF(PERCENTRANK($D$2:$D$151,D2)&gt;=0.4,3,IF(PERCENTRANK($D$2:$D$151,D2)&gt;=0.2,2,1))))</f>
        <v>3</v>
      </c>
      <c r="H2">
        <f ca="1">E2+F2+G2</f>
        <v>9</v>
      </c>
      <c r="I2" t="str">
        <f ca="1">IF(H2&gt;=13,"Champions",IF(H2&gt;=10,"Loyal Customers",IF(H2&gt;=7,"Potential Loyalist",IF(H2&gt;=4,"At Risk","Lost"))))</f>
        <v>Potential Loyalist</v>
      </c>
    </row>
    <row r="3" spans="1:9" x14ac:dyDescent="0.3">
      <c r="A3" t="s">
        <v>58</v>
      </c>
      <c r="B3">
        <f ca="1">TODAY()-_xlfn.MAXIFS(Clean_Data!$O:$O,Clean_Data!$A:$A,A3)</f>
        <v>608</v>
      </c>
      <c r="C3">
        <f>COUNTIF(Clean_Data!$A:$A,A3)</f>
        <v>8</v>
      </c>
      <c r="D3">
        <f>SUMIF(Clean_Data!$A:$A,A3,Clean_Data!$E:$E)</f>
        <v>8351.2099999999991</v>
      </c>
      <c r="E3">
        <f t="shared" ref="E3:E66" ca="1" si="0">IF(PERCENTRANK($B$2:$B$151,B3)&gt;=0.8,1,IF(PERCENTRANK($B$2:$B$151,B3)&gt;=0.6,2,IF(PERCENTRANK($B$2:$B$151,B3)&gt;=0.4,3,IF(PERCENTRANK($B$2:$B$151,B3)&gt;=0.2,4,5))))</f>
        <v>3</v>
      </c>
      <c r="F3">
        <f t="shared" ref="F3:F66" si="1">IF(PERCENTRANK($C$2:$C$151,C3)&gt;=0.8,5,IF(PERCENTRANK($C$2:$C$151,C3)&gt;=0.6,4,IF(PERCENTRANK($C$2:$C$151,C3)&gt;=0.4,3,IF(PERCENTRANK($C$2:$C$151,C3)&gt;=0.2,2,1))))</f>
        <v>5</v>
      </c>
      <c r="G3">
        <f t="shared" ref="G3:G66" si="2">IF(PERCENTRANK($D$2:$D$151,D3)&gt;=0.8,5,IF(PERCENTRANK($D$2:$D$151,D3)&gt;=0.6,4,IF(PERCENTRANK($D$2:$D$151,D3)&gt;=0.4,3,IF(PERCENTRANK($D$2:$D$151,D3)&gt;=0.2,2,1))))</f>
        <v>5</v>
      </c>
      <c r="H3">
        <f t="shared" ref="H3:H66" ca="1" si="3">E3+F3+G3</f>
        <v>13</v>
      </c>
      <c r="I3" t="str">
        <f t="shared" ref="I3:I66" ca="1" si="4">IF(H3&gt;=13,"Champions",IF(H3&gt;=10,"Loyal Customers",IF(H3&gt;=7,"Potential Loyalist",IF(H3&gt;=4,"At Risk","Lost"))))</f>
        <v>Champions</v>
      </c>
    </row>
    <row r="4" spans="1:9" x14ac:dyDescent="0.3">
      <c r="A4" t="s">
        <v>99</v>
      </c>
      <c r="B4">
        <f ca="1">TODAY()-_xlfn.MAXIFS(Clean_Data!$O:$O,Clean_Data!$A:$A,A4)</f>
        <v>859</v>
      </c>
      <c r="C4">
        <f>COUNTIF(Clean_Data!$A:$A,A4)</f>
        <v>6</v>
      </c>
      <c r="D4">
        <f>SUMIF(Clean_Data!$A:$A,A4,Clean_Data!$E:$E)</f>
        <v>11255.27</v>
      </c>
      <c r="E4">
        <f t="shared" ca="1" si="0"/>
        <v>1</v>
      </c>
      <c r="F4">
        <f t="shared" si="1"/>
        <v>4</v>
      </c>
      <c r="G4">
        <f t="shared" si="2"/>
        <v>5</v>
      </c>
      <c r="H4">
        <f t="shared" ca="1" si="3"/>
        <v>10</v>
      </c>
      <c r="I4" t="str">
        <f t="shared" ca="1" si="4"/>
        <v>Loyal Customers</v>
      </c>
    </row>
    <row r="5" spans="1:9" x14ac:dyDescent="0.3">
      <c r="A5" t="s">
        <v>123</v>
      </c>
      <c r="B5">
        <f ca="1">TODAY()-_xlfn.MAXIFS(Clean_Data!$O:$O,Clean_Data!$A:$A,A5)</f>
        <v>627</v>
      </c>
      <c r="C5">
        <f>COUNTIF(Clean_Data!$A:$A,A5)</f>
        <v>5</v>
      </c>
      <c r="D5">
        <f>SUMIF(Clean_Data!$A:$A,A5,Clean_Data!$E:$E)</f>
        <v>6544.8799999999992</v>
      </c>
      <c r="E5">
        <f t="shared" ca="1" si="0"/>
        <v>3</v>
      </c>
      <c r="F5">
        <f t="shared" si="1"/>
        <v>3</v>
      </c>
      <c r="G5">
        <f t="shared" si="2"/>
        <v>4</v>
      </c>
      <c r="H5">
        <f t="shared" ca="1" si="3"/>
        <v>10</v>
      </c>
      <c r="I5" t="str">
        <f t="shared" ca="1" si="4"/>
        <v>Loyal Customers</v>
      </c>
    </row>
    <row r="6" spans="1:9" x14ac:dyDescent="0.3">
      <c r="A6" t="s">
        <v>140</v>
      </c>
      <c r="B6">
        <f ca="1">TODAY()-_xlfn.MAXIFS(Clean_Data!$O:$O,Clean_Data!$A:$A,A6)</f>
        <v>765</v>
      </c>
      <c r="C6">
        <f>COUNTIF(Clean_Data!$A:$A,A6)</f>
        <v>5</v>
      </c>
      <c r="D6">
        <f>SUMIF(Clean_Data!$A:$A,A6,Clean_Data!$E:$E)</f>
        <v>3377.92</v>
      </c>
      <c r="E6">
        <f t="shared" ca="1" si="0"/>
        <v>2</v>
      </c>
      <c r="F6">
        <f t="shared" si="1"/>
        <v>3</v>
      </c>
      <c r="G6">
        <f t="shared" si="2"/>
        <v>2</v>
      </c>
      <c r="H6">
        <f t="shared" ca="1" si="3"/>
        <v>7</v>
      </c>
      <c r="I6" t="str">
        <f t="shared" ca="1" si="4"/>
        <v>Potential Loyalist</v>
      </c>
    </row>
    <row r="7" spans="1:9" x14ac:dyDescent="0.3">
      <c r="A7" t="s">
        <v>160</v>
      </c>
      <c r="B7">
        <f ca="1">TODAY()-_xlfn.MAXIFS(Clean_Data!$O:$O,Clean_Data!$A:$A,A7)</f>
        <v>640</v>
      </c>
      <c r="C7">
        <f>COUNTIF(Clean_Data!$A:$A,A7)</f>
        <v>5</v>
      </c>
      <c r="D7">
        <f>SUMIF(Clean_Data!$A:$A,A7,Clean_Data!$E:$E)</f>
        <v>5757.49</v>
      </c>
      <c r="E7">
        <f t="shared" ca="1" si="0"/>
        <v>3</v>
      </c>
      <c r="F7">
        <f t="shared" si="1"/>
        <v>3</v>
      </c>
      <c r="G7">
        <f t="shared" si="2"/>
        <v>3</v>
      </c>
      <c r="H7">
        <f t="shared" ca="1" si="3"/>
        <v>9</v>
      </c>
      <c r="I7" t="str">
        <f t="shared" ca="1" si="4"/>
        <v>Potential Loyalist</v>
      </c>
    </row>
    <row r="8" spans="1:9" x14ac:dyDescent="0.3">
      <c r="A8" t="s">
        <v>175</v>
      </c>
      <c r="B8">
        <f ca="1">TODAY()-_xlfn.MAXIFS(Clean_Data!$O:$O,Clean_Data!$A:$A,A8)</f>
        <v>839</v>
      </c>
      <c r="C8">
        <f>COUNTIF(Clean_Data!$A:$A,A8)</f>
        <v>2</v>
      </c>
      <c r="D8">
        <f>SUMIF(Clean_Data!$A:$A,A8,Clean_Data!$E:$E)</f>
        <v>3559.63</v>
      </c>
      <c r="E8">
        <f t="shared" ca="1" si="0"/>
        <v>1</v>
      </c>
      <c r="F8">
        <f t="shared" si="1"/>
        <v>1</v>
      </c>
      <c r="G8">
        <f t="shared" si="2"/>
        <v>2</v>
      </c>
      <c r="H8">
        <f t="shared" ca="1" si="3"/>
        <v>4</v>
      </c>
      <c r="I8" t="str">
        <f t="shared" ca="1" si="4"/>
        <v>At Risk</v>
      </c>
    </row>
    <row r="9" spans="1:9" x14ac:dyDescent="0.3">
      <c r="A9" t="s">
        <v>182</v>
      </c>
      <c r="B9">
        <f ca="1">TODAY()-_xlfn.MAXIFS(Clean_Data!$O:$O,Clean_Data!$A:$A,A9)</f>
        <v>521</v>
      </c>
      <c r="C9">
        <f>COUNTIF(Clean_Data!$A:$A,A9)</f>
        <v>3</v>
      </c>
      <c r="D9">
        <f>SUMIF(Clean_Data!$A:$A,A9,Clean_Data!$E:$E)</f>
        <v>4272.28</v>
      </c>
      <c r="E9">
        <f t="shared" ca="1" si="0"/>
        <v>5</v>
      </c>
      <c r="F9">
        <f t="shared" si="1"/>
        <v>2</v>
      </c>
      <c r="G9">
        <f t="shared" si="2"/>
        <v>2</v>
      </c>
      <c r="H9">
        <f t="shared" ca="1" si="3"/>
        <v>9</v>
      </c>
      <c r="I9" t="str">
        <f t="shared" ca="1" si="4"/>
        <v>Potential Loyalist</v>
      </c>
    </row>
    <row r="10" spans="1:9" x14ac:dyDescent="0.3">
      <c r="A10" t="s">
        <v>194</v>
      </c>
      <c r="B10">
        <f ca="1">TODAY()-_xlfn.MAXIFS(Clean_Data!$O:$O,Clean_Data!$A:$A,A10)</f>
        <v>787</v>
      </c>
      <c r="C10">
        <f>COUNTIF(Clean_Data!$A:$A,A10)</f>
        <v>5</v>
      </c>
      <c r="D10">
        <f>SUMIF(Clean_Data!$A:$A,A10,Clean_Data!$E:$E)</f>
        <v>5963.86</v>
      </c>
      <c r="E10">
        <f t="shared" ca="1" si="0"/>
        <v>2</v>
      </c>
      <c r="F10">
        <f t="shared" si="1"/>
        <v>3</v>
      </c>
      <c r="G10">
        <f t="shared" si="2"/>
        <v>3</v>
      </c>
      <c r="H10">
        <f t="shared" ca="1" si="3"/>
        <v>8</v>
      </c>
      <c r="I10" t="str">
        <f t="shared" ca="1" si="4"/>
        <v>Potential Loyalist</v>
      </c>
    </row>
    <row r="11" spans="1:9" x14ac:dyDescent="0.3">
      <c r="A11" t="s">
        <v>209</v>
      </c>
      <c r="B11">
        <f ca="1">TODAY()-_xlfn.MAXIFS(Clean_Data!$O:$O,Clean_Data!$A:$A,A11)</f>
        <v>542</v>
      </c>
      <c r="C11">
        <f>COUNTIF(Clean_Data!$A:$A,A11)</f>
        <v>6</v>
      </c>
      <c r="D11">
        <f>SUMIF(Clean_Data!$A:$A,A11,Clean_Data!$E:$E)</f>
        <v>11387.96</v>
      </c>
      <c r="E11">
        <f t="shared" ca="1" si="0"/>
        <v>4</v>
      </c>
      <c r="F11">
        <f t="shared" si="1"/>
        <v>4</v>
      </c>
      <c r="G11">
        <f t="shared" si="2"/>
        <v>5</v>
      </c>
      <c r="H11">
        <f t="shared" ca="1" si="3"/>
        <v>13</v>
      </c>
      <c r="I11" t="str">
        <f t="shared" ca="1" si="4"/>
        <v>Champions</v>
      </c>
    </row>
    <row r="12" spans="1:9" x14ac:dyDescent="0.3">
      <c r="A12" t="s">
        <v>224</v>
      </c>
      <c r="B12">
        <f ca="1">TODAY()-_xlfn.MAXIFS(Clean_Data!$O:$O,Clean_Data!$A:$A,A12)</f>
        <v>741</v>
      </c>
      <c r="C12">
        <f>COUNTIF(Clean_Data!$A:$A,A12)</f>
        <v>2</v>
      </c>
      <c r="D12">
        <f>SUMIF(Clean_Data!$A:$A,A12,Clean_Data!$E:$E)</f>
        <v>1920.29</v>
      </c>
      <c r="E12">
        <f t="shared" ca="1" si="0"/>
        <v>2</v>
      </c>
      <c r="F12">
        <f t="shared" si="1"/>
        <v>1</v>
      </c>
      <c r="G12">
        <f t="shared" si="2"/>
        <v>1</v>
      </c>
      <c r="H12">
        <f t="shared" ca="1" si="3"/>
        <v>4</v>
      </c>
      <c r="I12" t="str">
        <f t="shared" ca="1" si="4"/>
        <v>At Risk</v>
      </c>
    </row>
    <row r="13" spans="1:9" x14ac:dyDescent="0.3">
      <c r="A13" t="s">
        <v>233</v>
      </c>
      <c r="B13">
        <f ca="1">TODAY()-_xlfn.MAXIFS(Clean_Data!$O:$O,Clean_Data!$A:$A,A13)</f>
        <v>949</v>
      </c>
      <c r="C13">
        <f>COUNTIF(Clean_Data!$A:$A,A13)</f>
        <v>5</v>
      </c>
      <c r="D13">
        <f>SUMIF(Clean_Data!$A:$A,A13,Clean_Data!$E:$E)</f>
        <v>7823.8200000000006</v>
      </c>
      <c r="E13">
        <f t="shared" ca="1" si="0"/>
        <v>1</v>
      </c>
      <c r="F13">
        <f t="shared" si="1"/>
        <v>3</v>
      </c>
      <c r="G13">
        <f t="shared" si="2"/>
        <v>5</v>
      </c>
      <c r="H13">
        <f t="shared" ca="1" si="3"/>
        <v>9</v>
      </c>
      <c r="I13" t="str">
        <f t="shared" ca="1" si="4"/>
        <v>Potential Loyalist</v>
      </c>
    </row>
    <row r="14" spans="1:9" x14ac:dyDescent="0.3">
      <c r="A14" t="s">
        <v>246</v>
      </c>
      <c r="B14">
        <f ca="1">TODAY()-_xlfn.MAXIFS(Clean_Data!$O:$O,Clean_Data!$A:$A,A14)</f>
        <v>498</v>
      </c>
      <c r="C14">
        <f>COUNTIF(Clean_Data!$A:$A,A14)</f>
        <v>4</v>
      </c>
      <c r="D14">
        <f>SUMIF(Clean_Data!$A:$A,A14,Clean_Data!$E:$E)</f>
        <v>4971.7300000000005</v>
      </c>
      <c r="E14">
        <f t="shared" ca="1" si="0"/>
        <v>5</v>
      </c>
      <c r="F14">
        <f t="shared" si="1"/>
        <v>3</v>
      </c>
      <c r="G14">
        <f t="shared" si="2"/>
        <v>3</v>
      </c>
      <c r="H14">
        <f t="shared" ca="1" si="3"/>
        <v>11</v>
      </c>
      <c r="I14" t="str">
        <f t="shared" ca="1" si="4"/>
        <v>Loyal Customers</v>
      </c>
    </row>
    <row r="15" spans="1:9" x14ac:dyDescent="0.3">
      <c r="A15" t="s">
        <v>258</v>
      </c>
      <c r="B15">
        <f ca="1">TODAY()-_xlfn.MAXIFS(Clean_Data!$O:$O,Clean_Data!$A:$A,A15)</f>
        <v>538</v>
      </c>
      <c r="C15">
        <f>COUNTIF(Clean_Data!$A:$A,A15)</f>
        <v>4</v>
      </c>
      <c r="D15">
        <f>SUMIF(Clean_Data!$A:$A,A15,Clean_Data!$E:$E)</f>
        <v>5685.45</v>
      </c>
      <c r="E15">
        <f t="shared" ca="1" si="0"/>
        <v>4</v>
      </c>
      <c r="F15">
        <f t="shared" si="1"/>
        <v>3</v>
      </c>
      <c r="G15">
        <f t="shared" si="2"/>
        <v>3</v>
      </c>
      <c r="H15">
        <f t="shared" ca="1" si="3"/>
        <v>10</v>
      </c>
      <c r="I15" t="str">
        <f t="shared" ca="1" si="4"/>
        <v>Loyal Customers</v>
      </c>
    </row>
    <row r="16" spans="1:9" x14ac:dyDescent="0.3">
      <c r="A16" t="s">
        <v>269</v>
      </c>
      <c r="B16">
        <f ca="1">TODAY()-_xlfn.MAXIFS(Clean_Data!$O:$O,Clean_Data!$A:$A,A16)</f>
        <v>517</v>
      </c>
      <c r="C16">
        <f>COUNTIF(Clean_Data!$A:$A,A16)</f>
        <v>5</v>
      </c>
      <c r="D16">
        <f>SUMIF(Clean_Data!$A:$A,A16,Clean_Data!$E:$E)</f>
        <v>4357.67</v>
      </c>
      <c r="E16">
        <f t="shared" ca="1" si="0"/>
        <v>5</v>
      </c>
      <c r="F16">
        <f t="shared" si="1"/>
        <v>3</v>
      </c>
      <c r="G16">
        <f t="shared" si="2"/>
        <v>2</v>
      </c>
      <c r="H16">
        <f t="shared" ca="1" si="3"/>
        <v>10</v>
      </c>
      <c r="I16" t="str">
        <f t="shared" ca="1" si="4"/>
        <v>Loyal Customers</v>
      </c>
    </row>
    <row r="17" spans="1:9" x14ac:dyDescent="0.3">
      <c r="A17" t="s">
        <v>282</v>
      </c>
      <c r="B17">
        <f ca="1">TODAY()-_xlfn.MAXIFS(Clean_Data!$O:$O,Clean_Data!$A:$A,A17)</f>
        <v>653</v>
      </c>
      <c r="C17">
        <f>COUNTIF(Clean_Data!$A:$A,A17)</f>
        <v>3</v>
      </c>
      <c r="D17">
        <f>SUMIF(Clean_Data!$A:$A,A17,Clean_Data!$E:$E)</f>
        <v>3697.85</v>
      </c>
      <c r="E17">
        <f t="shared" ca="1" si="0"/>
        <v>3</v>
      </c>
      <c r="F17">
        <f t="shared" si="1"/>
        <v>2</v>
      </c>
      <c r="G17">
        <f t="shared" si="2"/>
        <v>2</v>
      </c>
      <c r="H17">
        <f t="shared" ca="1" si="3"/>
        <v>7</v>
      </c>
      <c r="I17" t="str">
        <f t="shared" ca="1" si="4"/>
        <v>Potential Loyalist</v>
      </c>
    </row>
    <row r="18" spans="1:9" x14ac:dyDescent="0.3">
      <c r="A18" t="s">
        <v>292</v>
      </c>
      <c r="B18">
        <f ca="1">TODAY()-_xlfn.MAXIFS(Clean_Data!$O:$O,Clean_Data!$A:$A,A18)</f>
        <v>539</v>
      </c>
      <c r="C18">
        <f>COUNTIF(Clean_Data!$A:$A,A18)</f>
        <v>7</v>
      </c>
      <c r="D18">
        <f>SUMIF(Clean_Data!$A:$A,A18,Clean_Data!$E:$E)</f>
        <v>6907.66</v>
      </c>
      <c r="E18">
        <f t="shared" ca="1" si="0"/>
        <v>4</v>
      </c>
      <c r="F18">
        <f t="shared" si="1"/>
        <v>5</v>
      </c>
      <c r="G18">
        <f t="shared" si="2"/>
        <v>4</v>
      </c>
      <c r="H18">
        <f t="shared" ca="1" si="3"/>
        <v>13</v>
      </c>
      <c r="I18" t="str">
        <f t="shared" ca="1" si="4"/>
        <v>Champions</v>
      </c>
    </row>
    <row r="19" spans="1:9" x14ac:dyDescent="0.3">
      <c r="A19" t="s">
        <v>307</v>
      </c>
      <c r="B19">
        <f ca="1">TODAY()-_xlfn.MAXIFS(Clean_Data!$O:$O,Clean_Data!$A:$A,A19)</f>
        <v>599</v>
      </c>
      <c r="C19">
        <f>COUNTIF(Clean_Data!$A:$A,A19)</f>
        <v>5</v>
      </c>
      <c r="D19">
        <f>SUMIF(Clean_Data!$A:$A,A19,Clean_Data!$E:$E)</f>
        <v>6191.28</v>
      </c>
      <c r="E19">
        <f t="shared" ca="1" si="0"/>
        <v>4</v>
      </c>
      <c r="F19">
        <f t="shared" si="1"/>
        <v>3</v>
      </c>
      <c r="G19">
        <f t="shared" si="2"/>
        <v>4</v>
      </c>
      <c r="H19">
        <f t="shared" ca="1" si="3"/>
        <v>11</v>
      </c>
      <c r="I19" t="str">
        <f t="shared" ca="1" si="4"/>
        <v>Loyal Customers</v>
      </c>
    </row>
    <row r="20" spans="1:9" x14ac:dyDescent="0.3">
      <c r="A20" t="s">
        <v>321</v>
      </c>
      <c r="B20">
        <f ca="1">TODAY()-_xlfn.MAXIFS(Clean_Data!$O:$O,Clean_Data!$A:$A,A20)</f>
        <v>713</v>
      </c>
      <c r="C20">
        <f>COUNTIF(Clean_Data!$A:$A,A20)</f>
        <v>1</v>
      </c>
      <c r="D20">
        <f>SUMIF(Clean_Data!$A:$A,A20,Clean_Data!$E:$E)</f>
        <v>3644.8</v>
      </c>
      <c r="E20">
        <f t="shared" ca="1" si="0"/>
        <v>2</v>
      </c>
      <c r="F20">
        <f t="shared" si="1"/>
        <v>1</v>
      </c>
      <c r="G20">
        <f t="shared" si="2"/>
        <v>2</v>
      </c>
      <c r="H20">
        <f t="shared" ca="1" si="3"/>
        <v>5</v>
      </c>
      <c r="I20" t="str">
        <f t="shared" ca="1" si="4"/>
        <v>At Risk</v>
      </c>
    </row>
    <row r="21" spans="1:9" x14ac:dyDescent="0.3">
      <c r="A21" t="s">
        <v>325</v>
      </c>
      <c r="B21">
        <f ca="1">TODAY()-_xlfn.MAXIFS(Clean_Data!$O:$O,Clean_Data!$A:$A,A21)</f>
        <v>579</v>
      </c>
      <c r="C21">
        <f>COUNTIF(Clean_Data!$A:$A,A21)</f>
        <v>8</v>
      </c>
      <c r="D21">
        <f>SUMIF(Clean_Data!$A:$A,A21,Clean_Data!$E:$E)</f>
        <v>9432.81</v>
      </c>
      <c r="E21">
        <f t="shared" ca="1" si="0"/>
        <v>4</v>
      </c>
      <c r="F21">
        <f t="shared" si="1"/>
        <v>5</v>
      </c>
      <c r="G21">
        <f t="shared" si="2"/>
        <v>5</v>
      </c>
      <c r="H21">
        <f t="shared" ca="1" si="3"/>
        <v>14</v>
      </c>
      <c r="I21" t="str">
        <f t="shared" ca="1" si="4"/>
        <v>Champions</v>
      </c>
    </row>
    <row r="22" spans="1:9" x14ac:dyDescent="0.3">
      <c r="A22" t="s">
        <v>344</v>
      </c>
      <c r="B22">
        <f ca="1">TODAY()-_xlfn.MAXIFS(Clean_Data!$O:$O,Clean_Data!$A:$A,A22)</f>
        <v>912</v>
      </c>
      <c r="C22">
        <f>COUNTIF(Clean_Data!$A:$A,A22)</f>
        <v>1</v>
      </c>
      <c r="D22">
        <f>SUMIF(Clean_Data!$A:$A,A22,Clean_Data!$E:$E)</f>
        <v>1059.4100000000001</v>
      </c>
      <c r="E22">
        <f t="shared" ca="1" si="0"/>
        <v>1</v>
      </c>
      <c r="F22">
        <f t="shared" si="1"/>
        <v>1</v>
      </c>
      <c r="G22">
        <f t="shared" si="2"/>
        <v>1</v>
      </c>
      <c r="H22">
        <f t="shared" ca="1" si="3"/>
        <v>3</v>
      </c>
      <c r="I22" t="str">
        <f t="shared" ca="1" si="4"/>
        <v>Lost</v>
      </c>
    </row>
    <row r="23" spans="1:9" x14ac:dyDescent="0.3">
      <c r="A23" t="s">
        <v>347</v>
      </c>
      <c r="B23">
        <f ca="1">TODAY()-_xlfn.MAXIFS(Clean_Data!$O:$O,Clean_Data!$A:$A,A23)</f>
        <v>538</v>
      </c>
      <c r="C23">
        <f>COUNTIF(Clean_Data!$A:$A,A23)</f>
        <v>7</v>
      </c>
      <c r="D23">
        <f>SUMIF(Clean_Data!$A:$A,A23,Clean_Data!$E:$E)</f>
        <v>7912.8600000000006</v>
      </c>
      <c r="E23">
        <f t="shared" ca="1" si="0"/>
        <v>4</v>
      </c>
      <c r="F23">
        <f t="shared" si="1"/>
        <v>5</v>
      </c>
      <c r="G23">
        <f t="shared" si="2"/>
        <v>5</v>
      </c>
      <c r="H23">
        <f t="shared" ca="1" si="3"/>
        <v>14</v>
      </c>
      <c r="I23" t="str">
        <f t="shared" ca="1" si="4"/>
        <v>Champions</v>
      </c>
    </row>
    <row r="24" spans="1:9" x14ac:dyDescent="0.3">
      <c r="A24" t="s">
        <v>363</v>
      </c>
      <c r="B24">
        <f ca="1">TODAY()-_xlfn.MAXIFS(Clean_Data!$O:$O,Clean_Data!$A:$A,A24)</f>
        <v>489</v>
      </c>
      <c r="C24">
        <f>COUNTIF(Clean_Data!$A:$A,A24)</f>
        <v>5</v>
      </c>
      <c r="D24">
        <f>SUMIF(Clean_Data!$A:$A,A24,Clean_Data!$E:$E)</f>
        <v>7485.25</v>
      </c>
      <c r="E24">
        <f t="shared" ca="1" si="0"/>
        <v>5</v>
      </c>
      <c r="F24">
        <f t="shared" si="1"/>
        <v>3</v>
      </c>
      <c r="G24">
        <f t="shared" si="2"/>
        <v>4</v>
      </c>
      <c r="H24">
        <f t="shared" ca="1" si="3"/>
        <v>12</v>
      </c>
      <c r="I24" t="str">
        <f t="shared" ca="1" si="4"/>
        <v>Loyal Customers</v>
      </c>
    </row>
    <row r="25" spans="1:9" x14ac:dyDescent="0.3">
      <c r="A25" t="s">
        <v>374</v>
      </c>
      <c r="B25">
        <f ca="1">TODAY()-_xlfn.MAXIFS(Clean_Data!$O:$O,Clean_Data!$A:$A,A25)</f>
        <v>858</v>
      </c>
      <c r="C25">
        <f>COUNTIF(Clean_Data!$A:$A,A25)</f>
        <v>3</v>
      </c>
      <c r="D25">
        <f>SUMIF(Clean_Data!$A:$A,A25,Clean_Data!$E:$E)</f>
        <v>4336.45</v>
      </c>
      <c r="E25">
        <f t="shared" ca="1" si="0"/>
        <v>1</v>
      </c>
      <c r="F25">
        <f t="shared" si="1"/>
        <v>2</v>
      </c>
      <c r="G25">
        <f t="shared" si="2"/>
        <v>2</v>
      </c>
      <c r="H25">
        <f t="shared" ca="1" si="3"/>
        <v>5</v>
      </c>
      <c r="I25" t="str">
        <f t="shared" ca="1" si="4"/>
        <v>At Risk</v>
      </c>
    </row>
    <row r="26" spans="1:9" x14ac:dyDescent="0.3">
      <c r="A26" t="s">
        <v>383</v>
      </c>
      <c r="B26">
        <f ca="1">TODAY()-_xlfn.MAXIFS(Clean_Data!$O:$O,Clean_Data!$A:$A,A26)</f>
        <v>672</v>
      </c>
      <c r="C26">
        <f>COUNTIF(Clean_Data!$A:$A,A26)</f>
        <v>6</v>
      </c>
      <c r="D26">
        <f>SUMIF(Clean_Data!$A:$A,A26,Clean_Data!$E:$E)</f>
        <v>6858.8700000000008</v>
      </c>
      <c r="E26">
        <f t="shared" ca="1" si="0"/>
        <v>3</v>
      </c>
      <c r="F26">
        <f t="shared" si="1"/>
        <v>4</v>
      </c>
      <c r="G26">
        <f t="shared" si="2"/>
        <v>4</v>
      </c>
      <c r="H26">
        <f t="shared" ca="1" si="3"/>
        <v>11</v>
      </c>
      <c r="I26" t="str">
        <f t="shared" ca="1" si="4"/>
        <v>Loyal Customers</v>
      </c>
    </row>
    <row r="27" spans="1:9" x14ac:dyDescent="0.3">
      <c r="A27" t="s">
        <v>398</v>
      </c>
      <c r="B27">
        <f ca="1">TODAY()-_xlfn.MAXIFS(Clean_Data!$O:$O,Clean_Data!$A:$A,A27)</f>
        <v>966</v>
      </c>
      <c r="C27">
        <f>COUNTIF(Clean_Data!$A:$A,A27)</f>
        <v>2</v>
      </c>
      <c r="D27">
        <f>SUMIF(Clean_Data!$A:$A,A27,Clean_Data!$E:$E)</f>
        <v>1434.12</v>
      </c>
      <c r="E27">
        <f t="shared" ca="1" si="0"/>
        <v>1</v>
      </c>
      <c r="F27">
        <f t="shared" si="1"/>
        <v>1</v>
      </c>
      <c r="G27">
        <f t="shared" si="2"/>
        <v>1</v>
      </c>
      <c r="H27">
        <f t="shared" ca="1" si="3"/>
        <v>3</v>
      </c>
      <c r="I27" t="str">
        <f t="shared" ca="1" si="4"/>
        <v>Lost</v>
      </c>
    </row>
    <row r="28" spans="1:9" x14ac:dyDescent="0.3">
      <c r="A28" t="s">
        <v>404</v>
      </c>
      <c r="B28">
        <f ca="1">TODAY()-_xlfn.MAXIFS(Clean_Data!$O:$O,Clean_Data!$A:$A,A28)</f>
        <v>532</v>
      </c>
      <c r="C28">
        <f>COUNTIF(Clean_Data!$A:$A,A28)</f>
        <v>3</v>
      </c>
      <c r="D28">
        <f>SUMIF(Clean_Data!$A:$A,A28,Clean_Data!$E:$E)</f>
        <v>7603.57</v>
      </c>
      <c r="E28">
        <f t="shared" ca="1" si="0"/>
        <v>5</v>
      </c>
      <c r="F28">
        <f t="shared" si="1"/>
        <v>2</v>
      </c>
      <c r="G28">
        <f t="shared" si="2"/>
        <v>4</v>
      </c>
      <c r="H28">
        <f t="shared" ca="1" si="3"/>
        <v>11</v>
      </c>
      <c r="I28" t="str">
        <f t="shared" ca="1" si="4"/>
        <v>Loyal Customers</v>
      </c>
    </row>
    <row r="29" spans="1:9" x14ac:dyDescent="0.3">
      <c r="A29" t="s">
        <v>412</v>
      </c>
      <c r="B29">
        <f ca="1">TODAY()-_xlfn.MAXIFS(Clean_Data!$O:$O,Clean_Data!$A:$A,A29)</f>
        <v>979</v>
      </c>
      <c r="C29">
        <f>COUNTIF(Clean_Data!$A:$A,A29)</f>
        <v>3</v>
      </c>
      <c r="D29">
        <f>SUMIF(Clean_Data!$A:$A,A29,Clean_Data!$E:$E)</f>
        <v>4506.84</v>
      </c>
      <c r="E29">
        <f t="shared" ca="1" si="0"/>
        <v>1</v>
      </c>
      <c r="F29">
        <f t="shared" si="1"/>
        <v>2</v>
      </c>
      <c r="G29">
        <f t="shared" si="2"/>
        <v>3</v>
      </c>
      <c r="H29">
        <f t="shared" ca="1" si="3"/>
        <v>6</v>
      </c>
      <c r="I29" t="str">
        <f t="shared" ca="1" si="4"/>
        <v>At Risk</v>
      </c>
    </row>
    <row r="30" spans="1:9" x14ac:dyDescent="0.3">
      <c r="A30" t="s">
        <v>419</v>
      </c>
      <c r="B30">
        <f ca="1">TODAY()-_xlfn.MAXIFS(Clean_Data!$O:$O,Clean_Data!$A:$A,A30)</f>
        <v>624</v>
      </c>
      <c r="C30">
        <f>COUNTIF(Clean_Data!$A:$A,A30)</f>
        <v>7</v>
      </c>
      <c r="D30">
        <f>SUMIF(Clean_Data!$A:$A,A30,Clean_Data!$E:$E)</f>
        <v>6224.4699999999993</v>
      </c>
      <c r="E30">
        <f t="shared" ca="1" si="0"/>
        <v>3</v>
      </c>
      <c r="F30">
        <f t="shared" si="1"/>
        <v>5</v>
      </c>
      <c r="G30">
        <f t="shared" si="2"/>
        <v>4</v>
      </c>
      <c r="H30">
        <f t="shared" ca="1" si="3"/>
        <v>12</v>
      </c>
      <c r="I30" t="str">
        <f t="shared" ca="1" si="4"/>
        <v>Loyal Customers</v>
      </c>
    </row>
    <row r="31" spans="1:9" x14ac:dyDescent="0.3">
      <c r="A31" t="s">
        <v>435</v>
      </c>
      <c r="B31">
        <f ca="1">TODAY()-_xlfn.MAXIFS(Clean_Data!$O:$O,Clean_Data!$A:$A,A31)</f>
        <v>535</v>
      </c>
      <c r="C31">
        <f>COUNTIF(Clean_Data!$A:$A,A31)</f>
        <v>8</v>
      </c>
      <c r="D31">
        <f>SUMIF(Clean_Data!$A:$A,A31,Clean_Data!$E:$E)</f>
        <v>14930.059999999998</v>
      </c>
      <c r="E31">
        <f t="shared" ca="1" si="0"/>
        <v>4</v>
      </c>
      <c r="F31">
        <f t="shared" si="1"/>
        <v>5</v>
      </c>
      <c r="G31">
        <f t="shared" si="2"/>
        <v>5</v>
      </c>
      <c r="H31">
        <f t="shared" ca="1" si="3"/>
        <v>14</v>
      </c>
      <c r="I31" t="str">
        <f t="shared" ca="1" si="4"/>
        <v>Champions</v>
      </c>
    </row>
    <row r="32" spans="1:9" x14ac:dyDescent="0.3">
      <c r="A32" t="s">
        <v>453</v>
      </c>
      <c r="B32">
        <f ca="1">TODAY()-_xlfn.MAXIFS(Clean_Data!$O:$O,Clean_Data!$A:$A,A32)</f>
        <v>495</v>
      </c>
      <c r="C32">
        <f>COUNTIF(Clean_Data!$A:$A,A32)</f>
        <v>5</v>
      </c>
      <c r="D32">
        <f>SUMIF(Clean_Data!$A:$A,A32,Clean_Data!$E:$E)</f>
        <v>13630.140000000001</v>
      </c>
      <c r="E32">
        <f t="shared" ca="1" si="0"/>
        <v>5</v>
      </c>
      <c r="F32">
        <f t="shared" si="1"/>
        <v>3</v>
      </c>
      <c r="G32">
        <f t="shared" si="2"/>
        <v>5</v>
      </c>
      <c r="H32">
        <f t="shared" ca="1" si="3"/>
        <v>13</v>
      </c>
      <c r="I32" t="str">
        <f t="shared" ca="1" si="4"/>
        <v>Champions</v>
      </c>
    </row>
    <row r="33" spans="1:9" x14ac:dyDescent="0.3">
      <c r="A33" t="s">
        <v>466</v>
      </c>
      <c r="B33">
        <f ca="1">TODAY()-_xlfn.MAXIFS(Clean_Data!$O:$O,Clean_Data!$A:$A,A33)</f>
        <v>608</v>
      </c>
      <c r="C33">
        <f>COUNTIF(Clean_Data!$A:$A,A33)</f>
        <v>4</v>
      </c>
      <c r="D33">
        <f>SUMIF(Clean_Data!$A:$A,A33,Clean_Data!$E:$E)</f>
        <v>2025.9299999999998</v>
      </c>
      <c r="E33">
        <f t="shared" ca="1" si="0"/>
        <v>3</v>
      </c>
      <c r="F33">
        <f t="shared" si="1"/>
        <v>3</v>
      </c>
      <c r="G33">
        <f t="shared" si="2"/>
        <v>1</v>
      </c>
      <c r="H33">
        <f t="shared" ca="1" si="3"/>
        <v>7</v>
      </c>
      <c r="I33" t="str">
        <f t="shared" ca="1" si="4"/>
        <v>Potential Loyalist</v>
      </c>
    </row>
    <row r="34" spans="1:9" x14ac:dyDescent="0.3">
      <c r="A34" t="s">
        <v>476</v>
      </c>
      <c r="B34">
        <f ca="1">TODAY()-_xlfn.MAXIFS(Clean_Data!$O:$O,Clean_Data!$A:$A,A34)</f>
        <v>853</v>
      </c>
      <c r="C34">
        <f>COUNTIF(Clean_Data!$A:$A,A34)</f>
        <v>7</v>
      </c>
      <c r="D34">
        <f>SUMIF(Clean_Data!$A:$A,A34,Clean_Data!$E:$E)</f>
        <v>8206.35</v>
      </c>
      <c r="E34">
        <f t="shared" ca="1" si="0"/>
        <v>1</v>
      </c>
      <c r="F34">
        <f t="shared" si="1"/>
        <v>5</v>
      </c>
      <c r="G34">
        <f t="shared" si="2"/>
        <v>5</v>
      </c>
      <c r="H34">
        <f t="shared" ca="1" si="3"/>
        <v>11</v>
      </c>
      <c r="I34" t="str">
        <f t="shared" ca="1" si="4"/>
        <v>Loyal Customers</v>
      </c>
    </row>
    <row r="35" spans="1:9" x14ac:dyDescent="0.3">
      <c r="A35" t="s">
        <v>491</v>
      </c>
      <c r="B35">
        <f ca="1">TODAY()-_xlfn.MAXIFS(Clean_Data!$O:$O,Clean_Data!$A:$A,A35)</f>
        <v>693</v>
      </c>
      <c r="C35">
        <f>COUNTIF(Clean_Data!$A:$A,A35)</f>
        <v>7</v>
      </c>
      <c r="D35">
        <f>SUMIF(Clean_Data!$A:$A,A35,Clean_Data!$E:$E)</f>
        <v>10559.57</v>
      </c>
      <c r="E35">
        <f t="shared" ca="1" si="0"/>
        <v>2</v>
      </c>
      <c r="F35">
        <f t="shared" si="1"/>
        <v>5</v>
      </c>
      <c r="G35">
        <f t="shared" si="2"/>
        <v>5</v>
      </c>
      <c r="H35">
        <f t="shared" ca="1" si="3"/>
        <v>12</v>
      </c>
      <c r="I35" t="str">
        <f t="shared" ca="1" si="4"/>
        <v>Loyal Customers</v>
      </c>
    </row>
    <row r="36" spans="1:9" x14ac:dyDescent="0.3">
      <c r="A36" t="s">
        <v>507</v>
      </c>
      <c r="B36">
        <f ca="1">TODAY()-_xlfn.MAXIFS(Clean_Data!$O:$O,Clean_Data!$A:$A,A36)</f>
        <v>723</v>
      </c>
      <c r="C36">
        <f>COUNTIF(Clean_Data!$A:$A,A36)</f>
        <v>6</v>
      </c>
      <c r="D36">
        <f>SUMIF(Clean_Data!$A:$A,A36,Clean_Data!$E:$E)</f>
        <v>7405.8400000000011</v>
      </c>
      <c r="E36">
        <f t="shared" ca="1" si="0"/>
        <v>2</v>
      </c>
      <c r="F36">
        <f t="shared" si="1"/>
        <v>4</v>
      </c>
      <c r="G36">
        <f t="shared" si="2"/>
        <v>4</v>
      </c>
      <c r="H36">
        <f t="shared" ca="1" si="3"/>
        <v>10</v>
      </c>
      <c r="I36" t="str">
        <f t="shared" ca="1" si="4"/>
        <v>Loyal Customers</v>
      </c>
    </row>
    <row r="37" spans="1:9" x14ac:dyDescent="0.3">
      <c r="A37" t="s">
        <v>520</v>
      </c>
      <c r="B37">
        <f ca="1">TODAY()-_xlfn.MAXIFS(Clean_Data!$O:$O,Clean_Data!$A:$A,A37)</f>
        <v>1162</v>
      </c>
      <c r="C37">
        <f>COUNTIF(Clean_Data!$A:$A,A37)</f>
        <v>1</v>
      </c>
      <c r="D37">
        <f>SUMIF(Clean_Data!$A:$A,A37,Clean_Data!$E:$E)</f>
        <v>2419.0700000000002</v>
      </c>
      <c r="E37">
        <f t="shared" ca="1" si="0"/>
        <v>1</v>
      </c>
      <c r="F37">
        <f t="shared" si="1"/>
        <v>1</v>
      </c>
      <c r="G37">
        <f t="shared" si="2"/>
        <v>1</v>
      </c>
      <c r="H37">
        <f t="shared" ca="1" si="3"/>
        <v>3</v>
      </c>
      <c r="I37" t="str">
        <f t="shared" ca="1" si="4"/>
        <v>Lost</v>
      </c>
    </row>
    <row r="38" spans="1:9" x14ac:dyDescent="0.3">
      <c r="A38" t="s">
        <v>525</v>
      </c>
      <c r="B38">
        <f ca="1">TODAY()-_xlfn.MAXIFS(Clean_Data!$O:$O,Clean_Data!$A:$A,A38)</f>
        <v>538</v>
      </c>
      <c r="C38">
        <f>COUNTIF(Clean_Data!$A:$A,A38)</f>
        <v>8</v>
      </c>
      <c r="D38">
        <f>SUMIF(Clean_Data!$A:$A,A38,Clean_Data!$E:$E)</f>
        <v>6728.829999999999</v>
      </c>
      <c r="E38">
        <f t="shared" ca="1" si="0"/>
        <v>4</v>
      </c>
      <c r="F38">
        <f t="shared" si="1"/>
        <v>5</v>
      </c>
      <c r="G38">
        <f t="shared" si="2"/>
        <v>4</v>
      </c>
      <c r="H38">
        <f t="shared" ca="1" si="3"/>
        <v>13</v>
      </c>
      <c r="I38" t="str">
        <f t="shared" ca="1" si="4"/>
        <v>Champions</v>
      </c>
    </row>
    <row r="39" spans="1:9" x14ac:dyDescent="0.3">
      <c r="A39" t="s">
        <v>543</v>
      </c>
      <c r="B39">
        <f ca="1">TODAY()-_xlfn.MAXIFS(Clean_Data!$O:$O,Clean_Data!$A:$A,A39)</f>
        <v>739</v>
      </c>
      <c r="C39">
        <f>COUNTIF(Clean_Data!$A:$A,A39)</f>
        <v>3</v>
      </c>
      <c r="D39">
        <f>SUMIF(Clean_Data!$A:$A,A39,Clean_Data!$E:$E)</f>
        <v>2475.85</v>
      </c>
      <c r="E39">
        <f t="shared" ca="1" si="0"/>
        <v>2</v>
      </c>
      <c r="F39">
        <f t="shared" si="1"/>
        <v>2</v>
      </c>
      <c r="G39">
        <f t="shared" si="2"/>
        <v>1</v>
      </c>
      <c r="H39">
        <f t="shared" ca="1" si="3"/>
        <v>5</v>
      </c>
      <c r="I39" t="str">
        <f t="shared" ca="1" si="4"/>
        <v>At Risk</v>
      </c>
    </row>
    <row r="40" spans="1:9" x14ac:dyDescent="0.3">
      <c r="A40" t="s">
        <v>552</v>
      </c>
      <c r="B40">
        <f ca="1">TODAY()-_xlfn.MAXIFS(Clean_Data!$O:$O,Clean_Data!$A:$A,A40)</f>
        <v>590</v>
      </c>
      <c r="C40">
        <f>COUNTIF(Clean_Data!$A:$A,A40)</f>
        <v>4</v>
      </c>
      <c r="D40">
        <f>SUMIF(Clean_Data!$A:$A,A40,Clean_Data!$E:$E)</f>
        <v>4747.59</v>
      </c>
      <c r="E40">
        <f t="shared" ca="1" si="0"/>
        <v>4</v>
      </c>
      <c r="F40">
        <f t="shared" si="1"/>
        <v>3</v>
      </c>
      <c r="G40">
        <f t="shared" si="2"/>
        <v>3</v>
      </c>
      <c r="H40">
        <f t="shared" ca="1" si="3"/>
        <v>10</v>
      </c>
      <c r="I40" t="str">
        <f t="shared" ca="1" si="4"/>
        <v>Loyal Customers</v>
      </c>
    </row>
    <row r="41" spans="1:9" x14ac:dyDescent="0.3">
      <c r="A41" t="s">
        <v>561</v>
      </c>
      <c r="B41">
        <f ca="1">TODAY()-_xlfn.MAXIFS(Clean_Data!$O:$O,Clean_Data!$A:$A,A41)</f>
        <v>511</v>
      </c>
      <c r="C41">
        <f>COUNTIF(Clean_Data!$A:$A,A41)</f>
        <v>8</v>
      </c>
      <c r="D41">
        <f>SUMIF(Clean_Data!$A:$A,A41,Clean_Data!$E:$E)</f>
        <v>10037.14</v>
      </c>
      <c r="E41">
        <f t="shared" ca="1" si="0"/>
        <v>5</v>
      </c>
      <c r="F41">
        <f t="shared" si="1"/>
        <v>5</v>
      </c>
      <c r="G41">
        <f t="shared" si="2"/>
        <v>5</v>
      </c>
      <c r="H41">
        <f t="shared" ca="1" si="3"/>
        <v>15</v>
      </c>
      <c r="I41" t="str">
        <f t="shared" ca="1" si="4"/>
        <v>Champions</v>
      </c>
    </row>
    <row r="42" spans="1:9" x14ac:dyDescent="0.3">
      <c r="A42" t="s">
        <v>579</v>
      </c>
      <c r="B42">
        <f ca="1">TODAY()-_xlfn.MAXIFS(Clean_Data!$O:$O,Clean_Data!$A:$A,A42)</f>
        <v>669</v>
      </c>
      <c r="C42">
        <f>COUNTIF(Clean_Data!$A:$A,A42)</f>
        <v>5</v>
      </c>
      <c r="D42">
        <f>SUMIF(Clean_Data!$A:$A,A42,Clean_Data!$E:$E)</f>
        <v>7267.7699999999995</v>
      </c>
      <c r="E42">
        <f t="shared" ca="1" si="0"/>
        <v>3</v>
      </c>
      <c r="F42">
        <f t="shared" si="1"/>
        <v>3</v>
      </c>
      <c r="G42">
        <f t="shared" si="2"/>
        <v>4</v>
      </c>
      <c r="H42">
        <f t="shared" ca="1" si="3"/>
        <v>10</v>
      </c>
      <c r="I42" t="str">
        <f t="shared" ca="1" si="4"/>
        <v>Loyal Customers</v>
      </c>
    </row>
    <row r="43" spans="1:9" x14ac:dyDescent="0.3">
      <c r="A43" t="s">
        <v>590</v>
      </c>
      <c r="B43">
        <f ca="1">TODAY()-_xlfn.MAXIFS(Clean_Data!$O:$O,Clean_Data!$A:$A,A43)</f>
        <v>493</v>
      </c>
      <c r="C43">
        <f>COUNTIF(Clean_Data!$A:$A,A43)</f>
        <v>7</v>
      </c>
      <c r="D43">
        <f>SUMIF(Clean_Data!$A:$A,A43,Clean_Data!$E:$E)</f>
        <v>7733.86</v>
      </c>
      <c r="E43">
        <f t="shared" ca="1" si="0"/>
        <v>5</v>
      </c>
      <c r="F43">
        <f t="shared" si="1"/>
        <v>5</v>
      </c>
      <c r="G43">
        <f t="shared" si="2"/>
        <v>4</v>
      </c>
      <c r="H43">
        <f t="shared" ca="1" si="3"/>
        <v>14</v>
      </c>
      <c r="I43" t="str">
        <f t="shared" ca="1" si="4"/>
        <v>Champions</v>
      </c>
    </row>
    <row r="44" spans="1:9" x14ac:dyDescent="0.3">
      <c r="A44" t="s">
        <v>606</v>
      </c>
      <c r="B44">
        <f ca="1">TODAY()-_xlfn.MAXIFS(Clean_Data!$O:$O,Clean_Data!$A:$A,A44)</f>
        <v>547</v>
      </c>
      <c r="C44">
        <f>COUNTIF(Clean_Data!$A:$A,A44)</f>
        <v>4</v>
      </c>
      <c r="D44">
        <f>SUMIF(Clean_Data!$A:$A,A44,Clean_Data!$E:$E)</f>
        <v>7232.0500000000011</v>
      </c>
      <c r="E44">
        <f t="shared" ca="1" si="0"/>
        <v>4</v>
      </c>
      <c r="F44">
        <f t="shared" si="1"/>
        <v>3</v>
      </c>
      <c r="G44">
        <f t="shared" si="2"/>
        <v>4</v>
      </c>
      <c r="H44">
        <f t="shared" ca="1" si="3"/>
        <v>11</v>
      </c>
      <c r="I44" t="str">
        <f t="shared" ca="1" si="4"/>
        <v>Loyal Customers</v>
      </c>
    </row>
    <row r="45" spans="1:9" x14ac:dyDescent="0.3">
      <c r="A45" t="s">
        <v>616</v>
      </c>
      <c r="B45">
        <f ca="1">TODAY()-_xlfn.MAXIFS(Clean_Data!$O:$O,Clean_Data!$A:$A,A45)</f>
        <v>652</v>
      </c>
      <c r="C45">
        <f>COUNTIF(Clean_Data!$A:$A,A45)</f>
        <v>3</v>
      </c>
      <c r="D45">
        <f>SUMIF(Clean_Data!$A:$A,A45,Clean_Data!$E:$E)</f>
        <v>4997.4500000000007</v>
      </c>
      <c r="E45">
        <f t="shared" ca="1" si="0"/>
        <v>3</v>
      </c>
      <c r="F45">
        <f t="shared" si="1"/>
        <v>2</v>
      </c>
      <c r="G45">
        <f t="shared" si="2"/>
        <v>3</v>
      </c>
      <c r="H45">
        <f t="shared" ca="1" si="3"/>
        <v>8</v>
      </c>
      <c r="I45" t="str">
        <f t="shared" ca="1" si="4"/>
        <v>Potential Loyalist</v>
      </c>
    </row>
    <row r="46" spans="1:9" x14ac:dyDescent="0.3">
      <c r="A46" t="s">
        <v>625</v>
      </c>
      <c r="B46">
        <f ca="1">TODAY()-_xlfn.MAXIFS(Clean_Data!$O:$O,Clean_Data!$A:$A,A46)</f>
        <v>738</v>
      </c>
      <c r="C46">
        <f>COUNTIF(Clean_Data!$A:$A,A46)</f>
        <v>2</v>
      </c>
      <c r="D46">
        <f>SUMIF(Clean_Data!$A:$A,A46,Clean_Data!$E:$E)</f>
        <v>688.32999999999993</v>
      </c>
      <c r="E46">
        <f t="shared" ca="1" si="0"/>
        <v>2</v>
      </c>
      <c r="F46">
        <f t="shared" si="1"/>
        <v>1</v>
      </c>
      <c r="G46">
        <f t="shared" si="2"/>
        <v>1</v>
      </c>
      <c r="H46">
        <f t="shared" ca="1" si="3"/>
        <v>4</v>
      </c>
      <c r="I46" t="str">
        <f t="shared" ca="1" si="4"/>
        <v>At Risk</v>
      </c>
    </row>
    <row r="47" spans="1:9" x14ac:dyDescent="0.3">
      <c r="A47" t="s">
        <v>631</v>
      </c>
      <c r="B47">
        <f ca="1">TODAY()-_xlfn.MAXIFS(Clean_Data!$O:$O,Clean_Data!$A:$A,A47)</f>
        <v>550</v>
      </c>
      <c r="C47">
        <f>COUNTIF(Clean_Data!$A:$A,A47)</f>
        <v>8</v>
      </c>
      <c r="D47">
        <f>SUMIF(Clean_Data!$A:$A,A47,Clean_Data!$E:$E)</f>
        <v>6686.3099999999995</v>
      </c>
      <c r="E47">
        <f t="shared" ca="1" si="0"/>
        <v>4</v>
      </c>
      <c r="F47">
        <f t="shared" si="1"/>
        <v>5</v>
      </c>
      <c r="G47">
        <f t="shared" si="2"/>
        <v>4</v>
      </c>
      <c r="H47">
        <f t="shared" ca="1" si="3"/>
        <v>13</v>
      </c>
      <c r="I47" t="str">
        <f t="shared" ca="1" si="4"/>
        <v>Champions</v>
      </c>
    </row>
    <row r="48" spans="1:9" x14ac:dyDescent="0.3">
      <c r="A48" t="s">
        <v>649</v>
      </c>
      <c r="B48">
        <f ca="1">TODAY()-_xlfn.MAXIFS(Clean_Data!$O:$O,Clean_Data!$A:$A,A48)</f>
        <v>690</v>
      </c>
      <c r="C48">
        <f>COUNTIF(Clean_Data!$A:$A,A48)</f>
        <v>1</v>
      </c>
      <c r="D48">
        <f>SUMIF(Clean_Data!$A:$A,A48,Clean_Data!$E:$E)</f>
        <v>1823.96</v>
      </c>
      <c r="E48">
        <f t="shared" ca="1" si="0"/>
        <v>3</v>
      </c>
      <c r="F48">
        <f t="shared" si="1"/>
        <v>1</v>
      </c>
      <c r="G48">
        <f t="shared" si="2"/>
        <v>1</v>
      </c>
      <c r="H48">
        <f t="shared" ca="1" si="3"/>
        <v>5</v>
      </c>
      <c r="I48" t="str">
        <f t="shared" ca="1" si="4"/>
        <v>At Risk</v>
      </c>
    </row>
    <row r="49" spans="1:9" x14ac:dyDescent="0.3">
      <c r="A49" t="s">
        <v>653</v>
      </c>
      <c r="B49">
        <f ca="1">TODAY()-_xlfn.MAXIFS(Clean_Data!$O:$O,Clean_Data!$A:$A,A49)</f>
        <v>486</v>
      </c>
      <c r="C49">
        <f>COUNTIF(Clean_Data!$A:$A,A49)</f>
        <v>3</v>
      </c>
      <c r="D49">
        <f>SUMIF(Clean_Data!$A:$A,A49,Clean_Data!$E:$E)</f>
        <v>4633.1200000000008</v>
      </c>
      <c r="E49">
        <f t="shared" ca="1" si="0"/>
        <v>5</v>
      </c>
      <c r="F49">
        <f t="shared" si="1"/>
        <v>2</v>
      </c>
      <c r="G49">
        <f t="shared" si="2"/>
        <v>3</v>
      </c>
      <c r="H49">
        <f t="shared" ca="1" si="3"/>
        <v>10</v>
      </c>
      <c r="I49" t="str">
        <f t="shared" ca="1" si="4"/>
        <v>Loyal Customers</v>
      </c>
    </row>
    <row r="50" spans="1:9" x14ac:dyDescent="0.3">
      <c r="A50" t="s">
        <v>660</v>
      </c>
      <c r="B50">
        <f ca="1">TODAY()-_xlfn.MAXIFS(Clean_Data!$O:$O,Clean_Data!$A:$A,A50)</f>
        <v>1136</v>
      </c>
      <c r="C50">
        <f>COUNTIF(Clean_Data!$A:$A,A50)</f>
        <v>4</v>
      </c>
      <c r="D50">
        <f>SUMIF(Clean_Data!$A:$A,A50,Clean_Data!$E:$E)</f>
        <v>7202.21</v>
      </c>
      <c r="E50">
        <f t="shared" ca="1" si="0"/>
        <v>1</v>
      </c>
      <c r="F50">
        <f t="shared" si="1"/>
        <v>3</v>
      </c>
      <c r="G50">
        <f t="shared" si="2"/>
        <v>4</v>
      </c>
      <c r="H50">
        <f t="shared" ca="1" si="3"/>
        <v>8</v>
      </c>
      <c r="I50" t="str">
        <f t="shared" ca="1" si="4"/>
        <v>Potential Loyalist</v>
      </c>
    </row>
    <row r="51" spans="1:9" x14ac:dyDescent="0.3">
      <c r="A51" t="s">
        <v>670</v>
      </c>
      <c r="B51">
        <f ca="1">TODAY()-_xlfn.MAXIFS(Clean_Data!$O:$O,Clean_Data!$A:$A,A51)</f>
        <v>655</v>
      </c>
      <c r="C51">
        <f>COUNTIF(Clean_Data!$A:$A,A51)</f>
        <v>2</v>
      </c>
      <c r="D51">
        <f>SUMIF(Clean_Data!$A:$A,A51,Clean_Data!$E:$E)</f>
        <v>1267.81</v>
      </c>
      <c r="E51">
        <f t="shared" ca="1" si="0"/>
        <v>3</v>
      </c>
      <c r="F51">
        <f t="shared" si="1"/>
        <v>1</v>
      </c>
      <c r="G51">
        <f t="shared" si="2"/>
        <v>1</v>
      </c>
      <c r="H51">
        <f t="shared" ca="1" si="3"/>
        <v>5</v>
      </c>
      <c r="I51" t="str">
        <f t="shared" ca="1" si="4"/>
        <v>At Risk</v>
      </c>
    </row>
    <row r="52" spans="1:9" x14ac:dyDescent="0.3">
      <c r="A52" t="s">
        <v>676</v>
      </c>
      <c r="B52">
        <f ca="1">TODAY()-_xlfn.MAXIFS(Clean_Data!$O:$O,Clean_Data!$A:$A,A52)</f>
        <v>665</v>
      </c>
      <c r="C52">
        <f>COUNTIF(Clean_Data!$A:$A,A52)</f>
        <v>3</v>
      </c>
      <c r="D52">
        <f>SUMIF(Clean_Data!$A:$A,A52,Clean_Data!$E:$E)</f>
        <v>4492.2700000000004</v>
      </c>
      <c r="E52">
        <f t="shared" ca="1" si="0"/>
        <v>3</v>
      </c>
      <c r="F52">
        <f t="shared" si="1"/>
        <v>2</v>
      </c>
      <c r="G52">
        <f t="shared" si="2"/>
        <v>2</v>
      </c>
      <c r="H52">
        <f t="shared" ca="1" si="3"/>
        <v>7</v>
      </c>
      <c r="I52" t="str">
        <f t="shared" ca="1" si="4"/>
        <v>Potential Loyalist</v>
      </c>
    </row>
    <row r="53" spans="1:9" x14ac:dyDescent="0.3">
      <c r="A53" t="s">
        <v>683</v>
      </c>
      <c r="B53">
        <f ca="1">TODAY()-_xlfn.MAXIFS(Clean_Data!$O:$O,Clean_Data!$A:$A,A53)</f>
        <v>680</v>
      </c>
      <c r="C53">
        <f>COUNTIF(Clean_Data!$A:$A,A53)</f>
        <v>2</v>
      </c>
      <c r="D53">
        <f>SUMIF(Clean_Data!$A:$A,A53,Clean_Data!$E:$E)</f>
        <v>1400.13</v>
      </c>
      <c r="E53">
        <f t="shared" ca="1" si="0"/>
        <v>3</v>
      </c>
      <c r="F53">
        <f t="shared" si="1"/>
        <v>1</v>
      </c>
      <c r="G53">
        <f t="shared" si="2"/>
        <v>1</v>
      </c>
      <c r="H53">
        <f t="shared" ca="1" si="3"/>
        <v>5</v>
      </c>
      <c r="I53" t="str">
        <f t="shared" ca="1" si="4"/>
        <v>At Risk</v>
      </c>
    </row>
    <row r="54" spans="1:9" x14ac:dyDescent="0.3">
      <c r="A54" t="s">
        <v>689</v>
      </c>
      <c r="B54">
        <f ca="1">TODAY()-_xlfn.MAXIFS(Clean_Data!$O:$O,Clean_Data!$A:$A,A54)</f>
        <v>1063</v>
      </c>
      <c r="C54">
        <f>COUNTIF(Clean_Data!$A:$A,A54)</f>
        <v>6</v>
      </c>
      <c r="D54">
        <f>SUMIF(Clean_Data!$A:$A,A54,Clean_Data!$E:$E)</f>
        <v>7740.75</v>
      </c>
      <c r="E54">
        <f t="shared" ca="1" si="0"/>
        <v>1</v>
      </c>
      <c r="F54">
        <f t="shared" si="1"/>
        <v>4</v>
      </c>
      <c r="G54">
        <f t="shared" si="2"/>
        <v>4</v>
      </c>
      <c r="H54">
        <f t="shared" ca="1" si="3"/>
        <v>9</v>
      </c>
      <c r="I54" t="str">
        <f t="shared" ca="1" si="4"/>
        <v>Potential Loyalist</v>
      </c>
    </row>
    <row r="55" spans="1:9" x14ac:dyDescent="0.3">
      <c r="A55" t="s">
        <v>703</v>
      </c>
      <c r="B55">
        <f ca="1">TODAY()-_xlfn.MAXIFS(Clean_Data!$O:$O,Clean_Data!$A:$A,A55)</f>
        <v>532</v>
      </c>
      <c r="C55">
        <f>COUNTIF(Clean_Data!$A:$A,A55)</f>
        <v>3</v>
      </c>
      <c r="D55">
        <f>SUMIF(Clean_Data!$A:$A,A55,Clean_Data!$E:$E)</f>
        <v>2996.25</v>
      </c>
      <c r="E55">
        <f t="shared" ca="1" si="0"/>
        <v>5</v>
      </c>
      <c r="F55">
        <f t="shared" si="1"/>
        <v>2</v>
      </c>
      <c r="G55">
        <f t="shared" si="2"/>
        <v>2</v>
      </c>
      <c r="H55">
        <f t="shared" ca="1" si="3"/>
        <v>9</v>
      </c>
      <c r="I55" t="str">
        <f t="shared" ca="1" si="4"/>
        <v>Potential Loyalist</v>
      </c>
    </row>
    <row r="56" spans="1:9" x14ac:dyDescent="0.3">
      <c r="A56" t="s">
        <v>710</v>
      </c>
      <c r="B56">
        <f ca="1">TODAY()-_xlfn.MAXIFS(Clean_Data!$O:$O,Clean_Data!$A:$A,A56)</f>
        <v>562</v>
      </c>
      <c r="C56">
        <f>COUNTIF(Clean_Data!$A:$A,A56)</f>
        <v>7</v>
      </c>
      <c r="D56">
        <f>SUMIF(Clean_Data!$A:$A,A56,Clean_Data!$E:$E)</f>
        <v>14378.39</v>
      </c>
      <c r="E56">
        <f t="shared" ca="1" si="0"/>
        <v>4</v>
      </c>
      <c r="F56">
        <f t="shared" si="1"/>
        <v>5</v>
      </c>
      <c r="G56">
        <f t="shared" si="2"/>
        <v>5</v>
      </c>
      <c r="H56">
        <f t="shared" ca="1" si="3"/>
        <v>14</v>
      </c>
      <c r="I56" t="str">
        <f t="shared" ca="1" si="4"/>
        <v>Champions</v>
      </c>
    </row>
    <row r="57" spans="1:9" x14ac:dyDescent="0.3">
      <c r="A57" t="s">
        <v>727</v>
      </c>
      <c r="B57">
        <f ca="1">TODAY()-_xlfn.MAXIFS(Clean_Data!$O:$O,Clean_Data!$A:$A,A57)</f>
        <v>549</v>
      </c>
      <c r="C57">
        <f>COUNTIF(Clean_Data!$A:$A,A57)</f>
        <v>4</v>
      </c>
      <c r="D57">
        <f>SUMIF(Clean_Data!$A:$A,A57,Clean_Data!$E:$E)</f>
        <v>3526.47</v>
      </c>
      <c r="E57">
        <f t="shared" ca="1" si="0"/>
        <v>4</v>
      </c>
      <c r="F57">
        <f t="shared" si="1"/>
        <v>3</v>
      </c>
      <c r="G57">
        <f t="shared" si="2"/>
        <v>2</v>
      </c>
      <c r="H57">
        <f t="shared" ca="1" si="3"/>
        <v>9</v>
      </c>
      <c r="I57" t="str">
        <f t="shared" ca="1" si="4"/>
        <v>Potential Loyalist</v>
      </c>
    </row>
    <row r="58" spans="1:9" x14ac:dyDescent="0.3">
      <c r="A58" t="s">
        <v>736</v>
      </c>
      <c r="B58">
        <f ca="1">TODAY()-_xlfn.MAXIFS(Clean_Data!$O:$O,Clean_Data!$A:$A,A58)</f>
        <v>722</v>
      </c>
      <c r="C58">
        <f>COUNTIF(Clean_Data!$A:$A,A58)</f>
        <v>2</v>
      </c>
      <c r="D58">
        <f>SUMIF(Clean_Data!$A:$A,A58,Clean_Data!$E:$E)</f>
        <v>1308.8599999999999</v>
      </c>
      <c r="E58">
        <f t="shared" ca="1" si="0"/>
        <v>2</v>
      </c>
      <c r="F58">
        <f t="shared" si="1"/>
        <v>1</v>
      </c>
      <c r="G58">
        <f t="shared" si="2"/>
        <v>1</v>
      </c>
      <c r="H58">
        <f t="shared" ca="1" si="3"/>
        <v>4</v>
      </c>
      <c r="I58" t="str">
        <f t="shared" ca="1" si="4"/>
        <v>At Risk</v>
      </c>
    </row>
    <row r="59" spans="1:9" x14ac:dyDescent="0.3">
      <c r="A59" t="s">
        <v>742</v>
      </c>
      <c r="B59">
        <f ca="1">TODAY()-_xlfn.MAXIFS(Clean_Data!$O:$O,Clean_Data!$A:$A,A59)</f>
        <v>545</v>
      </c>
      <c r="C59">
        <f>COUNTIF(Clean_Data!$A:$A,A59)</f>
        <v>5</v>
      </c>
      <c r="D59">
        <f>SUMIF(Clean_Data!$A:$A,A59,Clean_Data!$E:$E)</f>
        <v>9201.16</v>
      </c>
      <c r="E59">
        <f t="shared" ca="1" si="0"/>
        <v>4</v>
      </c>
      <c r="F59">
        <f t="shared" si="1"/>
        <v>3</v>
      </c>
      <c r="G59">
        <f t="shared" si="2"/>
        <v>5</v>
      </c>
      <c r="H59">
        <f t="shared" ca="1" si="3"/>
        <v>12</v>
      </c>
      <c r="I59" t="str">
        <f t="shared" ca="1" si="4"/>
        <v>Loyal Customers</v>
      </c>
    </row>
    <row r="60" spans="1:9" x14ac:dyDescent="0.3">
      <c r="A60" t="s">
        <v>754</v>
      </c>
      <c r="B60">
        <f ca="1">TODAY()-_xlfn.MAXIFS(Clean_Data!$O:$O,Clean_Data!$A:$A,A60)</f>
        <v>1026</v>
      </c>
      <c r="C60">
        <f>COUNTIF(Clean_Data!$A:$A,A60)</f>
        <v>1</v>
      </c>
      <c r="D60">
        <f>SUMIF(Clean_Data!$A:$A,A60,Clean_Data!$E:$E)</f>
        <v>1071.4100000000001</v>
      </c>
      <c r="E60">
        <f t="shared" ca="1" si="0"/>
        <v>1</v>
      </c>
      <c r="F60">
        <f t="shared" si="1"/>
        <v>1</v>
      </c>
      <c r="G60">
        <f t="shared" si="2"/>
        <v>1</v>
      </c>
      <c r="H60">
        <f t="shared" ca="1" si="3"/>
        <v>3</v>
      </c>
      <c r="I60" t="str">
        <f t="shared" ca="1" si="4"/>
        <v>Lost</v>
      </c>
    </row>
    <row r="61" spans="1:9" x14ac:dyDescent="0.3">
      <c r="A61" t="s">
        <v>757</v>
      </c>
      <c r="B61">
        <f ca="1">TODAY()-_xlfn.MAXIFS(Clean_Data!$O:$O,Clean_Data!$A:$A,A61)</f>
        <v>501</v>
      </c>
      <c r="C61">
        <f>COUNTIF(Clean_Data!$A:$A,A61)</f>
        <v>6</v>
      </c>
      <c r="D61">
        <f>SUMIF(Clean_Data!$A:$A,A61,Clean_Data!$E:$E)</f>
        <v>8885.6</v>
      </c>
      <c r="E61">
        <f t="shared" ca="1" si="0"/>
        <v>5</v>
      </c>
      <c r="F61">
        <f t="shared" si="1"/>
        <v>4</v>
      </c>
      <c r="G61">
        <f t="shared" si="2"/>
        <v>5</v>
      </c>
      <c r="H61">
        <f t="shared" ca="1" si="3"/>
        <v>14</v>
      </c>
      <c r="I61" t="str">
        <f t="shared" ca="1" si="4"/>
        <v>Champions</v>
      </c>
    </row>
    <row r="62" spans="1:9" x14ac:dyDescent="0.3">
      <c r="A62" t="s">
        <v>771</v>
      </c>
      <c r="B62">
        <f ca="1">TODAY()-_xlfn.MAXIFS(Clean_Data!$O:$O,Clean_Data!$A:$A,A62)</f>
        <v>558</v>
      </c>
      <c r="C62">
        <f>COUNTIF(Clean_Data!$A:$A,A62)</f>
        <v>5</v>
      </c>
      <c r="D62">
        <f>SUMIF(Clean_Data!$A:$A,A62,Clean_Data!$E:$E)</f>
        <v>10156.509999999998</v>
      </c>
      <c r="E62">
        <f t="shared" ca="1" si="0"/>
        <v>4</v>
      </c>
      <c r="F62">
        <f t="shared" si="1"/>
        <v>3</v>
      </c>
      <c r="G62">
        <f t="shared" si="2"/>
        <v>5</v>
      </c>
      <c r="H62">
        <f t="shared" ca="1" si="3"/>
        <v>12</v>
      </c>
      <c r="I62" t="str">
        <f t="shared" ca="1" si="4"/>
        <v>Loyal Customers</v>
      </c>
    </row>
    <row r="63" spans="1:9" x14ac:dyDescent="0.3">
      <c r="A63" t="s">
        <v>782</v>
      </c>
      <c r="B63">
        <f ca="1">TODAY()-_xlfn.MAXIFS(Clean_Data!$O:$O,Clean_Data!$A:$A,A63)</f>
        <v>828</v>
      </c>
      <c r="C63">
        <f>COUNTIF(Clean_Data!$A:$A,A63)</f>
        <v>2</v>
      </c>
      <c r="D63">
        <f>SUMIF(Clean_Data!$A:$A,A63,Clean_Data!$E:$E)</f>
        <v>844.74</v>
      </c>
      <c r="E63">
        <f t="shared" ca="1" si="0"/>
        <v>2</v>
      </c>
      <c r="F63">
        <f t="shared" si="1"/>
        <v>1</v>
      </c>
      <c r="G63">
        <f t="shared" si="2"/>
        <v>1</v>
      </c>
      <c r="H63">
        <f t="shared" ca="1" si="3"/>
        <v>4</v>
      </c>
      <c r="I63" t="str">
        <f t="shared" ca="1" si="4"/>
        <v>At Risk</v>
      </c>
    </row>
    <row r="64" spans="1:9" x14ac:dyDescent="0.3">
      <c r="A64" t="s">
        <v>787</v>
      </c>
      <c r="B64">
        <f ca="1">TODAY()-_xlfn.MAXIFS(Clean_Data!$O:$O,Clean_Data!$A:$A,A64)</f>
        <v>494</v>
      </c>
      <c r="C64">
        <f>COUNTIF(Clean_Data!$A:$A,A64)</f>
        <v>6</v>
      </c>
      <c r="D64">
        <f>SUMIF(Clean_Data!$A:$A,A64,Clean_Data!$E:$E)</f>
        <v>11151.68</v>
      </c>
      <c r="E64">
        <f t="shared" ca="1" si="0"/>
        <v>5</v>
      </c>
      <c r="F64">
        <f t="shared" si="1"/>
        <v>4</v>
      </c>
      <c r="G64">
        <f t="shared" si="2"/>
        <v>5</v>
      </c>
      <c r="H64">
        <f t="shared" ca="1" si="3"/>
        <v>14</v>
      </c>
      <c r="I64" t="str">
        <f t="shared" ca="1" si="4"/>
        <v>Champions</v>
      </c>
    </row>
    <row r="65" spans="1:9" x14ac:dyDescent="0.3">
      <c r="A65" t="s">
        <v>801</v>
      </c>
      <c r="B65">
        <f ca="1">TODAY()-_xlfn.MAXIFS(Clean_Data!$O:$O,Clean_Data!$A:$A,A65)</f>
        <v>697</v>
      </c>
      <c r="C65">
        <f>COUNTIF(Clean_Data!$A:$A,A65)</f>
        <v>3</v>
      </c>
      <c r="D65">
        <f>SUMIF(Clean_Data!$A:$A,A65,Clean_Data!$E:$E)</f>
        <v>3596.12</v>
      </c>
      <c r="E65">
        <f t="shared" ca="1" si="0"/>
        <v>2</v>
      </c>
      <c r="F65">
        <f t="shared" si="1"/>
        <v>2</v>
      </c>
      <c r="G65">
        <f t="shared" si="2"/>
        <v>2</v>
      </c>
      <c r="H65">
        <f t="shared" ca="1" si="3"/>
        <v>6</v>
      </c>
      <c r="I65" t="str">
        <f t="shared" ca="1" si="4"/>
        <v>At Risk</v>
      </c>
    </row>
    <row r="66" spans="1:9" x14ac:dyDescent="0.3">
      <c r="A66" t="s">
        <v>809</v>
      </c>
      <c r="B66">
        <f ca="1">TODAY()-_xlfn.MAXIFS(Clean_Data!$O:$O,Clean_Data!$A:$A,A66)</f>
        <v>544</v>
      </c>
      <c r="C66">
        <f>COUNTIF(Clean_Data!$A:$A,A66)</f>
        <v>4</v>
      </c>
      <c r="D66">
        <f>SUMIF(Clean_Data!$A:$A,A66,Clean_Data!$E:$E)</f>
        <v>6579.1799999999994</v>
      </c>
      <c r="E66">
        <f t="shared" ca="1" si="0"/>
        <v>4</v>
      </c>
      <c r="F66">
        <f t="shared" si="1"/>
        <v>3</v>
      </c>
      <c r="G66">
        <f t="shared" si="2"/>
        <v>4</v>
      </c>
      <c r="H66">
        <f t="shared" ca="1" si="3"/>
        <v>11</v>
      </c>
      <c r="I66" t="str">
        <f t="shared" ca="1" si="4"/>
        <v>Loyal Customers</v>
      </c>
    </row>
    <row r="67" spans="1:9" x14ac:dyDescent="0.3">
      <c r="A67" t="s">
        <v>818</v>
      </c>
      <c r="B67">
        <f ca="1">TODAY()-_xlfn.MAXIFS(Clean_Data!$O:$O,Clean_Data!$A:$A,A67)</f>
        <v>614</v>
      </c>
      <c r="C67">
        <f>COUNTIF(Clean_Data!$A:$A,A67)</f>
        <v>5</v>
      </c>
      <c r="D67">
        <f>SUMIF(Clean_Data!$A:$A,A67,Clean_Data!$E:$E)</f>
        <v>8070.3700000000008</v>
      </c>
      <c r="E67">
        <f t="shared" ref="E67:E130" ca="1" si="5">IF(PERCENTRANK($B$2:$B$151,B67)&gt;=0.8,1,IF(PERCENTRANK($B$2:$B$151,B67)&gt;=0.6,2,IF(PERCENTRANK($B$2:$B$151,B67)&gt;=0.4,3,IF(PERCENTRANK($B$2:$B$151,B67)&gt;=0.2,4,5))))</f>
        <v>3</v>
      </c>
      <c r="F67">
        <f t="shared" ref="F67:F130" si="6">IF(PERCENTRANK($C$2:$C$151,C67)&gt;=0.8,5,IF(PERCENTRANK($C$2:$C$151,C67)&gt;=0.6,4,IF(PERCENTRANK($C$2:$C$151,C67)&gt;=0.4,3,IF(PERCENTRANK($C$2:$C$151,C67)&gt;=0.2,2,1))))</f>
        <v>3</v>
      </c>
      <c r="G67">
        <f t="shared" ref="G67:G130" si="7">IF(PERCENTRANK($D$2:$D$151,D67)&gt;=0.8,5,IF(PERCENTRANK($D$2:$D$151,D67)&gt;=0.6,4,IF(PERCENTRANK($D$2:$D$151,D67)&gt;=0.4,3,IF(PERCENTRANK($D$2:$D$151,D67)&gt;=0.2,2,1))))</f>
        <v>5</v>
      </c>
      <c r="H67">
        <f t="shared" ref="H67:H130" ca="1" si="8">E67+F67+G67</f>
        <v>11</v>
      </c>
      <c r="I67" t="str">
        <f t="shared" ref="I67:I130" ca="1" si="9">IF(H67&gt;=13,"Champions",IF(H67&gt;=10,"Loyal Customers",IF(H67&gt;=7,"Potential Loyalist",IF(H67&gt;=4,"At Risk","Lost"))))</f>
        <v>Loyal Customers</v>
      </c>
    </row>
    <row r="68" spans="1:9" x14ac:dyDescent="0.3">
      <c r="A68" t="s">
        <v>829</v>
      </c>
      <c r="B68">
        <f ca="1">TODAY()-_xlfn.MAXIFS(Clean_Data!$O:$O,Clean_Data!$A:$A,A68)</f>
        <v>814</v>
      </c>
      <c r="C68">
        <f>COUNTIF(Clean_Data!$A:$A,A68)</f>
        <v>2</v>
      </c>
      <c r="D68">
        <f>SUMIF(Clean_Data!$A:$A,A68,Clean_Data!$E:$E)</f>
        <v>3032.65</v>
      </c>
      <c r="E68">
        <f t="shared" ca="1" si="5"/>
        <v>2</v>
      </c>
      <c r="F68">
        <f t="shared" si="6"/>
        <v>1</v>
      </c>
      <c r="G68">
        <f t="shared" si="7"/>
        <v>2</v>
      </c>
      <c r="H68">
        <f t="shared" ca="1" si="8"/>
        <v>5</v>
      </c>
      <c r="I68" t="str">
        <f t="shared" ca="1" si="9"/>
        <v>At Risk</v>
      </c>
    </row>
    <row r="69" spans="1:9" x14ac:dyDescent="0.3">
      <c r="A69" t="s">
        <v>835</v>
      </c>
      <c r="B69">
        <f ca="1">TODAY()-_xlfn.MAXIFS(Clean_Data!$O:$O,Clean_Data!$A:$A,A69)</f>
        <v>556</v>
      </c>
      <c r="C69">
        <f>COUNTIF(Clean_Data!$A:$A,A69)</f>
        <v>5</v>
      </c>
      <c r="D69">
        <f>SUMIF(Clean_Data!$A:$A,A69,Clean_Data!$E:$E)</f>
        <v>7236.35</v>
      </c>
      <c r="E69">
        <f t="shared" ca="1" si="5"/>
        <v>4</v>
      </c>
      <c r="F69">
        <f t="shared" si="6"/>
        <v>3</v>
      </c>
      <c r="G69">
        <f t="shared" si="7"/>
        <v>4</v>
      </c>
      <c r="H69">
        <f t="shared" ca="1" si="8"/>
        <v>11</v>
      </c>
      <c r="I69" t="str">
        <f t="shared" ca="1" si="9"/>
        <v>Loyal Customers</v>
      </c>
    </row>
    <row r="70" spans="1:9" x14ac:dyDescent="0.3">
      <c r="A70" t="s">
        <v>847</v>
      </c>
      <c r="B70">
        <f ca="1">TODAY()-_xlfn.MAXIFS(Clean_Data!$O:$O,Clean_Data!$A:$A,A70)</f>
        <v>526</v>
      </c>
      <c r="C70">
        <f>COUNTIF(Clean_Data!$A:$A,A70)</f>
        <v>4</v>
      </c>
      <c r="D70">
        <f>SUMIF(Clean_Data!$A:$A,A70,Clean_Data!$E:$E)</f>
        <v>8787.27</v>
      </c>
      <c r="E70">
        <f t="shared" ca="1" si="5"/>
        <v>5</v>
      </c>
      <c r="F70">
        <f t="shared" si="6"/>
        <v>3</v>
      </c>
      <c r="G70">
        <f t="shared" si="7"/>
        <v>5</v>
      </c>
      <c r="H70">
        <f t="shared" ca="1" si="8"/>
        <v>13</v>
      </c>
      <c r="I70" t="str">
        <f t="shared" ca="1" si="9"/>
        <v>Champions</v>
      </c>
    </row>
    <row r="71" spans="1:9" x14ac:dyDescent="0.3">
      <c r="A71" t="s">
        <v>856</v>
      </c>
      <c r="B71">
        <f ca="1">TODAY()-_xlfn.MAXIFS(Clean_Data!$O:$O,Clean_Data!$A:$A,A71)</f>
        <v>548</v>
      </c>
      <c r="C71">
        <f>COUNTIF(Clean_Data!$A:$A,A71)</f>
        <v>7</v>
      </c>
      <c r="D71">
        <f>SUMIF(Clean_Data!$A:$A,A71,Clean_Data!$E:$E)</f>
        <v>9705.14</v>
      </c>
      <c r="E71">
        <f t="shared" ca="1" si="5"/>
        <v>4</v>
      </c>
      <c r="F71">
        <f t="shared" si="6"/>
        <v>5</v>
      </c>
      <c r="G71">
        <f t="shared" si="7"/>
        <v>5</v>
      </c>
      <c r="H71">
        <f t="shared" ca="1" si="8"/>
        <v>14</v>
      </c>
      <c r="I71" t="str">
        <f t="shared" ca="1" si="9"/>
        <v>Champions</v>
      </c>
    </row>
    <row r="72" spans="1:9" x14ac:dyDescent="0.3">
      <c r="A72" t="s">
        <v>871</v>
      </c>
      <c r="B72">
        <f ca="1">TODAY()-_xlfn.MAXIFS(Clean_Data!$O:$O,Clean_Data!$A:$A,A72)</f>
        <v>803</v>
      </c>
      <c r="C72">
        <f>COUNTIF(Clean_Data!$A:$A,A72)</f>
        <v>1</v>
      </c>
      <c r="D72">
        <f>SUMIF(Clean_Data!$A:$A,A72,Clean_Data!$E:$E)</f>
        <v>4270.95</v>
      </c>
      <c r="E72">
        <f t="shared" ca="1" si="5"/>
        <v>2</v>
      </c>
      <c r="F72">
        <f t="shared" si="6"/>
        <v>1</v>
      </c>
      <c r="G72">
        <f t="shared" si="7"/>
        <v>2</v>
      </c>
      <c r="H72">
        <f t="shared" ca="1" si="8"/>
        <v>5</v>
      </c>
      <c r="I72" t="str">
        <f t="shared" ca="1" si="9"/>
        <v>At Risk</v>
      </c>
    </row>
    <row r="73" spans="1:9" x14ac:dyDescent="0.3">
      <c r="A73" t="s">
        <v>875</v>
      </c>
      <c r="B73">
        <f ca="1">TODAY()-_xlfn.MAXIFS(Clean_Data!$O:$O,Clean_Data!$A:$A,A73)</f>
        <v>535</v>
      </c>
      <c r="C73">
        <f>COUNTIF(Clean_Data!$A:$A,A73)</f>
        <v>2</v>
      </c>
      <c r="D73">
        <f>SUMIF(Clean_Data!$A:$A,A73,Clean_Data!$E:$E)</f>
        <v>1130.1600000000001</v>
      </c>
      <c r="E73">
        <f t="shared" ca="1" si="5"/>
        <v>4</v>
      </c>
      <c r="F73">
        <f t="shared" si="6"/>
        <v>1</v>
      </c>
      <c r="G73">
        <f t="shared" si="7"/>
        <v>1</v>
      </c>
      <c r="H73">
        <f t="shared" ca="1" si="8"/>
        <v>6</v>
      </c>
      <c r="I73" t="str">
        <f t="shared" ca="1" si="9"/>
        <v>At Risk</v>
      </c>
    </row>
    <row r="74" spans="1:9" x14ac:dyDescent="0.3">
      <c r="A74" t="s">
        <v>880</v>
      </c>
      <c r="B74">
        <f ca="1">TODAY()-_xlfn.MAXIFS(Clean_Data!$O:$O,Clean_Data!$A:$A,A74)</f>
        <v>1064</v>
      </c>
      <c r="C74">
        <f>COUNTIF(Clean_Data!$A:$A,A74)</f>
        <v>3</v>
      </c>
      <c r="D74">
        <f>SUMIF(Clean_Data!$A:$A,A74,Clean_Data!$E:$E)</f>
        <v>6147.99</v>
      </c>
      <c r="E74">
        <f t="shared" ca="1" si="5"/>
        <v>1</v>
      </c>
      <c r="F74">
        <f t="shared" si="6"/>
        <v>2</v>
      </c>
      <c r="G74">
        <f t="shared" si="7"/>
        <v>3</v>
      </c>
      <c r="H74">
        <f t="shared" ca="1" si="8"/>
        <v>6</v>
      </c>
      <c r="I74" t="str">
        <f t="shared" ca="1" si="9"/>
        <v>At Risk</v>
      </c>
    </row>
    <row r="75" spans="1:9" x14ac:dyDescent="0.3">
      <c r="A75" t="s">
        <v>887</v>
      </c>
      <c r="B75">
        <f ca="1">TODAY()-_xlfn.MAXIFS(Clean_Data!$O:$O,Clean_Data!$A:$A,A75)</f>
        <v>510</v>
      </c>
      <c r="C75">
        <f>COUNTIF(Clean_Data!$A:$A,A75)</f>
        <v>4</v>
      </c>
      <c r="D75">
        <f>SUMIF(Clean_Data!$A:$A,A75,Clean_Data!$E:$E)</f>
        <v>7210.41</v>
      </c>
      <c r="E75">
        <f t="shared" ca="1" si="5"/>
        <v>5</v>
      </c>
      <c r="F75">
        <f t="shared" si="6"/>
        <v>3</v>
      </c>
      <c r="G75">
        <f t="shared" si="7"/>
        <v>4</v>
      </c>
      <c r="H75">
        <f t="shared" ca="1" si="8"/>
        <v>12</v>
      </c>
      <c r="I75" t="str">
        <f t="shared" ca="1" si="9"/>
        <v>Loyal Customers</v>
      </c>
    </row>
    <row r="76" spans="1:9" x14ac:dyDescent="0.3">
      <c r="A76" t="s">
        <v>896</v>
      </c>
      <c r="B76">
        <f ca="1">TODAY()-_xlfn.MAXIFS(Clean_Data!$O:$O,Clean_Data!$A:$A,A76)</f>
        <v>1011</v>
      </c>
      <c r="C76">
        <f>COUNTIF(Clean_Data!$A:$A,A76)</f>
        <v>4</v>
      </c>
      <c r="D76">
        <f>SUMIF(Clean_Data!$A:$A,A76,Clean_Data!$E:$E)</f>
        <v>5461.92</v>
      </c>
      <c r="E76">
        <f t="shared" ca="1" si="5"/>
        <v>1</v>
      </c>
      <c r="F76">
        <f t="shared" si="6"/>
        <v>3</v>
      </c>
      <c r="G76">
        <f t="shared" si="7"/>
        <v>3</v>
      </c>
      <c r="H76">
        <f t="shared" ca="1" si="8"/>
        <v>7</v>
      </c>
      <c r="I76" t="str">
        <f t="shared" ca="1" si="9"/>
        <v>Potential Loyalist</v>
      </c>
    </row>
    <row r="77" spans="1:9" x14ac:dyDescent="0.3">
      <c r="A77" t="s">
        <v>906</v>
      </c>
      <c r="B77">
        <f ca="1">TODAY()-_xlfn.MAXIFS(Clean_Data!$O:$O,Clean_Data!$A:$A,A77)</f>
        <v>698</v>
      </c>
      <c r="C77">
        <f>COUNTIF(Clean_Data!$A:$A,A77)</f>
        <v>2</v>
      </c>
      <c r="D77">
        <f>SUMIF(Clean_Data!$A:$A,A77,Clean_Data!$E:$E)</f>
        <v>1847.44</v>
      </c>
      <c r="E77">
        <f t="shared" ca="1" si="5"/>
        <v>2</v>
      </c>
      <c r="F77">
        <f t="shared" si="6"/>
        <v>1</v>
      </c>
      <c r="G77">
        <f t="shared" si="7"/>
        <v>1</v>
      </c>
      <c r="H77">
        <f t="shared" ca="1" si="8"/>
        <v>4</v>
      </c>
      <c r="I77" t="str">
        <f t="shared" ca="1" si="9"/>
        <v>At Risk</v>
      </c>
    </row>
    <row r="78" spans="1:9" x14ac:dyDescent="0.3">
      <c r="A78" t="s">
        <v>912</v>
      </c>
      <c r="B78">
        <f ca="1">TODAY()-_xlfn.MAXIFS(Clean_Data!$O:$O,Clean_Data!$A:$A,A78)</f>
        <v>548</v>
      </c>
      <c r="C78">
        <f>COUNTIF(Clean_Data!$A:$A,A78)</f>
        <v>5</v>
      </c>
      <c r="D78">
        <f>SUMIF(Clean_Data!$A:$A,A78,Clean_Data!$E:$E)</f>
        <v>6175.26</v>
      </c>
      <c r="E78">
        <f t="shared" ca="1" si="5"/>
        <v>4</v>
      </c>
      <c r="F78">
        <f t="shared" si="6"/>
        <v>3</v>
      </c>
      <c r="G78">
        <f t="shared" si="7"/>
        <v>3</v>
      </c>
      <c r="H78">
        <f t="shared" ca="1" si="8"/>
        <v>10</v>
      </c>
      <c r="I78" t="str">
        <f t="shared" ca="1" si="9"/>
        <v>Loyal Customers</v>
      </c>
    </row>
    <row r="79" spans="1:9" x14ac:dyDescent="0.3">
      <c r="A79" t="s">
        <v>923</v>
      </c>
      <c r="B79">
        <f ca="1">TODAY()-_xlfn.MAXIFS(Clean_Data!$O:$O,Clean_Data!$A:$A,A79)</f>
        <v>605</v>
      </c>
      <c r="C79">
        <f>COUNTIF(Clean_Data!$A:$A,A79)</f>
        <v>2</v>
      </c>
      <c r="D79">
        <f>SUMIF(Clean_Data!$A:$A,A79,Clean_Data!$E:$E)</f>
        <v>5588.59</v>
      </c>
      <c r="E79">
        <f t="shared" ca="1" si="5"/>
        <v>3</v>
      </c>
      <c r="F79">
        <f t="shared" si="6"/>
        <v>1</v>
      </c>
      <c r="G79">
        <f t="shared" si="7"/>
        <v>3</v>
      </c>
      <c r="H79">
        <f t="shared" ca="1" si="8"/>
        <v>7</v>
      </c>
      <c r="I79" t="str">
        <f t="shared" ca="1" si="9"/>
        <v>Potential Loyalist</v>
      </c>
    </row>
    <row r="80" spans="1:9" x14ac:dyDescent="0.3">
      <c r="A80" t="s">
        <v>929</v>
      </c>
      <c r="B80">
        <f ca="1">TODAY()-_xlfn.MAXIFS(Clean_Data!$O:$O,Clean_Data!$A:$A,A80)</f>
        <v>693</v>
      </c>
      <c r="C80">
        <f>COUNTIF(Clean_Data!$A:$A,A80)</f>
        <v>6</v>
      </c>
      <c r="D80">
        <f>SUMIF(Clean_Data!$A:$A,A80,Clean_Data!$E:$E)</f>
        <v>11583.599999999999</v>
      </c>
      <c r="E80">
        <f t="shared" ca="1" si="5"/>
        <v>2</v>
      </c>
      <c r="F80">
        <f t="shared" si="6"/>
        <v>4</v>
      </c>
      <c r="G80">
        <f t="shared" si="7"/>
        <v>5</v>
      </c>
      <c r="H80">
        <f t="shared" ca="1" si="8"/>
        <v>11</v>
      </c>
      <c r="I80" t="str">
        <f t="shared" ca="1" si="9"/>
        <v>Loyal Customers</v>
      </c>
    </row>
    <row r="81" spans="1:9" x14ac:dyDescent="0.3">
      <c r="A81" t="s">
        <v>943</v>
      </c>
      <c r="B81">
        <f ca="1">TODAY()-_xlfn.MAXIFS(Clean_Data!$O:$O,Clean_Data!$A:$A,A81)</f>
        <v>1228</v>
      </c>
      <c r="C81">
        <f>COUNTIF(Clean_Data!$A:$A,A81)</f>
        <v>2</v>
      </c>
      <c r="D81">
        <f>SUMIF(Clean_Data!$A:$A,A81,Clean_Data!$E:$E)</f>
        <v>5392.97</v>
      </c>
      <c r="E81">
        <f t="shared" ca="1" si="5"/>
        <v>1</v>
      </c>
      <c r="F81">
        <f t="shared" si="6"/>
        <v>1</v>
      </c>
      <c r="G81">
        <f t="shared" si="7"/>
        <v>3</v>
      </c>
      <c r="H81">
        <f t="shared" ca="1" si="8"/>
        <v>5</v>
      </c>
      <c r="I81" t="str">
        <f t="shared" ca="1" si="9"/>
        <v>At Risk</v>
      </c>
    </row>
    <row r="82" spans="1:9" x14ac:dyDescent="0.3">
      <c r="A82" t="s">
        <v>948</v>
      </c>
      <c r="B82">
        <f ca="1">TODAY()-_xlfn.MAXIFS(Clean_Data!$O:$O,Clean_Data!$A:$A,A82)</f>
        <v>801</v>
      </c>
      <c r="C82">
        <f>COUNTIF(Clean_Data!$A:$A,A82)</f>
        <v>7</v>
      </c>
      <c r="D82">
        <f>SUMIF(Clean_Data!$A:$A,A82,Clean_Data!$E:$E)</f>
        <v>6459.8899999999994</v>
      </c>
      <c r="E82">
        <f t="shared" ca="1" si="5"/>
        <v>2</v>
      </c>
      <c r="F82">
        <f t="shared" si="6"/>
        <v>5</v>
      </c>
      <c r="G82">
        <f t="shared" si="7"/>
        <v>4</v>
      </c>
      <c r="H82">
        <f t="shared" ca="1" si="8"/>
        <v>11</v>
      </c>
      <c r="I82" t="str">
        <f t="shared" ca="1" si="9"/>
        <v>Loyal Customers</v>
      </c>
    </row>
    <row r="83" spans="1:9" x14ac:dyDescent="0.3">
      <c r="A83" t="s">
        <v>963</v>
      </c>
      <c r="B83">
        <f ca="1">TODAY()-_xlfn.MAXIFS(Clean_Data!$O:$O,Clean_Data!$A:$A,A83)</f>
        <v>799</v>
      </c>
      <c r="C83">
        <f>COUNTIF(Clean_Data!$A:$A,A83)</f>
        <v>2</v>
      </c>
      <c r="D83">
        <f>SUMIF(Clean_Data!$A:$A,A83,Clean_Data!$E:$E)</f>
        <v>1129.19</v>
      </c>
      <c r="E83">
        <f t="shared" ca="1" si="5"/>
        <v>2</v>
      </c>
      <c r="F83">
        <f t="shared" si="6"/>
        <v>1</v>
      </c>
      <c r="G83">
        <f t="shared" si="7"/>
        <v>1</v>
      </c>
      <c r="H83">
        <f t="shared" ca="1" si="8"/>
        <v>4</v>
      </c>
      <c r="I83" t="str">
        <f t="shared" ca="1" si="9"/>
        <v>At Risk</v>
      </c>
    </row>
    <row r="84" spans="1:9" x14ac:dyDescent="0.3">
      <c r="A84" t="s">
        <v>969</v>
      </c>
      <c r="B84">
        <f ca="1">TODAY()-_xlfn.MAXIFS(Clean_Data!$O:$O,Clean_Data!$A:$A,A84)</f>
        <v>762</v>
      </c>
      <c r="C84">
        <f>COUNTIF(Clean_Data!$A:$A,A84)</f>
        <v>3</v>
      </c>
      <c r="D84">
        <f>SUMIF(Clean_Data!$A:$A,A84,Clean_Data!$E:$E)</f>
        <v>1392.82</v>
      </c>
      <c r="E84">
        <f t="shared" ca="1" si="5"/>
        <v>2</v>
      </c>
      <c r="F84">
        <f t="shared" si="6"/>
        <v>2</v>
      </c>
      <c r="G84">
        <f t="shared" si="7"/>
        <v>1</v>
      </c>
      <c r="H84">
        <f t="shared" ca="1" si="8"/>
        <v>5</v>
      </c>
      <c r="I84" t="str">
        <f t="shared" ca="1" si="9"/>
        <v>At Risk</v>
      </c>
    </row>
    <row r="85" spans="1:9" x14ac:dyDescent="0.3">
      <c r="A85" t="s">
        <v>976</v>
      </c>
      <c r="B85">
        <f ca="1">TODAY()-_xlfn.MAXIFS(Clean_Data!$O:$O,Clean_Data!$A:$A,A85)</f>
        <v>510</v>
      </c>
      <c r="C85">
        <f>COUNTIF(Clean_Data!$A:$A,A85)</f>
        <v>4</v>
      </c>
      <c r="D85">
        <f>SUMIF(Clean_Data!$A:$A,A85,Clean_Data!$E:$E)</f>
        <v>6183.74</v>
      </c>
      <c r="E85">
        <f t="shared" ca="1" si="5"/>
        <v>5</v>
      </c>
      <c r="F85">
        <f t="shared" si="6"/>
        <v>3</v>
      </c>
      <c r="G85">
        <f t="shared" si="7"/>
        <v>3</v>
      </c>
      <c r="H85">
        <f t="shared" ca="1" si="8"/>
        <v>11</v>
      </c>
      <c r="I85" t="str">
        <f t="shared" ca="1" si="9"/>
        <v>Loyal Customers</v>
      </c>
    </row>
    <row r="86" spans="1:9" x14ac:dyDescent="0.3">
      <c r="A86" t="s">
        <v>985</v>
      </c>
      <c r="B86">
        <f ca="1">TODAY()-_xlfn.MAXIFS(Clean_Data!$O:$O,Clean_Data!$A:$A,A86)</f>
        <v>721</v>
      </c>
      <c r="C86">
        <f>COUNTIF(Clean_Data!$A:$A,A86)</f>
        <v>7</v>
      </c>
      <c r="D86">
        <f>SUMIF(Clean_Data!$A:$A,A86,Clean_Data!$E:$E)</f>
        <v>13439.130000000001</v>
      </c>
      <c r="E86">
        <f t="shared" ca="1" si="5"/>
        <v>2</v>
      </c>
      <c r="F86">
        <f t="shared" si="6"/>
        <v>5</v>
      </c>
      <c r="G86">
        <f t="shared" si="7"/>
        <v>5</v>
      </c>
      <c r="H86">
        <f t="shared" ca="1" si="8"/>
        <v>12</v>
      </c>
      <c r="I86" t="str">
        <f t="shared" ca="1" si="9"/>
        <v>Loyal Customers</v>
      </c>
    </row>
    <row r="87" spans="1:9" x14ac:dyDescent="0.3">
      <c r="A87" t="s">
        <v>1000</v>
      </c>
      <c r="B87">
        <f ca="1">TODAY()-_xlfn.MAXIFS(Clean_Data!$O:$O,Clean_Data!$A:$A,A87)</f>
        <v>521</v>
      </c>
      <c r="C87">
        <f>COUNTIF(Clean_Data!$A:$A,A87)</f>
        <v>6</v>
      </c>
      <c r="D87">
        <f>SUMIF(Clean_Data!$A:$A,A87,Clean_Data!$E:$E)</f>
        <v>6247.9400000000005</v>
      </c>
      <c r="E87">
        <f t="shared" ca="1" si="5"/>
        <v>5</v>
      </c>
      <c r="F87">
        <f t="shared" si="6"/>
        <v>4</v>
      </c>
      <c r="G87">
        <f t="shared" si="7"/>
        <v>4</v>
      </c>
      <c r="H87">
        <f t="shared" ca="1" si="8"/>
        <v>13</v>
      </c>
      <c r="I87" t="str">
        <f t="shared" ca="1" si="9"/>
        <v>Champions</v>
      </c>
    </row>
    <row r="88" spans="1:9" x14ac:dyDescent="0.3">
      <c r="A88" t="s">
        <v>1013</v>
      </c>
      <c r="B88">
        <f ca="1">TODAY()-_xlfn.MAXIFS(Clean_Data!$O:$O,Clean_Data!$A:$A,A88)</f>
        <v>621</v>
      </c>
      <c r="C88">
        <f>COUNTIF(Clean_Data!$A:$A,A88)</f>
        <v>1</v>
      </c>
      <c r="D88">
        <f>SUMIF(Clean_Data!$A:$A,A88,Clean_Data!$E:$E)</f>
        <v>360.83</v>
      </c>
      <c r="E88">
        <f t="shared" ca="1" si="5"/>
        <v>3</v>
      </c>
      <c r="F88">
        <f t="shared" si="6"/>
        <v>1</v>
      </c>
      <c r="G88">
        <f t="shared" si="7"/>
        <v>1</v>
      </c>
      <c r="H88">
        <f t="shared" ca="1" si="8"/>
        <v>5</v>
      </c>
      <c r="I88" t="str">
        <f t="shared" ca="1" si="9"/>
        <v>At Risk</v>
      </c>
    </row>
    <row r="89" spans="1:9" x14ac:dyDescent="0.3">
      <c r="A89" t="s">
        <v>1016</v>
      </c>
      <c r="B89">
        <f ca="1">TODAY()-_xlfn.MAXIFS(Clean_Data!$O:$O,Clean_Data!$A:$A,A89)</f>
        <v>600</v>
      </c>
      <c r="C89">
        <f>COUNTIF(Clean_Data!$A:$A,A89)</f>
        <v>5</v>
      </c>
      <c r="D89">
        <f>SUMIF(Clean_Data!$A:$A,A89,Clean_Data!$E:$E)</f>
        <v>6742.73</v>
      </c>
      <c r="E89">
        <f t="shared" ca="1" si="5"/>
        <v>4</v>
      </c>
      <c r="F89">
        <f t="shared" si="6"/>
        <v>3</v>
      </c>
      <c r="G89">
        <f t="shared" si="7"/>
        <v>4</v>
      </c>
      <c r="H89">
        <f t="shared" ca="1" si="8"/>
        <v>11</v>
      </c>
      <c r="I89" t="str">
        <f t="shared" ca="1" si="9"/>
        <v>Loyal Customers</v>
      </c>
    </row>
    <row r="90" spans="1:9" x14ac:dyDescent="0.3">
      <c r="A90" t="s">
        <v>1026</v>
      </c>
      <c r="B90">
        <f ca="1">TODAY()-_xlfn.MAXIFS(Clean_Data!$O:$O,Clean_Data!$A:$A,A90)</f>
        <v>648</v>
      </c>
      <c r="C90">
        <f>COUNTIF(Clean_Data!$A:$A,A90)</f>
        <v>5</v>
      </c>
      <c r="D90">
        <f>SUMIF(Clean_Data!$A:$A,A90,Clean_Data!$E:$E)</f>
        <v>6949.22</v>
      </c>
      <c r="E90">
        <f t="shared" ca="1" si="5"/>
        <v>3</v>
      </c>
      <c r="F90">
        <f t="shared" si="6"/>
        <v>3</v>
      </c>
      <c r="G90">
        <f t="shared" si="7"/>
        <v>4</v>
      </c>
      <c r="H90">
        <f t="shared" ca="1" si="8"/>
        <v>10</v>
      </c>
      <c r="I90" t="str">
        <f t="shared" ca="1" si="9"/>
        <v>Loyal Customers</v>
      </c>
    </row>
    <row r="91" spans="1:9" x14ac:dyDescent="0.3">
      <c r="A91" t="s">
        <v>1037</v>
      </c>
      <c r="B91">
        <f ca="1">TODAY()-_xlfn.MAXIFS(Clean_Data!$O:$O,Clean_Data!$A:$A,A91)</f>
        <v>892</v>
      </c>
      <c r="C91">
        <f>COUNTIF(Clean_Data!$A:$A,A91)</f>
        <v>6</v>
      </c>
      <c r="D91">
        <f>SUMIF(Clean_Data!$A:$A,A91,Clean_Data!$E:$E)</f>
        <v>8553.76</v>
      </c>
      <c r="E91">
        <f t="shared" ca="1" si="5"/>
        <v>1</v>
      </c>
      <c r="F91">
        <f t="shared" si="6"/>
        <v>4</v>
      </c>
      <c r="G91">
        <f t="shared" si="7"/>
        <v>5</v>
      </c>
      <c r="H91">
        <f t="shared" ca="1" si="8"/>
        <v>10</v>
      </c>
      <c r="I91" t="str">
        <f t="shared" ca="1" si="9"/>
        <v>Loyal Customers</v>
      </c>
    </row>
    <row r="92" spans="1:9" x14ac:dyDescent="0.3">
      <c r="A92" t="s">
        <v>1050</v>
      </c>
      <c r="B92">
        <f ca="1">TODAY()-_xlfn.MAXIFS(Clean_Data!$O:$O,Clean_Data!$A:$A,A92)</f>
        <v>524</v>
      </c>
      <c r="C92">
        <f>COUNTIF(Clean_Data!$A:$A,A92)</f>
        <v>7</v>
      </c>
      <c r="D92">
        <f>SUMIF(Clean_Data!$A:$A,A92,Clean_Data!$E:$E)</f>
        <v>7886.39</v>
      </c>
      <c r="E92">
        <f t="shared" ca="1" si="5"/>
        <v>5</v>
      </c>
      <c r="F92">
        <f t="shared" si="6"/>
        <v>5</v>
      </c>
      <c r="G92">
        <f t="shared" si="7"/>
        <v>5</v>
      </c>
      <c r="H92">
        <f t="shared" ca="1" si="8"/>
        <v>15</v>
      </c>
      <c r="I92" t="str">
        <f t="shared" ca="1" si="9"/>
        <v>Champions</v>
      </c>
    </row>
    <row r="93" spans="1:9" x14ac:dyDescent="0.3">
      <c r="A93" t="s">
        <v>1064</v>
      </c>
      <c r="B93">
        <f ca="1">TODAY()-_xlfn.MAXIFS(Clean_Data!$O:$O,Clean_Data!$A:$A,A93)</f>
        <v>640</v>
      </c>
      <c r="C93">
        <f>COUNTIF(Clean_Data!$A:$A,A93)</f>
        <v>5</v>
      </c>
      <c r="D93">
        <f>SUMIF(Clean_Data!$A:$A,A93,Clean_Data!$E:$E)</f>
        <v>9124.8599999999988</v>
      </c>
      <c r="E93">
        <f t="shared" ca="1" si="5"/>
        <v>3</v>
      </c>
      <c r="F93">
        <f t="shared" si="6"/>
        <v>3</v>
      </c>
      <c r="G93">
        <f t="shared" si="7"/>
        <v>5</v>
      </c>
      <c r="H93">
        <f t="shared" ca="1" si="8"/>
        <v>11</v>
      </c>
      <c r="I93" t="str">
        <f t="shared" ca="1" si="9"/>
        <v>Loyal Customers</v>
      </c>
    </row>
    <row r="94" spans="1:9" x14ac:dyDescent="0.3">
      <c r="A94" t="s">
        <v>1075</v>
      </c>
      <c r="B94">
        <f ca="1">TODAY()-_xlfn.MAXIFS(Clean_Data!$O:$O,Clean_Data!$A:$A,A94)</f>
        <v>500</v>
      </c>
      <c r="C94">
        <f>COUNTIF(Clean_Data!$A:$A,A94)</f>
        <v>5</v>
      </c>
      <c r="D94">
        <f>SUMIF(Clean_Data!$A:$A,A94,Clean_Data!$E:$E)</f>
        <v>6311.32</v>
      </c>
      <c r="E94">
        <f t="shared" ca="1" si="5"/>
        <v>5</v>
      </c>
      <c r="F94">
        <f t="shared" si="6"/>
        <v>3</v>
      </c>
      <c r="G94">
        <f t="shared" si="7"/>
        <v>4</v>
      </c>
      <c r="H94">
        <f t="shared" ca="1" si="8"/>
        <v>12</v>
      </c>
      <c r="I94" t="str">
        <f t="shared" ca="1" si="9"/>
        <v>Loyal Customers</v>
      </c>
    </row>
    <row r="95" spans="1:9" x14ac:dyDescent="0.3">
      <c r="A95" t="s">
        <v>1086</v>
      </c>
      <c r="B95">
        <f ca="1">TODAY()-_xlfn.MAXIFS(Clean_Data!$O:$O,Clean_Data!$A:$A,A95)</f>
        <v>847</v>
      </c>
      <c r="C95">
        <f>COUNTIF(Clean_Data!$A:$A,A95)</f>
        <v>2</v>
      </c>
      <c r="D95">
        <f>SUMIF(Clean_Data!$A:$A,A95,Clean_Data!$E:$E)</f>
        <v>2578.87</v>
      </c>
      <c r="E95">
        <f t="shared" ca="1" si="5"/>
        <v>1</v>
      </c>
      <c r="F95">
        <f t="shared" si="6"/>
        <v>1</v>
      </c>
      <c r="G95">
        <f t="shared" si="7"/>
        <v>2</v>
      </c>
      <c r="H95">
        <f t="shared" ca="1" si="8"/>
        <v>4</v>
      </c>
      <c r="I95" t="str">
        <f t="shared" ca="1" si="9"/>
        <v>At Risk</v>
      </c>
    </row>
    <row r="96" spans="1:9" x14ac:dyDescent="0.3">
      <c r="A96" t="s">
        <v>1091</v>
      </c>
      <c r="B96">
        <f ca="1">TODAY()-_xlfn.MAXIFS(Clean_Data!$O:$O,Clean_Data!$A:$A,A96)</f>
        <v>642</v>
      </c>
      <c r="C96">
        <f>COUNTIF(Clean_Data!$A:$A,A96)</f>
        <v>6</v>
      </c>
      <c r="D96">
        <f>SUMIF(Clean_Data!$A:$A,A96,Clean_Data!$E:$E)</f>
        <v>8732.619999999999</v>
      </c>
      <c r="E96">
        <f t="shared" ca="1" si="5"/>
        <v>3</v>
      </c>
      <c r="F96">
        <f t="shared" si="6"/>
        <v>4</v>
      </c>
      <c r="G96">
        <f t="shared" si="7"/>
        <v>5</v>
      </c>
      <c r="H96">
        <f t="shared" ca="1" si="8"/>
        <v>12</v>
      </c>
      <c r="I96" t="str">
        <f t="shared" ca="1" si="9"/>
        <v>Loyal Customers</v>
      </c>
    </row>
    <row r="97" spans="1:9" x14ac:dyDescent="0.3">
      <c r="A97" t="s">
        <v>1104</v>
      </c>
      <c r="B97">
        <f ca="1">TODAY()-_xlfn.MAXIFS(Clean_Data!$O:$O,Clean_Data!$A:$A,A97)</f>
        <v>1158</v>
      </c>
      <c r="C97">
        <f>COUNTIF(Clean_Data!$A:$A,A97)</f>
        <v>2</v>
      </c>
      <c r="D97">
        <f>SUMIF(Clean_Data!$A:$A,A97,Clean_Data!$E:$E)</f>
        <v>3057.3</v>
      </c>
      <c r="E97">
        <f t="shared" ca="1" si="5"/>
        <v>1</v>
      </c>
      <c r="F97">
        <f t="shared" si="6"/>
        <v>1</v>
      </c>
      <c r="G97">
        <f t="shared" si="7"/>
        <v>2</v>
      </c>
      <c r="H97">
        <f t="shared" ca="1" si="8"/>
        <v>4</v>
      </c>
      <c r="I97" t="str">
        <f t="shared" ca="1" si="9"/>
        <v>At Risk</v>
      </c>
    </row>
    <row r="98" spans="1:9" x14ac:dyDescent="0.3">
      <c r="A98" t="s">
        <v>1109</v>
      </c>
      <c r="B98">
        <f ca="1">TODAY()-_xlfn.MAXIFS(Clean_Data!$O:$O,Clean_Data!$A:$A,A98)</f>
        <v>629</v>
      </c>
      <c r="C98">
        <f>COUNTIF(Clean_Data!$A:$A,A98)</f>
        <v>4</v>
      </c>
      <c r="D98">
        <f>SUMIF(Clean_Data!$A:$A,A98,Clean_Data!$E:$E)</f>
        <v>4867.6400000000003</v>
      </c>
      <c r="E98">
        <f t="shared" ca="1" si="5"/>
        <v>3</v>
      </c>
      <c r="F98">
        <f t="shared" si="6"/>
        <v>3</v>
      </c>
      <c r="G98">
        <f t="shared" si="7"/>
        <v>3</v>
      </c>
      <c r="H98">
        <f t="shared" ca="1" si="8"/>
        <v>9</v>
      </c>
      <c r="I98" t="str">
        <f t="shared" ca="1" si="9"/>
        <v>Potential Loyalist</v>
      </c>
    </row>
    <row r="99" spans="1:9" x14ac:dyDescent="0.3">
      <c r="A99" t="s">
        <v>1119</v>
      </c>
      <c r="B99">
        <f ca="1">TODAY()-_xlfn.MAXIFS(Clean_Data!$O:$O,Clean_Data!$A:$A,A99)</f>
        <v>1058</v>
      </c>
      <c r="C99">
        <f>COUNTIF(Clean_Data!$A:$A,A99)</f>
        <v>1</v>
      </c>
      <c r="D99">
        <f>SUMIF(Clean_Data!$A:$A,A99,Clean_Data!$E:$E)</f>
        <v>1094.46</v>
      </c>
      <c r="E99">
        <f t="shared" ca="1" si="5"/>
        <v>1</v>
      </c>
      <c r="F99">
        <f t="shared" si="6"/>
        <v>1</v>
      </c>
      <c r="G99">
        <f t="shared" si="7"/>
        <v>1</v>
      </c>
      <c r="H99">
        <f t="shared" ca="1" si="8"/>
        <v>3</v>
      </c>
      <c r="I99" t="str">
        <f t="shared" ca="1" si="9"/>
        <v>Lost</v>
      </c>
    </row>
    <row r="100" spans="1:9" x14ac:dyDescent="0.3">
      <c r="A100" t="s">
        <v>1122</v>
      </c>
      <c r="B100">
        <f ca="1">TODAY()-_xlfn.MAXIFS(Clean_Data!$O:$O,Clean_Data!$A:$A,A100)</f>
        <v>763</v>
      </c>
      <c r="C100">
        <f>COUNTIF(Clean_Data!$A:$A,A100)</f>
        <v>5</v>
      </c>
      <c r="D100">
        <f>SUMIF(Clean_Data!$A:$A,A100,Clean_Data!$E:$E)</f>
        <v>5520.7499999999991</v>
      </c>
      <c r="E100">
        <f t="shared" ca="1" si="5"/>
        <v>2</v>
      </c>
      <c r="F100">
        <f t="shared" si="6"/>
        <v>3</v>
      </c>
      <c r="G100">
        <f t="shared" si="7"/>
        <v>3</v>
      </c>
      <c r="H100">
        <f t="shared" ca="1" si="8"/>
        <v>8</v>
      </c>
      <c r="I100" t="str">
        <f t="shared" ca="1" si="9"/>
        <v>Potential Loyalist</v>
      </c>
    </row>
    <row r="101" spans="1:9" x14ac:dyDescent="0.3">
      <c r="A101" t="s">
        <v>1133</v>
      </c>
      <c r="B101">
        <f ca="1">TODAY()-_xlfn.MAXIFS(Clean_Data!$O:$O,Clean_Data!$A:$A,A101)</f>
        <v>963</v>
      </c>
      <c r="C101">
        <f>COUNTIF(Clean_Data!$A:$A,A101)</f>
        <v>1</v>
      </c>
      <c r="D101">
        <f>SUMIF(Clean_Data!$A:$A,A101,Clean_Data!$E:$E)</f>
        <v>1331.61</v>
      </c>
      <c r="E101">
        <f t="shared" ca="1" si="5"/>
        <v>1</v>
      </c>
      <c r="F101">
        <f t="shared" si="6"/>
        <v>1</v>
      </c>
      <c r="G101">
        <f t="shared" si="7"/>
        <v>1</v>
      </c>
      <c r="H101">
        <f t="shared" ca="1" si="8"/>
        <v>3</v>
      </c>
      <c r="I101" t="str">
        <f t="shared" ca="1" si="9"/>
        <v>Lost</v>
      </c>
    </row>
    <row r="102" spans="1:9" x14ac:dyDescent="0.3">
      <c r="A102" t="s">
        <v>1136</v>
      </c>
      <c r="B102">
        <f ca="1">TODAY()-_xlfn.MAXIFS(Clean_Data!$O:$O,Clean_Data!$A:$A,A102)</f>
        <v>603</v>
      </c>
      <c r="C102">
        <f>COUNTIF(Clean_Data!$A:$A,A102)</f>
        <v>4</v>
      </c>
      <c r="D102">
        <f>SUMIF(Clean_Data!$A:$A,A102,Clean_Data!$E:$E)</f>
        <v>6295.42</v>
      </c>
      <c r="E102">
        <f t="shared" ca="1" si="5"/>
        <v>4</v>
      </c>
      <c r="F102">
        <f t="shared" si="6"/>
        <v>3</v>
      </c>
      <c r="G102">
        <f t="shared" si="7"/>
        <v>4</v>
      </c>
      <c r="H102">
        <f t="shared" ca="1" si="8"/>
        <v>11</v>
      </c>
      <c r="I102" t="str">
        <f t="shared" ca="1" si="9"/>
        <v>Loyal Customers</v>
      </c>
    </row>
    <row r="103" spans="1:9" x14ac:dyDescent="0.3">
      <c r="A103" t="s">
        <v>1145</v>
      </c>
      <c r="B103">
        <f ca="1">TODAY()-_xlfn.MAXIFS(Clean_Data!$O:$O,Clean_Data!$A:$A,A103)</f>
        <v>1365</v>
      </c>
      <c r="C103">
        <f>COUNTIF(Clean_Data!$A:$A,A103)</f>
        <v>1</v>
      </c>
      <c r="D103">
        <f>SUMIF(Clean_Data!$A:$A,A103,Clean_Data!$E:$E)</f>
        <v>1534.4</v>
      </c>
      <c r="E103">
        <f t="shared" ca="1" si="5"/>
        <v>1</v>
      </c>
      <c r="F103">
        <f t="shared" si="6"/>
        <v>1</v>
      </c>
      <c r="G103">
        <f t="shared" si="7"/>
        <v>1</v>
      </c>
      <c r="H103">
        <f t="shared" ca="1" si="8"/>
        <v>3</v>
      </c>
      <c r="I103" t="str">
        <f t="shared" ca="1" si="9"/>
        <v>Lost</v>
      </c>
    </row>
    <row r="104" spans="1:9" x14ac:dyDescent="0.3">
      <c r="A104" t="s">
        <v>1148</v>
      </c>
      <c r="B104">
        <f ca="1">TODAY()-_xlfn.MAXIFS(Clean_Data!$O:$O,Clean_Data!$A:$A,A104)</f>
        <v>580</v>
      </c>
      <c r="C104">
        <f>COUNTIF(Clean_Data!$A:$A,A104)</f>
        <v>4</v>
      </c>
      <c r="D104">
        <f>SUMIF(Clean_Data!$A:$A,A104,Clean_Data!$E:$E)</f>
        <v>8250.19</v>
      </c>
      <c r="E104">
        <f t="shared" ca="1" si="5"/>
        <v>4</v>
      </c>
      <c r="F104">
        <f t="shared" si="6"/>
        <v>3</v>
      </c>
      <c r="G104">
        <f t="shared" si="7"/>
        <v>5</v>
      </c>
      <c r="H104">
        <f t="shared" ca="1" si="8"/>
        <v>12</v>
      </c>
      <c r="I104" t="str">
        <f t="shared" ca="1" si="9"/>
        <v>Loyal Customers</v>
      </c>
    </row>
    <row r="105" spans="1:9" x14ac:dyDescent="0.3">
      <c r="A105" t="s">
        <v>1156</v>
      </c>
      <c r="B105">
        <f ca="1">TODAY()-_xlfn.MAXIFS(Clean_Data!$O:$O,Clean_Data!$A:$A,A105)</f>
        <v>504</v>
      </c>
      <c r="C105">
        <f>COUNTIF(Clean_Data!$A:$A,A105)</f>
        <v>4</v>
      </c>
      <c r="D105">
        <f>SUMIF(Clean_Data!$A:$A,A105,Clean_Data!$E:$E)</f>
        <v>6445.0599999999995</v>
      </c>
      <c r="E105">
        <f t="shared" ca="1" si="5"/>
        <v>5</v>
      </c>
      <c r="F105">
        <f t="shared" si="6"/>
        <v>3</v>
      </c>
      <c r="G105">
        <f t="shared" si="7"/>
        <v>4</v>
      </c>
      <c r="H105">
        <f t="shared" ca="1" si="8"/>
        <v>12</v>
      </c>
      <c r="I105" t="str">
        <f t="shared" ca="1" si="9"/>
        <v>Loyal Customers</v>
      </c>
    </row>
    <row r="106" spans="1:9" x14ac:dyDescent="0.3">
      <c r="A106" t="s">
        <v>1166</v>
      </c>
      <c r="B106">
        <f ca="1">TODAY()-_xlfn.MAXIFS(Clean_Data!$O:$O,Clean_Data!$A:$A,A106)</f>
        <v>497</v>
      </c>
      <c r="C106">
        <f>COUNTIF(Clean_Data!$A:$A,A106)</f>
        <v>5</v>
      </c>
      <c r="D106">
        <f>SUMIF(Clean_Data!$A:$A,A106,Clean_Data!$E:$E)</f>
        <v>7787.03</v>
      </c>
      <c r="E106">
        <f t="shared" ca="1" si="5"/>
        <v>5</v>
      </c>
      <c r="F106">
        <f t="shared" si="6"/>
        <v>3</v>
      </c>
      <c r="G106">
        <f t="shared" si="7"/>
        <v>5</v>
      </c>
      <c r="H106">
        <f t="shared" ca="1" si="8"/>
        <v>13</v>
      </c>
      <c r="I106" t="str">
        <f t="shared" ca="1" si="9"/>
        <v>Champions</v>
      </c>
    </row>
    <row r="107" spans="1:9" x14ac:dyDescent="0.3">
      <c r="A107" t="s">
        <v>1177</v>
      </c>
      <c r="B107">
        <f ca="1">TODAY()-_xlfn.MAXIFS(Clean_Data!$O:$O,Clean_Data!$A:$A,A107)</f>
        <v>561</v>
      </c>
      <c r="C107">
        <f>COUNTIF(Clean_Data!$A:$A,A107)</f>
        <v>6</v>
      </c>
      <c r="D107">
        <f>SUMIF(Clean_Data!$A:$A,A107,Clean_Data!$E:$E)</f>
        <v>7235.67</v>
      </c>
      <c r="E107">
        <f t="shared" ca="1" si="5"/>
        <v>4</v>
      </c>
      <c r="F107">
        <f t="shared" si="6"/>
        <v>4</v>
      </c>
      <c r="G107">
        <f t="shared" si="7"/>
        <v>4</v>
      </c>
      <c r="H107">
        <f t="shared" ca="1" si="8"/>
        <v>12</v>
      </c>
      <c r="I107" t="str">
        <f t="shared" ca="1" si="9"/>
        <v>Loyal Customers</v>
      </c>
    </row>
    <row r="108" spans="1:9" x14ac:dyDescent="0.3">
      <c r="A108" t="s">
        <v>1190</v>
      </c>
      <c r="B108">
        <f ca="1">TODAY()-_xlfn.MAXIFS(Clean_Data!$O:$O,Clean_Data!$A:$A,A108)</f>
        <v>548</v>
      </c>
      <c r="C108">
        <f>COUNTIF(Clean_Data!$A:$A,A108)</f>
        <v>4</v>
      </c>
      <c r="D108">
        <f>SUMIF(Clean_Data!$A:$A,A108,Clean_Data!$E:$E)</f>
        <v>5652.73</v>
      </c>
      <c r="E108">
        <f t="shared" ca="1" si="5"/>
        <v>4</v>
      </c>
      <c r="F108">
        <f t="shared" si="6"/>
        <v>3</v>
      </c>
      <c r="G108">
        <f t="shared" si="7"/>
        <v>3</v>
      </c>
      <c r="H108">
        <f t="shared" ca="1" si="8"/>
        <v>10</v>
      </c>
      <c r="I108" t="str">
        <f t="shared" ca="1" si="9"/>
        <v>Loyal Customers</v>
      </c>
    </row>
    <row r="109" spans="1:9" x14ac:dyDescent="0.3">
      <c r="A109" t="s">
        <v>1200</v>
      </c>
      <c r="B109">
        <f ca="1">TODAY()-_xlfn.MAXIFS(Clean_Data!$O:$O,Clean_Data!$A:$A,A109)</f>
        <v>503</v>
      </c>
      <c r="C109">
        <f>COUNTIF(Clean_Data!$A:$A,A109)</f>
        <v>6</v>
      </c>
      <c r="D109">
        <f>SUMIF(Clean_Data!$A:$A,A109,Clean_Data!$E:$E)</f>
        <v>12328.689999999999</v>
      </c>
      <c r="E109">
        <f t="shared" ca="1" si="5"/>
        <v>5</v>
      </c>
      <c r="F109">
        <f t="shared" si="6"/>
        <v>4</v>
      </c>
      <c r="G109">
        <f t="shared" si="7"/>
        <v>5</v>
      </c>
      <c r="H109">
        <f t="shared" ca="1" si="8"/>
        <v>14</v>
      </c>
      <c r="I109" t="str">
        <f t="shared" ca="1" si="9"/>
        <v>Champions</v>
      </c>
    </row>
    <row r="110" spans="1:9" x14ac:dyDescent="0.3">
      <c r="A110" t="s">
        <v>1213</v>
      </c>
      <c r="B110">
        <f ca="1">TODAY()-_xlfn.MAXIFS(Clean_Data!$O:$O,Clean_Data!$A:$A,A110)</f>
        <v>630</v>
      </c>
      <c r="C110">
        <f>COUNTIF(Clean_Data!$A:$A,A110)</f>
        <v>6</v>
      </c>
      <c r="D110">
        <f>SUMIF(Clean_Data!$A:$A,A110,Clean_Data!$E:$E)</f>
        <v>11306.31</v>
      </c>
      <c r="E110">
        <f t="shared" ca="1" si="5"/>
        <v>3</v>
      </c>
      <c r="F110">
        <f t="shared" si="6"/>
        <v>4</v>
      </c>
      <c r="G110">
        <f t="shared" si="7"/>
        <v>5</v>
      </c>
      <c r="H110">
        <f t="shared" ca="1" si="8"/>
        <v>12</v>
      </c>
      <c r="I110" t="str">
        <f t="shared" ca="1" si="9"/>
        <v>Loyal Customers</v>
      </c>
    </row>
    <row r="111" spans="1:9" x14ac:dyDescent="0.3">
      <c r="A111" t="s">
        <v>1226</v>
      </c>
      <c r="B111">
        <f ca="1">TODAY()-_xlfn.MAXIFS(Clean_Data!$O:$O,Clean_Data!$A:$A,A111)</f>
        <v>527</v>
      </c>
      <c r="C111">
        <f>COUNTIF(Clean_Data!$A:$A,A111)</f>
        <v>4</v>
      </c>
      <c r="D111">
        <f>SUMIF(Clean_Data!$A:$A,A111,Clean_Data!$E:$E)</f>
        <v>6940.92</v>
      </c>
      <c r="E111">
        <f t="shared" ca="1" si="5"/>
        <v>5</v>
      </c>
      <c r="F111">
        <f t="shared" si="6"/>
        <v>3</v>
      </c>
      <c r="G111">
        <f t="shared" si="7"/>
        <v>4</v>
      </c>
      <c r="H111">
        <f t="shared" ca="1" si="8"/>
        <v>12</v>
      </c>
      <c r="I111" t="str">
        <f t="shared" ca="1" si="9"/>
        <v>Loyal Customers</v>
      </c>
    </row>
    <row r="112" spans="1:9" x14ac:dyDescent="0.3">
      <c r="A112" t="s">
        <v>1234</v>
      </c>
      <c r="B112">
        <f ca="1">TODAY()-_xlfn.MAXIFS(Clean_Data!$O:$O,Clean_Data!$A:$A,A112)</f>
        <v>683</v>
      </c>
      <c r="C112">
        <f>COUNTIF(Clean_Data!$A:$A,A112)</f>
        <v>3</v>
      </c>
      <c r="D112">
        <f>SUMIF(Clean_Data!$A:$A,A112,Clean_Data!$E:$E)</f>
        <v>1250.0899999999999</v>
      </c>
      <c r="E112">
        <f t="shared" ca="1" si="5"/>
        <v>3</v>
      </c>
      <c r="F112">
        <f t="shared" si="6"/>
        <v>2</v>
      </c>
      <c r="G112">
        <f t="shared" si="7"/>
        <v>1</v>
      </c>
      <c r="H112">
        <f t="shared" ca="1" si="8"/>
        <v>6</v>
      </c>
      <c r="I112" t="str">
        <f t="shared" ca="1" si="9"/>
        <v>At Risk</v>
      </c>
    </row>
    <row r="113" spans="1:9" x14ac:dyDescent="0.3">
      <c r="A113" t="s">
        <v>1241</v>
      </c>
      <c r="B113">
        <f ca="1">TODAY()-_xlfn.MAXIFS(Clean_Data!$O:$O,Clean_Data!$A:$A,A113)</f>
        <v>713</v>
      </c>
      <c r="C113">
        <f>COUNTIF(Clean_Data!$A:$A,A113)</f>
        <v>3</v>
      </c>
      <c r="D113">
        <f>SUMIF(Clean_Data!$A:$A,A113,Clean_Data!$E:$E)</f>
        <v>5603.130000000001</v>
      </c>
      <c r="E113">
        <f t="shared" ca="1" si="5"/>
        <v>2</v>
      </c>
      <c r="F113">
        <f t="shared" si="6"/>
        <v>2</v>
      </c>
      <c r="G113">
        <f t="shared" si="7"/>
        <v>3</v>
      </c>
      <c r="H113">
        <f t="shared" ca="1" si="8"/>
        <v>7</v>
      </c>
      <c r="I113" t="str">
        <f t="shared" ca="1" si="9"/>
        <v>Potential Loyalist</v>
      </c>
    </row>
    <row r="114" spans="1:9" x14ac:dyDescent="0.3">
      <c r="A114" t="s">
        <v>1248</v>
      </c>
      <c r="B114">
        <f ca="1">TODAY()-_xlfn.MAXIFS(Clean_Data!$O:$O,Clean_Data!$A:$A,A114)</f>
        <v>804</v>
      </c>
      <c r="C114">
        <f>COUNTIF(Clean_Data!$A:$A,A114)</f>
        <v>5</v>
      </c>
      <c r="D114">
        <f>SUMIF(Clean_Data!$A:$A,A114,Clean_Data!$E:$E)</f>
        <v>1569.52</v>
      </c>
      <c r="E114">
        <f t="shared" ca="1" si="5"/>
        <v>2</v>
      </c>
      <c r="F114">
        <f t="shared" si="6"/>
        <v>3</v>
      </c>
      <c r="G114">
        <f t="shared" si="7"/>
        <v>1</v>
      </c>
      <c r="H114">
        <f t="shared" ca="1" si="8"/>
        <v>6</v>
      </c>
      <c r="I114" t="str">
        <f t="shared" ca="1" si="9"/>
        <v>At Risk</v>
      </c>
    </row>
    <row r="115" spans="1:9" x14ac:dyDescent="0.3">
      <c r="A115" t="s">
        <v>1260</v>
      </c>
      <c r="B115">
        <f ca="1">TODAY()-_xlfn.MAXIFS(Clean_Data!$O:$O,Clean_Data!$A:$A,A115)</f>
        <v>742</v>
      </c>
      <c r="C115">
        <f>COUNTIF(Clean_Data!$A:$A,A115)</f>
        <v>1</v>
      </c>
      <c r="D115">
        <f>SUMIF(Clean_Data!$A:$A,A115,Clean_Data!$E:$E)</f>
        <v>95.78</v>
      </c>
      <c r="E115">
        <f t="shared" ca="1" si="5"/>
        <v>2</v>
      </c>
      <c r="F115">
        <f t="shared" si="6"/>
        <v>1</v>
      </c>
      <c r="G115">
        <f t="shared" si="7"/>
        <v>1</v>
      </c>
      <c r="H115">
        <f t="shared" ca="1" si="8"/>
        <v>4</v>
      </c>
      <c r="I115" t="str">
        <f t="shared" ca="1" si="9"/>
        <v>At Risk</v>
      </c>
    </row>
    <row r="116" spans="1:9" x14ac:dyDescent="0.3">
      <c r="A116" t="s">
        <v>1263</v>
      </c>
      <c r="B116">
        <f ca="1">TODAY()-_xlfn.MAXIFS(Clean_Data!$O:$O,Clean_Data!$A:$A,A116)</f>
        <v>535</v>
      </c>
      <c r="C116">
        <f>COUNTIF(Clean_Data!$A:$A,A116)</f>
        <v>4</v>
      </c>
      <c r="D116">
        <f>SUMIF(Clean_Data!$A:$A,A116,Clean_Data!$E:$E)</f>
        <v>1746.72</v>
      </c>
      <c r="E116">
        <f t="shared" ca="1" si="5"/>
        <v>4</v>
      </c>
      <c r="F116">
        <f t="shared" si="6"/>
        <v>3</v>
      </c>
      <c r="G116">
        <f t="shared" si="7"/>
        <v>1</v>
      </c>
      <c r="H116">
        <f t="shared" ca="1" si="8"/>
        <v>8</v>
      </c>
      <c r="I116" t="str">
        <f t="shared" ca="1" si="9"/>
        <v>Potential Loyalist</v>
      </c>
    </row>
    <row r="117" spans="1:9" x14ac:dyDescent="0.3">
      <c r="A117" t="s">
        <v>1272</v>
      </c>
      <c r="B117">
        <f ca="1">TODAY()-_xlfn.MAXIFS(Clean_Data!$O:$O,Clean_Data!$A:$A,A117)</f>
        <v>634</v>
      </c>
      <c r="C117">
        <f>COUNTIF(Clean_Data!$A:$A,A117)</f>
        <v>6</v>
      </c>
      <c r="D117">
        <f>SUMIF(Clean_Data!$A:$A,A117,Clean_Data!$E:$E)</f>
        <v>8052.77</v>
      </c>
      <c r="E117">
        <f t="shared" ca="1" si="5"/>
        <v>3</v>
      </c>
      <c r="F117">
        <f t="shared" si="6"/>
        <v>4</v>
      </c>
      <c r="G117">
        <f t="shared" si="7"/>
        <v>5</v>
      </c>
      <c r="H117">
        <f t="shared" ca="1" si="8"/>
        <v>12</v>
      </c>
      <c r="I117" t="str">
        <f t="shared" ca="1" si="9"/>
        <v>Loyal Customers</v>
      </c>
    </row>
    <row r="118" spans="1:9" x14ac:dyDescent="0.3">
      <c r="A118" t="s">
        <v>1285</v>
      </c>
      <c r="B118">
        <f ca="1">TODAY()-_xlfn.MAXIFS(Clean_Data!$O:$O,Clean_Data!$A:$A,A118)</f>
        <v>1106</v>
      </c>
      <c r="C118">
        <f>COUNTIF(Clean_Data!$A:$A,A118)</f>
        <v>4</v>
      </c>
      <c r="D118">
        <f>SUMIF(Clean_Data!$A:$A,A118,Clean_Data!$E:$E)</f>
        <v>5271.28</v>
      </c>
      <c r="E118">
        <f t="shared" ca="1" si="5"/>
        <v>1</v>
      </c>
      <c r="F118">
        <f t="shared" si="6"/>
        <v>3</v>
      </c>
      <c r="G118">
        <f t="shared" si="7"/>
        <v>3</v>
      </c>
      <c r="H118">
        <f t="shared" ca="1" si="8"/>
        <v>7</v>
      </c>
      <c r="I118" t="str">
        <f t="shared" ca="1" si="9"/>
        <v>Potential Loyalist</v>
      </c>
    </row>
    <row r="119" spans="1:9" x14ac:dyDescent="0.3">
      <c r="A119" t="s">
        <v>1294</v>
      </c>
      <c r="B119">
        <f ca="1">TODAY()-_xlfn.MAXIFS(Clean_Data!$O:$O,Clean_Data!$A:$A,A119)</f>
        <v>478</v>
      </c>
      <c r="C119">
        <f>COUNTIF(Clean_Data!$A:$A,A119)</f>
        <v>6</v>
      </c>
      <c r="D119">
        <f>SUMIF(Clean_Data!$A:$A,A119,Clean_Data!$E:$E)</f>
        <v>7471.6</v>
      </c>
      <c r="E119">
        <f t="shared" ca="1" si="5"/>
        <v>5</v>
      </c>
      <c r="F119">
        <f t="shared" si="6"/>
        <v>4</v>
      </c>
      <c r="G119">
        <f t="shared" si="7"/>
        <v>4</v>
      </c>
      <c r="H119">
        <f t="shared" ca="1" si="8"/>
        <v>13</v>
      </c>
      <c r="I119" t="str">
        <f t="shared" ca="1" si="9"/>
        <v>Champions</v>
      </c>
    </row>
    <row r="120" spans="1:9" x14ac:dyDescent="0.3">
      <c r="A120" t="s">
        <v>1307</v>
      </c>
      <c r="B120">
        <f ca="1">TODAY()-_xlfn.MAXIFS(Clean_Data!$O:$O,Clean_Data!$A:$A,A120)</f>
        <v>640</v>
      </c>
      <c r="C120">
        <f>COUNTIF(Clean_Data!$A:$A,A120)</f>
        <v>4</v>
      </c>
      <c r="D120">
        <f>SUMIF(Clean_Data!$A:$A,A120,Clean_Data!$E:$E)</f>
        <v>3078.42</v>
      </c>
      <c r="E120">
        <f t="shared" ca="1" si="5"/>
        <v>3</v>
      </c>
      <c r="F120">
        <f t="shared" si="6"/>
        <v>3</v>
      </c>
      <c r="G120">
        <f t="shared" si="7"/>
        <v>2</v>
      </c>
      <c r="H120">
        <f t="shared" ca="1" si="8"/>
        <v>8</v>
      </c>
      <c r="I120" t="str">
        <f t="shared" ca="1" si="9"/>
        <v>Potential Loyalist</v>
      </c>
    </row>
    <row r="121" spans="1:9" x14ac:dyDescent="0.3">
      <c r="A121" t="s">
        <v>1317</v>
      </c>
      <c r="B121">
        <f ca="1">TODAY()-_xlfn.MAXIFS(Clean_Data!$O:$O,Clean_Data!$A:$A,A121)</f>
        <v>913</v>
      </c>
      <c r="C121">
        <f>COUNTIF(Clean_Data!$A:$A,A121)</f>
        <v>2</v>
      </c>
      <c r="D121">
        <f>SUMIF(Clean_Data!$A:$A,A121,Clean_Data!$E:$E)</f>
        <v>2955.5199999999995</v>
      </c>
      <c r="E121">
        <f t="shared" ca="1" si="5"/>
        <v>1</v>
      </c>
      <c r="F121">
        <f t="shared" si="6"/>
        <v>1</v>
      </c>
      <c r="G121">
        <f t="shared" si="7"/>
        <v>2</v>
      </c>
      <c r="H121">
        <f t="shared" ca="1" si="8"/>
        <v>4</v>
      </c>
      <c r="I121" t="str">
        <f t="shared" ca="1" si="9"/>
        <v>At Risk</v>
      </c>
    </row>
    <row r="122" spans="1:9" x14ac:dyDescent="0.3">
      <c r="A122" t="s">
        <v>1322</v>
      </c>
      <c r="B122">
        <f ca="1">TODAY()-_xlfn.MAXIFS(Clean_Data!$O:$O,Clean_Data!$A:$A,A122)</f>
        <v>693</v>
      </c>
      <c r="C122">
        <f>COUNTIF(Clean_Data!$A:$A,A122)</f>
        <v>6</v>
      </c>
      <c r="D122">
        <f>SUMIF(Clean_Data!$A:$A,A122,Clean_Data!$E:$E)</f>
        <v>4594.3499999999995</v>
      </c>
      <c r="E122">
        <f t="shared" ca="1" si="5"/>
        <v>2</v>
      </c>
      <c r="F122">
        <f t="shared" si="6"/>
        <v>4</v>
      </c>
      <c r="G122">
        <f t="shared" si="7"/>
        <v>3</v>
      </c>
      <c r="H122">
        <f t="shared" ca="1" si="8"/>
        <v>9</v>
      </c>
      <c r="I122" t="str">
        <f t="shared" ca="1" si="9"/>
        <v>Potential Loyalist</v>
      </c>
    </row>
    <row r="123" spans="1:9" x14ac:dyDescent="0.3">
      <c r="A123" t="s">
        <v>1335</v>
      </c>
      <c r="B123">
        <f ca="1">TODAY()-_xlfn.MAXIFS(Clean_Data!$O:$O,Clean_Data!$A:$A,A123)</f>
        <v>661</v>
      </c>
      <c r="C123">
        <f>COUNTIF(Clean_Data!$A:$A,A123)</f>
        <v>7</v>
      </c>
      <c r="D123">
        <f>SUMIF(Clean_Data!$A:$A,A123,Clean_Data!$E:$E)</f>
        <v>5476.2</v>
      </c>
      <c r="E123">
        <f t="shared" ca="1" si="5"/>
        <v>3</v>
      </c>
      <c r="F123">
        <f t="shared" si="6"/>
        <v>5</v>
      </c>
      <c r="G123">
        <f t="shared" si="7"/>
        <v>3</v>
      </c>
      <c r="H123">
        <f t="shared" ca="1" si="8"/>
        <v>11</v>
      </c>
      <c r="I123" t="str">
        <f t="shared" ca="1" si="9"/>
        <v>Loyal Customers</v>
      </c>
    </row>
    <row r="124" spans="1:9" x14ac:dyDescent="0.3">
      <c r="A124" t="s">
        <v>1350</v>
      </c>
      <c r="B124">
        <f ca="1">TODAY()-_xlfn.MAXIFS(Clean_Data!$O:$O,Clean_Data!$A:$A,A124)</f>
        <v>515</v>
      </c>
      <c r="C124">
        <f>COUNTIF(Clean_Data!$A:$A,A124)</f>
        <v>2</v>
      </c>
      <c r="D124">
        <f>SUMIF(Clean_Data!$A:$A,A124,Clean_Data!$E:$E)</f>
        <v>1171.29</v>
      </c>
      <c r="E124">
        <f t="shared" ca="1" si="5"/>
        <v>5</v>
      </c>
      <c r="F124">
        <f t="shared" si="6"/>
        <v>1</v>
      </c>
      <c r="G124">
        <f t="shared" si="7"/>
        <v>1</v>
      </c>
      <c r="H124">
        <f t="shared" ca="1" si="8"/>
        <v>7</v>
      </c>
      <c r="I124" t="str">
        <f t="shared" ca="1" si="9"/>
        <v>Potential Loyalist</v>
      </c>
    </row>
    <row r="125" spans="1:9" x14ac:dyDescent="0.3">
      <c r="A125" t="s">
        <v>1355</v>
      </c>
      <c r="B125">
        <f ca="1">TODAY()-_xlfn.MAXIFS(Clean_Data!$O:$O,Clean_Data!$A:$A,A125)</f>
        <v>501</v>
      </c>
      <c r="C125">
        <f>COUNTIF(Clean_Data!$A:$A,A125)</f>
        <v>2</v>
      </c>
      <c r="D125">
        <f>SUMIF(Clean_Data!$A:$A,A125,Clean_Data!$E:$E)</f>
        <v>5087.8</v>
      </c>
      <c r="E125">
        <f t="shared" ca="1" si="5"/>
        <v>5</v>
      </c>
      <c r="F125">
        <f t="shared" si="6"/>
        <v>1</v>
      </c>
      <c r="G125">
        <f t="shared" si="7"/>
        <v>3</v>
      </c>
      <c r="H125">
        <f t="shared" ca="1" si="8"/>
        <v>9</v>
      </c>
      <c r="I125" t="str">
        <f t="shared" ca="1" si="9"/>
        <v>Potential Loyalist</v>
      </c>
    </row>
    <row r="126" spans="1:9" x14ac:dyDescent="0.3">
      <c r="A126" t="s">
        <v>1360</v>
      </c>
      <c r="B126">
        <f ca="1">TODAY()-_xlfn.MAXIFS(Clean_Data!$O:$O,Clean_Data!$A:$A,A126)</f>
        <v>579</v>
      </c>
      <c r="C126">
        <f>COUNTIF(Clean_Data!$A:$A,A126)</f>
        <v>4</v>
      </c>
      <c r="D126">
        <f>SUMIF(Clean_Data!$A:$A,A126,Clean_Data!$E:$E)</f>
        <v>5199.3900000000003</v>
      </c>
      <c r="E126">
        <f t="shared" ca="1" si="5"/>
        <v>4</v>
      </c>
      <c r="F126">
        <f t="shared" si="6"/>
        <v>3</v>
      </c>
      <c r="G126">
        <f t="shared" si="7"/>
        <v>3</v>
      </c>
      <c r="H126">
        <f t="shared" ca="1" si="8"/>
        <v>10</v>
      </c>
      <c r="I126" t="str">
        <f t="shared" ca="1" si="9"/>
        <v>Loyal Customers</v>
      </c>
    </row>
    <row r="127" spans="1:9" x14ac:dyDescent="0.3">
      <c r="A127" t="s">
        <v>1369</v>
      </c>
      <c r="B127">
        <f ca="1">TODAY()-_xlfn.MAXIFS(Clean_Data!$O:$O,Clean_Data!$A:$A,A127)</f>
        <v>738</v>
      </c>
      <c r="C127">
        <f>COUNTIF(Clean_Data!$A:$A,A127)</f>
        <v>3</v>
      </c>
      <c r="D127">
        <f>SUMIF(Clean_Data!$A:$A,A127,Clean_Data!$E:$E)</f>
        <v>990.54</v>
      </c>
      <c r="E127">
        <f t="shared" ca="1" si="5"/>
        <v>2</v>
      </c>
      <c r="F127">
        <f t="shared" si="6"/>
        <v>2</v>
      </c>
      <c r="G127">
        <f t="shared" si="7"/>
        <v>1</v>
      </c>
      <c r="H127">
        <f t="shared" ca="1" si="8"/>
        <v>5</v>
      </c>
      <c r="I127" t="str">
        <f t="shared" ca="1" si="9"/>
        <v>At Risk</v>
      </c>
    </row>
    <row r="128" spans="1:9" x14ac:dyDescent="0.3">
      <c r="A128" t="s">
        <v>1376</v>
      </c>
      <c r="B128">
        <f ca="1">TODAY()-_xlfn.MAXIFS(Clean_Data!$O:$O,Clean_Data!$A:$A,A128)</f>
        <v>551</v>
      </c>
      <c r="C128">
        <f>COUNTIF(Clean_Data!$A:$A,A128)</f>
        <v>4</v>
      </c>
      <c r="D128">
        <f>SUMIF(Clean_Data!$A:$A,A128,Clean_Data!$E:$E)</f>
        <v>2298.1299999999997</v>
      </c>
      <c r="E128">
        <f t="shared" ca="1" si="5"/>
        <v>4</v>
      </c>
      <c r="F128">
        <f t="shared" si="6"/>
        <v>3</v>
      </c>
      <c r="G128">
        <f t="shared" si="7"/>
        <v>1</v>
      </c>
      <c r="H128">
        <f t="shared" ca="1" si="8"/>
        <v>8</v>
      </c>
      <c r="I128" t="str">
        <f t="shared" ca="1" si="9"/>
        <v>Potential Loyalist</v>
      </c>
    </row>
    <row r="129" spans="1:9" x14ac:dyDescent="0.3">
      <c r="A129" t="s">
        <v>1384</v>
      </c>
      <c r="B129">
        <f ca="1">TODAY()-_xlfn.MAXIFS(Clean_Data!$O:$O,Clean_Data!$A:$A,A129)</f>
        <v>1185</v>
      </c>
      <c r="C129">
        <f>COUNTIF(Clean_Data!$A:$A,A129)</f>
        <v>2</v>
      </c>
      <c r="D129">
        <f>SUMIF(Clean_Data!$A:$A,A129,Clean_Data!$E:$E)</f>
        <v>1202.22</v>
      </c>
      <c r="E129">
        <f t="shared" ca="1" si="5"/>
        <v>1</v>
      </c>
      <c r="F129">
        <f t="shared" si="6"/>
        <v>1</v>
      </c>
      <c r="G129">
        <f t="shared" si="7"/>
        <v>1</v>
      </c>
      <c r="H129">
        <f t="shared" ca="1" si="8"/>
        <v>3</v>
      </c>
      <c r="I129" t="str">
        <f t="shared" ca="1" si="9"/>
        <v>Lost</v>
      </c>
    </row>
    <row r="130" spans="1:9" x14ac:dyDescent="0.3">
      <c r="A130" t="s">
        <v>1389</v>
      </c>
      <c r="B130">
        <f ca="1">TODAY()-_xlfn.MAXIFS(Clean_Data!$O:$O,Clean_Data!$A:$A,A130)</f>
        <v>1101</v>
      </c>
      <c r="C130">
        <f>COUNTIF(Clean_Data!$A:$A,A130)</f>
        <v>2</v>
      </c>
      <c r="D130">
        <f>SUMIF(Clean_Data!$A:$A,A130,Clean_Data!$E:$E)</f>
        <v>3633.34</v>
      </c>
      <c r="E130">
        <f t="shared" ca="1" si="5"/>
        <v>1</v>
      </c>
      <c r="F130">
        <f t="shared" si="6"/>
        <v>1</v>
      </c>
      <c r="G130">
        <f t="shared" si="7"/>
        <v>2</v>
      </c>
      <c r="H130">
        <f t="shared" ca="1" si="8"/>
        <v>4</v>
      </c>
      <c r="I130" t="str">
        <f t="shared" ca="1" si="9"/>
        <v>At Risk</v>
      </c>
    </row>
    <row r="131" spans="1:9" x14ac:dyDescent="0.3">
      <c r="A131" t="s">
        <v>1394</v>
      </c>
      <c r="B131">
        <f ca="1">TODAY()-_xlfn.MAXIFS(Clean_Data!$O:$O,Clean_Data!$A:$A,A131)</f>
        <v>609</v>
      </c>
      <c r="C131">
        <f>COUNTIF(Clean_Data!$A:$A,A131)</f>
        <v>4</v>
      </c>
      <c r="D131">
        <f>SUMIF(Clean_Data!$A:$A,A131,Clean_Data!$E:$E)</f>
        <v>7032.68</v>
      </c>
      <c r="E131">
        <f t="shared" ref="E131:E151" ca="1" si="10">IF(PERCENTRANK($B$2:$B$151,B131)&gt;=0.8,1,IF(PERCENTRANK($B$2:$B$151,B131)&gt;=0.6,2,IF(PERCENTRANK($B$2:$B$151,B131)&gt;=0.4,3,IF(PERCENTRANK($B$2:$B$151,B131)&gt;=0.2,4,5))))</f>
        <v>3</v>
      </c>
      <c r="F131">
        <f t="shared" ref="F131:F151" si="11">IF(PERCENTRANK($C$2:$C$151,C131)&gt;=0.8,5,IF(PERCENTRANK($C$2:$C$151,C131)&gt;=0.6,4,IF(PERCENTRANK($C$2:$C$151,C131)&gt;=0.4,3,IF(PERCENTRANK($C$2:$C$151,C131)&gt;=0.2,2,1))))</f>
        <v>3</v>
      </c>
      <c r="G131">
        <f t="shared" ref="G131:G151" si="12">IF(PERCENTRANK($D$2:$D$151,D131)&gt;=0.8,5,IF(PERCENTRANK($D$2:$D$151,D131)&gt;=0.6,4,IF(PERCENTRANK($D$2:$D$151,D131)&gt;=0.4,3,IF(PERCENTRANK($D$2:$D$151,D131)&gt;=0.2,2,1))))</f>
        <v>4</v>
      </c>
      <c r="H131">
        <f t="shared" ref="H131:H151" ca="1" si="13">E131+F131+G131</f>
        <v>10</v>
      </c>
      <c r="I131" t="str">
        <f t="shared" ref="I131:I151" ca="1" si="14">IF(H131&gt;=13,"Champions",IF(H131&gt;=10,"Loyal Customers",IF(H131&gt;=7,"Potential Loyalist",IF(H131&gt;=4,"At Risk","Lost"))))</f>
        <v>Loyal Customers</v>
      </c>
    </row>
    <row r="132" spans="1:9" x14ac:dyDescent="0.3">
      <c r="A132" t="s">
        <v>1403</v>
      </c>
      <c r="B132">
        <f ca="1">TODAY()-_xlfn.MAXIFS(Clean_Data!$O:$O,Clean_Data!$A:$A,A132)</f>
        <v>606</v>
      </c>
      <c r="C132">
        <f>COUNTIF(Clean_Data!$A:$A,A132)</f>
        <v>3</v>
      </c>
      <c r="D132">
        <f>SUMIF(Clean_Data!$A:$A,A132,Clean_Data!$E:$E)</f>
        <v>2625.2</v>
      </c>
      <c r="E132">
        <f t="shared" ca="1" si="10"/>
        <v>3</v>
      </c>
      <c r="F132">
        <f t="shared" si="11"/>
        <v>2</v>
      </c>
      <c r="G132">
        <f t="shared" si="12"/>
        <v>2</v>
      </c>
      <c r="H132">
        <f t="shared" ca="1" si="13"/>
        <v>7</v>
      </c>
      <c r="I132" t="str">
        <f t="shared" ca="1" si="14"/>
        <v>Potential Loyalist</v>
      </c>
    </row>
    <row r="133" spans="1:9" x14ac:dyDescent="0.3">
      <c r="A133" t="s">
        <v>1410</v>
      </c>
      <c r="B133">
        <f ca="1">TODAY()-_xlfn.MAXIFS(Clean_Data!$O:$O,Clean_Data!$A:$A,A133)</f>
        <v>611</v>
      </c>
      <c r="C133">
        <f>COUNTIF(Clean_Data!$A:$A,A133)</f>
        <v>3</v>
      </c>
      <c r="D133">
        <f>SUMIF(Clean_Data!$A:$A,A133,Clean_Data!$E:$E)</f>
        <v>3513.96</v>
      </c>
      <c r="E133">
        <f t="shared" ca="1" si="10"/>
        <v>3</v>
      </c>
      <c r="F133">
        <f t="shared" si="11"/>
        <v>2</v>
      </c>
      <c r="G133">
        <f t="shared" si="12"/>
        <v>2</v>
      </c>
      <c r="H133">
        <f t="shared" ca="1" si="13"/>
        <v>7</v>
      </c>
      <c r="I133" t="str">
        <f t="shared" ca="1" si="14"/>
        <v>Potential Loyalist</v>
      </c>
    </row>
    <row r="134" spans="1:9" x14ac:dyDescent="0.3">
      <c r="A134" t="s">
        <v>1417</v>
      </c>
      <c r="B134">
        <f ca="1">TODAY()-_xlfn.MAXIFS(Clean_Data!$O:$O,Clean_Data!$A:$A,A134)</f>
        <v>698</v>
      </c>
      <c r="C134">
        <f>COUNTIF(Clean_Data!$A:$A,A134)</f>
        <v>5</v>
      </c>
      <c r="D134">
        <f>SUMIF(Clean_Data!$A:$A,A134,Clean_Data!$E:$E)</f>
        <v>4103.0199999999995</v>
      </c>
      <c r="E134">
        <f t="shared" ca="1" si="10"/>
        <v>2</v>
      </c>
      <c r="F134">
        <f t="shared" si="11"/>
        <v>3</v>
      </c>
      <c r="G134">
        <f t="shared" si="12"/>
        <v>2</v>
      </c>
      <c r="H134">
        <f t="shared" ca="1" si="13"/>
        <v>7</v>
      </c>
      <c r="I134" t="str">
        <f t="shared" ca="1" si="14"/>
        <v>Potential Loyalist</v>
      </c>
    </row>
    <row r="135" spans="1:9" x14ac:dyDescent="0.3">
      <c r="A135" t="s">
        <v>1428</v>
      </c>
      <c r="B135">
        <f ca="1">TODAY()-_xlfn.MAXIFS(Clean_Data!$O:$O,Clean_Data!$A:$A,A135)</f>
        <v>562</v>
      </c>
      <c r="C135">
        <f>COUNTIF(Clean_Data!$A:$A,A135)</f>
        <v>4</v>
      </c>
      <c r="D135">
        <f>SUMIF(Clean_Data!$A:$A,A135,Clean_Data!$E:$E)</f>
        <v>4400.4400000000005</v>
      </c>
      <c r="E135">
        <f t="shared" ca="1" si="10"/>
        <v>4</v>
      </c>
      <c r="F135">
        <f t="shared" si="11"/>
        <v>3</v>
      </c>
      <c r="G135">
        <f t="shared" si="12"/>
        <v>2</v>
      </c>
      <c r="H135">
        <f t="shared" ca="1" si="13"/>
        <v>9</v>
      </c>
      <c r="I135" t="str">
        <f t="shared" ca="1" si="14"/>
        <v>Potential Loyalist</v>
      </c>
    </row>
    <row r="136" spans="1:9" x14ac:dyDescent="0.3">
      <c r="A136" t="s">
        <v>1437</v>
      </c>
      <c r="B136">
        <f ca="1">TODAY()-_xlfn.MAXIFS(Clean_Data!$O:$O,Clean_Data!$A:$A,A136)</f>
        <v>702</v>
      </c>
      <c r="C136">
        <f>COUNTIF(Clean_Data!$A:$A,A136)</f>
        <v>3</v>
      </c>
      <c r="D136">
        <f>SUMIF(Clean_Data!$A:$A,A136,Clean_Data!$E:$E)</f>
        <v>5029.5199999999995</v>
      </c>
      <c r="E136">
        <f t="shared" ca="1" si="10"/>
        <v>2</v>
      </c>
      <c r="F136">
        <f t="shared" si="11"/>
        <v>2</v>
      </c>
      <c r="G136">
        <f t="shared" si="12"/>
        <v>3</v>
      </c>
      <c r="H136">
        <f t="shared" ca="1" si="13"/>
        <v>7</v>
      </c>
      <c r="I136" t="str">
        <f t="shared" ca="1" si="14"/>
        <v>Potential Loyalist</v>
      </c>
    </row>
    <row r="137" spans="1:9" x14ac:dyDescent="0.3">
      <c r="A137" t="s">
        <v>1444</v>
      </c>
      <c r="B137">
        <f ca="1">TODAY()-_xlfn.MAXIFS(Clean_Data!$O:$O,Clean_Data!$A:$A,A137)</f>
        <v>1193</v>
      </c>
      <c r="C137">
        <f>COUNTIF(Clean_Data!$A:$A,A137)</f>
        <v>2</v>
      </c>
      <c r="D137">
        <f>SUMIF(Clean_Data!$A:$A,A137,Clean_Data!$E:$E)</f>
        <v>2773.3999999999996</v>
      </c>
      <c r="E137">
        <f t="shared" ca="1" si="10"/>
        <v>1</v>
      </c>
      <c r="F137">
        <f t="shared" si="11"/>
        <v>1</v>
      </c>
      <c r="G137">
        <f t="shared" si="12"/>
        <v>2</v>
      </c>
      <c r="H137">
        <f t="shared" ca="1" si="13"/>
        <v>4</v>
      </c>
      <c r="I137" t="str">
        <f t="shared" ca="1" si="14"/>
        <v>At Risk</v>
      </c>
    </row>
    <row r="138" spans="1:9" x14ac:dyDescent="0.3">
      <c r="A138" t="s">
        <v>1449</v>
      </c>
      <c r="B138">
        <f ca="1">TODAY()-_xlfn.MAXIFS(Clean_Data!$O:$O,Clean_Data!$A:$A,A138)</f>
        <v>502</v>
      </c>
      <c r="C138">
        <f>COUNTIF(Clean_Data!$A:$A,A138)</f>
        <v>3</v>
      </c>
      <c r="D138">
        <f>SUMIF(Clean_Data!$A:$A,A138,Clean_Data!$E:$E)</f>
        <v>2477.13</v>
      </c>
      <c r="E138">
        <f t="shared" ca="1" si="10"/>
        <v>5</v>
      </c>
      <c r="F138">
        <f t="shared" si="11"/>
        <v>2</v>
      </c>
      <c r="G138">
        <f t="shared" si="12"/>
        <v>2</v>
      </c>
      <c r="H138">
        <f t="shared" ca="1" si="13"/>
        <v>9</v>
      </c>
      <c r="I138" t="str">
        <f t="shared" ca="1" si="14"/>
        <v>Potential Loyalist</v>
      </c>
    </row>
    <row r="139" spans="1:9" x14ac:dyDescent="0.3">
      <c r="A139" t="s">
        <v>1456</v>
      </c>
      <c r="B139">
        <f ca="1">TODAY()-_xlfn.MAXIFS(Clean_Data!$O:$O,Clean_Data!$A:$A,A139)</f>
        <v>843</v>
      </c>
      <c r="C139">
        <f>COUNTIF(Clean_Data!$A:$A,A139)</f>
        <v>1</v>
      </c>
      <c r="D139">
        <f>SUMIF(Clean_Data!$A:$A,A139,Clean_Data!$E:$E)</f>
        <v>1607.17</v>
      </c>
      <c r="E139">
        <f t="shared" ca="1" si="10"/>
        <v>1</v>
      </c>
      <c r="F139">
        <f t="shared" si="11"/>
        <v>1</v>
      </c>
      <c r="G139">
        <f t="shared" si="12"/>
        <v>1</v>
      </c>
      <c r="H139">
        <f t="shared" ca="1" si="13"/>
        <v>3</v>
      </c>
      <c r="I139" t="str">
        <f t="shared" ca="1" si="14"/>
        <v>Lost</v>
      </c>
    </row>
    <row r="140" spans="1:9" x14ac:dyDescent="0.3">
      <c r="A140" t="s">
        <v>1459</v>
      </c>
      <c r="B140">
        <f ca="1">TODAY()-_xlfn.MAXIFS(Clean_Data!$O:$O,Clean_Data!$A:$A,A140)</f>
        <v>729</v>
      </c>
      <c r="C140">
        <f>COUNTIF(Clean_Data!$A:$A,A140)</f>
        <v>3</v>
      </c>
      <c r="D140">
        <f>SUMIF(Clean_Data!$A:$A,A140,Clean_Data!$E:$E)</f>
        <v>3093.63</v>
      </c>
      <c r="E140">
        <f t="shared" ca="1" si="10"/>
        <v>2</v>
      </c>
      <c r="F140">
        <f t="shared" si="11"/>
        <v>2</v>
      </c>
      <c r="G140">
        <f t="shared" si="12"/>
        <v>2</v>
      </c>
      <c r="H140">
        <f t="shared" ca="1" si="13"/>
        <v>6</v>
      </c>
      <c r="I140" t="str">
        <f t="shared" ca="1" si="14"/>
        <v>At Risk</v>
      </c>
    </row>
    <row r="141" spans="1:9" x14ac:dyDescent="0.3">
      <c r="A141" t="s">
        <v>1466</v>
      </c>
      <c r="B141">
        <f ca="1">TODAY()-_xlfn.MAXIFS(Clean_Data!$O:$O,Clean_Data!$A:$A,A141)</f>
        <v>528</v>
      </c>
      <c r="C141">
        <f>COUNTIF(Clean_Data!$A:$A,A141)</f>
        <v>5</v>
      </c>
      <c r="D141">
        <f>SUMIF(Clean_Data!$A:$A,A141,Clean_Data!$E:$E)</f>
        <v>4533.97</v>
      </c>
      <c r="E141">
        <f t="shared" ca="1" si="10"/>
        <v>5</v>
      </c>
      <c r="F141">
        <f t="shared" si="11"/>
        <v>3</v>
      </c>
      <c r="G141">
        <f t="shared" si="12"/>
        <v>3</v>
      </c>
      <c r="H141">
        <f t="shared" ca="1" si="13"/>
        <v>11</v>
      </c>
      <c r="I141" t="str">
        <f t="shared" ca="1" si="14"/>
        <v>Loyal Customers</v>
      </c>
    </row>
    <row r="142" spans="1:9" x14ac:dyDescent="0.3">
      <c r="A142" t="s">
        <v>1477</v>
      </c>
      <c r="B142">
        <f ca="1">TODAY()-_xlfn.MAXIFS(Clean_Data!$O:$O,Clean_Data!$A:$A,A142)</f>
        <v>517</v>
      </c>
      <c r="C142">
        <f>COUNTIF(Clean_Data!$A:$A,A142)</f>
        <v>3</v>
      </c>
      <c r="D142">
        <f>SUMIF(Clean_Data!$A:$A,A142,Clean_Data!$E:$E)</f>
        <v>2893.9700000000003</v>
      </c>
      <c r="E142">
        <f t="shared" ca="1" si="10"/>
        <v>5</v>
      </c>
      <c r="F142">
        <f t="shared" si="11"/>
        <v>2</v>
      </c>
      <c r="G142">
        <f t="shared" si="12"/>
        <v>2</v>
      </c>
      <c r="H142">
        <f t="shared" ca="1" si="13"/>
        <v>9</v>
      </c>
      <c r="I142" t="str">
        <f t="shared" ca="1" si="14"/>
        <v>Potential Loyalist</v>
      </c>
    </row>
    <row r="143" spans="1:9" x14ac:dyDescent="0.3">
      <c r="A143" t="s">
        <v>1484</v>
      </c>
      <c r="B143">
        <f ca="1">TODAY()-_xlfn.MAXIFS(Clean_Data!$O:$O,Clean_Data!$A:$A,A143)</f>
        <v>1092</v>
      </c>
      <c r="C143">
        <f>COUNTIF(Clean_Data!$A:$A,A143)</f>
        <v>2</v>
      </c>
      <c r="D143">
        <f>SUMIF(Clean_Data!$A:$A,A143,Clean_Data!$E:$E)</f>
        <v>3671.29</v>
      </c>
      <c r="E143">
        <f t="shared" ca="1" si="10"/>
        <v>1</v>
      </c>
      <c r="F143">
        <f t="shared" si="11"/>
        <v>1</v>
      </c>
      <c r="G143">
        <f t="shared" si="12"/>
        <v>2</v>
      </c>
      <c r="H143">
        <f t="shared" ca="1" si="13"/>
        <v>4</v>
      </c>
      <c r="I143" t="str">
        <f t="shared" ca="1" si="14"/>
        <v>At Risk</v>
      </c>
    </row>
    <row r="144" spans="1:9" x14ac:dyDescent="0.3">
      <c r="A144" t="s">
        <v>1489</v>
      </c>
      <c r="B144">
        <f ca="1">TODAY()-_xlfn.MAXIFS(Clean_Data!$O:$O,Clean_Data!$A:$A,A144)</f>
        <v>907</v>
      </c>
      <c r="C144">
        <f>COUNTIF(Clean_Data!$A:$A,A144)</f>
        <v>3</v>
      </c>
      <c r="D144">
        <f>SUMIF(Clean_Data!$A:$A,A144,Clean_Data!$E:$E)</f>
        <v>3799.77</v>
      </c>
      <c r="E144">
        <f t="shared" ca="1" si="10"/>
        <v>1</v>
      </c>
      <c r="F144">
        <f t="shared" si="11"/>
        <v>2</v>
      </c>
      <c r="G144">
        <f t="shared" si="12"/>
        <v>2</v>
      </c>
      <c r="H144">
        <f t="shared" ca="1" si="13"/>
        <v>5</v>
      </c>
      <c r="I144" t="str">
        <f t="shared" ca="1" si="14"/>
        <v>At Risk</v>
      </c>
    </row>
    <row r="145" spans="1:9" x14ac:dyDescent="0.3">
      <c r="A145" t="s">
        <v>1496</v>
      </c>
      <c r="B145">
        <f ca="1">TODAY()-_xlfn.MAXIFS(Clean_Data!$O:$O,Clean_Data!$A:$A,A145)</f>
        <v>492</v>
      </c>
      <c r="C145">
        <f>COUNTIF(Clean_Data!$A:$A,A145)</f>
        <v>3</v>
      </c>
      <c r="D145">
        <f>SUMIF(Clean_Data!$A:$A,A145,Clean_Data!$E:$E)</f>
        <v>5711.71</v>
      </c>
      <c r="E145">
        <f t="shared" ca="1" si="10"/>
        <v>5</v>
      </c>
      <c r="F145">
        <f t="shared" si="11"/>
        <v>2</v>
      </c>
      <c r="G145">
        <f t="shared" si="12"/>
        <v>3</v>
      </c>
      <c r="H145">
        <f t="shared" ca="1" si="13"/>
        <v>10</v>
      </c>
      <c r="I145" t="str">
        <f t="shared" ca="1" si="14"/>
        <v>Loyal Customers</v>
      </c>
    </row>
    <row r="146" spans="1:9" x14ac:dyDescent="0.3">
      <c r="A146" t="s">
        <v>1503</v>
      </c>
      <c r="B146">
        <f ca="1">TODAY()-_xlfn.MAXIFS(Clean_Data!$O:$O,Clean_Data!$A:$A,A146)</f>
        <v>535</v>
      </c>
      <c r="C146">
        <f>COUNTIF(Clean_Data!$A:$A,A146)</f>
        <v>6</v>
      </c>
      <c r="D146">
        <f>SUMIF(Clean_Data!$A:$A,A146,Clean_Data!$E:$E)</f>
        <v>5132</v>
      </c>
      <c r="E146">
        <f t="shared" ca="1" si="10"/>
        <v>4</v>
      </c>
      <c r="F146">
        <f t="shared" si="11"/>
        <v>4</v>
      </c>
      <c r="G146">
        <f t="shared" si="12"/>
        <v>3</v>
      </c>
      <c r="H146">
        <f t="shared" ca="1" si="13"/>
        <v>11</v>
      </c>
      <c r="I146" t="str">
        <f t="shared" ca="1" si="14"/>
        <v>Loyal Customers</v>
      </c>
    </row>
    <row r="147" spans="1:9" x14ac:dyDescent="0.3">
      <c r="A147" t="s">
        <v>1516</v>
      </c>
      <c r="B147">
        <f ca="1">TODAY()-_xlfn.MAXIFS(Clean_Data!$O:$O,Clean_Data!$A:$A,A147)</f>
        <v>888</v>
      </c>
      <c r="C147">
        <f>COUNTIF(Clean_Data!$A:$A,A147)</f>
        <v>3</v>
      </c>
      <c r="D147">
        <f>SUMIF(Clean_Data!$A:$A,A147,Clean_Data!$E:$E)</f>
        <v>5520.01</v>
      </c>
      <c r="E147">
        <f t="shared" ca="1" si="10"/>
        <v>1</v>
      </c>
      <c r="F147">
        <f t="shared" si="11"/>
        <v>2</v>
      </c>
      <c r="G147">
        <f t="shared" si="12"/>
        <v>3</v>
      </c>
      <c r="H147">
        <f t="shared" ca="1" si="13"/>
        <v>6</v>
      </c>
      <c r="I147" t="str">
        <f t="shared" ca="1" si="14"/>
        <v>At Risk</v>
      </c>
    </row>
    <row r="148" spans="1:9" x14ac:dyDescent="0.3">
      <c r="A148" t="s">
        <v>1523</v>
      </c>
      <c r="B148">
        <f ca="1">TODAY()-_xlfn.MAXIFS(Clean_Data!$O:$O,Clean_Data!$A:$A,A148)</f>
        <v>825</v>
      </c>
      <c r="C148">
        <f>COUNTIF(Clean_Data!$A:$A,A148)</f>
        <v>4</v>
      </c>
      <c r="D148">
        <f>SUMIF(Clean_Data!$A:$A,A148,Clean_Data!$E:$E)</f>
        <v>4274.57</v>
      </c>
      <c r="E148">
        <f t="shared" ca="1" si="10"/>
        <v>2</v>
      </c>
      <c r="F148">
        <f t="shared" si="11"/>
        <v>3</v>
      </c>
      <c r="G148">
        <f t="shared" si="12"/>
        <v>2</v>
      </c>
      <c r="H148">
        <f t="shared" ca="1" si="13"/>
        <v>7</v>
      </c>
      <c r="I148" t="str">
        <f t="shared" ca="1" si="14"/>
        <v>Potential Loyalist</v>
      </c>
    </row>
    <row r="149" spans="1:9" x14ac:dyDescent="0.3">
      <c r="A149" t="s">
        <v>1532</v>
      </c>
      <c r="B149">
        <f ca="1">TODAY()-_xlfn.MAXIFS(Clean_Data!$O:$O,Clean_Data!$A:$A,A149)</f>
        <v>500</v>
      </c>
      <c r="C149">
        <f>COUNTIF(Clean_Data!$A:$A,A149)</f>
        <v>5</v>
      </c>
      <c r="D149">
        <f>SUMIF(Clean_Data!$A:$A,A149,Clean_Data!$E:$E)</f>
        <v>6790.13</v>
      </c>
      <c r="E149">
        <f t="shared" ca="1" si="10"/>
        <v>5</v>
      </c>
      <c r="F149">
        <f t="shared" si="11"/>
        <v>3</v>
      </c>
      <c r="G149">
        <f t="shared" si="12"/>
        <v>4</v>
      </c>
      <c r="H149">
        <f t="shared" ca="1" si="13"/>
        <v>12</v>
      </c>
      <c r="I149" t="str">
        <f t="shared" ca="1" si="14"/>
        <v>Loyal Customers</v>
      </c>
    </row>
    <row r="150" spans="1:9" x14ac:dyDescent="0.3">
      <c r="A150" t="s">
        <v>1543</v>
      </c>
      <c r="B150">
        <f ca="1">TODAY()-_xlfn.MAXIFS(Clean_Data!$O:$O,Clean_Data!$A:$A,A150)</f>
        <v>647</v>
      </c>
      <c r="C150">
        <f>COUNTIF(Clean_Data!$A:$A,A150)</f>
        <v>4</v>
      </c>
      <c r="D150">
        <f>SUMIF(Clean_Data!$A:$A,A150,Clean_Data!$E:$E)</f>
        <v>4469.4500000000007</v>
      </c>
      <c r="E150">
        <f t="shared" ca="1" si="10"/>
        <v>3</v>
      </c>
      <c r="F150">
        <f t="shared" si="11"/>
        <v>3</v>
      </c>
      <c r="G150">
        <f t="shared" si="12"/>
        <v>2</v>
      </c>
      <c r="H150">
        <f t="shared" ca="1" si="13"/>
        <v>8</v>
      </c>
      <c r="I150" t="str">
        <f t="shared" ca="1" si="14"/>
        <v>Potential Loyalist</v>
      </c>
    </row>
    <row r="151" spans="1:9" x14ac:dyDescent="0.3">
      <c r="A151" t="s">
        <v>1552</v>
      </c>
      <c r="B151">
        <f ca="1">TODAY()-_xlfn.MAXIFS(Clean_Data!$O:$O,Clean_Data!$A:$A,A151)</f>
        <v>706</v>
      </c>
      <c r="C151">
        <f>COUNTIF(Clean_Data!$A:$A,A151)</f>
        <v>5</v>
      </c>
      <c r="D151">
        <f>SUMIF(Clean_Data!$A:$A,A151,Clean_Data!$E:$E)</f>
        <v>5423.2400000000007</v>
      </c>
      <c r="E151">
        <f t="shared" ca="1" si="10"/>
        <v>2</v>
      </c>
      <c r="F151">
        <f t="shared" si="11"/>
        <v>3</v>
      </c>
      <c r="G151">
        <f t="shared" si="12"/>
        <v>3</v>
      </c>
      <c r="H151">
        <f t="shared" ca="1" si="13"/>
        <v>8</v>
      </c>
      <c r="I151" t="str">
        <f t="shared" ca="1" si="14"/>
        <v>Potential Loyalist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54"/>
  <sheetViews>
    <sheetView topLeftCell="A132" workbookViewId="0">
      <selection activeCell="C42" sqref="C42"/>
    </sheetView>
  </sheetViews>
  <sheetFormatPr defaultRowHeight="14.4" x14ac:dyDescent="0.3"/>
  <cols>
    <col min="1" max="1" width="31.6640625" customWidth="1"/>
    <col min="2" max="2" width="16.33203125" bestFit="1" customWidth="1"/>
    <col min="3" max="3" width="10.44140625" bestFit="1" customWidth="1"/>
    <col min="4" max="4" width="31.33203125" customWidth="1"/>
    <col min="5" max="5" width="12.6640625" customWidth="1"/>
    <col min="6" max="6" width="15.44140625" bestFit="1" customWidth="1"/>
    <col min="7" max="7" width="18.33203125" customWidth="1"/>
    <col min="8" max="8" width="10.6640625" bestFit="1" customWidth="1"/>
    <col min="9" max="9" width="4.33203125" customWidth="1"/>
    <col min="10" max="10" width="37.33203125" customWidth="1"/>
    <col min="11" max="11" width="16.33203125" customWidth="1"/>
  </cols>
  <sheetData>
    <row r="2" spans="1:11" ht="18" x14ac:dyDescent="0.3">
      <c r="A2" s="22" t="s">
        <v>1606</v>
      </c>
      <c r="D2" s="22" t="s">
        <v>1609</v>
      </c>
      <c r="G2" s="22" t="s">
        <v>1608</v>
      </c>
      <c r="J2" s="22" t="s">
        <v>1611</v>
      </c>
    </row>
    <row r="3" spans="1:11" x14ac:dyDescent="0.3">
      <c r="A3" s="15" t="s">
        <v>1576</v>
      </c>
      <c r="B3" t="s">
        <v>1588</v>
      </c>
      <c r="D3" s="15" t="s">
        <v>1576</v>
      </c>
      <c r="E3" t="s">
        <v>1564</v>
      </c>
      <c r="G3" s="15" t="s">
        <v>1576</v>
      </c>
      <c r="H3" t="s">
        <v>1564</v>
      </c>
      <c r="J3" s="15" t="s">
        <v>1576</v>
      </c>
      <c r="K3" t="s">
        <v>1589</v>
      </c>
    </row>
    <row r="4" spans="1:11" x14ac:dyDescent="0.3">
      <c r="A4" s="6" t="s">
        <v>1585</v>
      </c>
      <c r="B4">
        <v>35</v>
      </c>
      <c r="D4" s="6" t="s">
        <v>1591</v>
      </c>
      <c r="E4">
        <v>355077.78</v>
      </c>
      <c r="G4" s="6" t="s">
        <v>43</v>
      </c>
      <c r="H4" s="5">
        <v>142181.05999999994</v>
      </c>
      <c r="J4" s="6" t="s">
        <v>25</v>
      </c>
      <c r="K4">
        <v>5651.66</v>
      </c>
    </row>
    <row r="5" spans="1:11" x14ac:dyDescent="0.3">
      <c r="A5" s="6" t="s">
        <v>1583</v>
      </c>
      <c r="B5">
        <v>21</v>
      </c>
      <c r="D5" s="21" t="s">
        <v>1592</v>
      </c>
      <c r="E5">
        <v>17102.09</v>
      </c>
      <c r="G5" s="6" t="s">
        <v>92</v>
      </c>
      <c r="H5" s="5">
        <v>145495.56999999995</v>
      </c>
      <c r="J5" s="6" t="s">
        <v>58</v>
      </c>
      <c r="K5">
        <v>8351.2099999999991</v>
      </c>
    </row>
    <row r="6" spans="1:11" x14ac:dyDescent="0.3">
      <c r="A6" s="6" t="s">
        <v>1586</v>
      </c>
      <c r="B6">
        <v>9</v>
      </c>
      <c r="D6" s="21" t="s">
        <v>1593</v>
      </c>
      <c r="E6">
        <v>31424.77</v>
      </c>
      <c r="G6" s="6" t="s">
        <v>61</v>
      </c>
      <c r="H6" s="5">
        <v>126866.26000000001</v>
      </c>
      <c r="J6" s="6" t="s">
        <v>99</v>
      </c>
      <c r="K6">
        <v>11255.27</v>
      </c>
    </row>
    <row r="7" spans="1:11" x14ac:dyDescent="0.3">
      <c r="A7" s="6" t="s">
        <v>1584</v>
      </c>
      <c r="B7">
        <v>49</v>
      </c>
      <c r="D7" s="21" t="s">
        <v>1594</v>
      </c>
      <c r="E7">
        <v>30456.429999999997</v>
      </c>
      <c r="G7" s="6" t="s">
        <v>78</v>
      </c>
      <c r="H7" s="5">
        <v>131070.93000000004</v>
      </c>
      <c r="J7" s="6" t="s">
        <v>123</v>
      </c>
      <c r="K7">
        <v>6544.8799999999992</v>
      </c>
    </row>
    <row r="8" spans="1:11" x14ac:dyDescent="0.3">
      <c r="A8" s="6" t="s">
        <v>1582</v>
      </c>
      <c r="B8">
        <v>36</v>
      </c>
      <c r="D8" s="21" t="s">
        <v>1595</v>
      </c>
      <c r="E8">
        <v>41322.420000000006</v>
      </c>
      <c r="G8" s="6" t="s">
        <v>30</v>
      </c>
      <c r="H8" s="5">
        <v>137101.07999999999</v>
      </c>
      <c r="J8" s="6" t="s">
        <v>140</v>
      </c>
      <c r="K8">
        <v>3377.92</v>
      </c>
    </row>
    <row r="9" spans="1:11" x14ac:dyDescent="0.3">
      <c r="A9" s="6" t="s">
        <v>1587</v>
      </c>
      <c r="D9" s="21" t="s">
        <v>1596</v>
      </c>
      <c r="E9">
        <v>32680.800000000003</v>
      </c>
      <c r="G9" s="6" t="s">
        <v>49</v>
      </c>
      <c r="H9" s="5">
        <v>134498.13000000003</v>
      </c>
      <c r="J9" s="6" t="s">
        <v>160</v>
      </c>
      <c r="K9">
        <v>5757.49</v>
      </c>
    </row>
    <row r="10" spans="1:11" x14ac:dyDescent="0.3">
      <c r="A10" s="6" t="s">
        <v>1567</v>
      </c>
      <c r="B10">
        <v>150</v>
      </c>
      <c r="D10" s="21" t="s">
        <v>1597</v>
      </c>
      <c r="E10">
        <v>30455.66</v>
      </c>
      <c r="G10" s="6" t="s">
        <v>1567</v>
      </c>
      <c r="H10" s="5">
        <v>817213.02999999991</v>
      </c>
      <c r="J10" s="6" t="s">
        <v>175</v>
      </c>
      <c r="K10">
        <v>3559.63</v>
      </c>
    </row>
    <row r="11" spans="1:11" x14ac:dyDescent="0.3">
      <c r="D11" s="21" t="s">
        <v>1598</v>
      </c>
      <c r="E11">
        <v>36950.619999999995</v>
      </c>
      <c r="J11" s="6" t="s">
        <v>182</v>
      </c>
      <c r="K11">
        <v>4272.28</v>
      </c>
    </row>
    <row r="12" spans="1:11" ht="18" x14ac:dyDescent="0.3">
      <c r="A12" s="22" t="s">
        <v>1607</v>
      </c>
      <c r="D12" s="21" t="s">
        <v>1599</v>
      </c>
      <c r="E12">
        <v>27418.500000000004</v>
      </c>
      <c r="J12" s="6" t="s">
        <v>194</v>
      </c>
      <c r="K12">
        <v>5963.86</v>
      </c>
    </row>
    <row r="13" spans="1:11" x14ac:dyDescent="0.3">
      <c r="A13" s="15" t="s">
        <v>1576</v>
      </c>
      <c r="B13" t="s">
        <v>1590</v>
      </c>
      <c r="D13" s="21" t="s">
        <v>1600</v>
      </c>
      <c r="E13">
        <v>25574.620000000003</v>
      </c>
      <c r="J13" s="6" t="s">
        <v>209</v>
      </c>
      <c r="K13">
        <v>11387.96</v>
      </c>
    </row>
    <row r="14" spans="1:11" x14ac:dyDescent="0.3">
      <c r="A14" s="6" t="s">
        <v>1585</v>
      </c>
      <c r="B14">
        <v>35</v>
      </c>
      <c r="D14" s="21" t="s">
        <v>1601</v>
      </c>
      <c r="E14">
        <v>35858.559999999998</v>
      </c>
      <c r="J14" s="6" t="s">
        <v>224</v>
      </c>
      <c r="K14">
        <v>1920.29</v>
      </c>
    </row>
    <row r="15" spans="1:11" x14ac:dyDescent="0.3">
      <c r="A15" s="6" t="s">
        <v>1583</v>
      </c>
      <c r="B15">
        <v>21</v>
      </c>
      <c r="D15" s="21" t="s">
        <v>1602</v>
      </c>
      <c r="E15">
        <v>24667.519999999997</v>
      </c>
      <c r="J15" s="6" t="s">
        <v>233</v>
      </c>
      <c r="K15">
        <v>7823.8200000000006</v>
      </c>
    </row>
    <row r="16" spans="1:11" x14ac:dyDescent="0.3">
      <c r="A16" s="6" t="s">
        <v>1586</v>
      </c>
      <c r="B16">
        <v>9</v>
      </c>
      <c r="D16" s="21" t="s">
        <v>1603</v>
      </c>
      <c r="E16">
        <v>21165.79</v>
      </c>
      <c r="J16" s="6" t="s">
        <v>246</v>
      </c>
      <c r="K16">
        <v>4971.7300000000005</v>
      </c>
    </row>
    <row r="17" spans="1:11" x14ac:dyDescent="0.3">
      <c r="A17" s="6" t="s">
        <v>1584</v>
      </c>
      <c r="B17">
        <v>49</v>
      </c>
      <c r="D17" s="6" t="s">
        <v>1604</v>
      </c>
      <c r="E17">
        <v>306575.96000000008</v>
      </c>
      <c r="J17" s="6" t="s">
        <v>258</v>
      </c>
      <c r="K17">
        <v>5685.45</v>
      </c>
    </row>
    <row r="18" spans="1:11" x14ac:dyDescent="0.3">
      <c r="A18" s="6" t="s">
        <v>1582</v>
      </c>
      <c r="B18">
        <v>36</v>
      </c>
      <c r="D18" s="21" t="s">
        <v>1592</v>
      </c>
      <c r="E18">
        <v>20383.719999999994</v>
      </c>
      <c r="J18" s="6" t="s">
        <v>269</v>
      </c>
      <c r="K18">
        <v>4357.67</v>
      </c>
    </row>
    <row r="19" spans="1:11" x14ac:dyDescent="0.3">
      <c r="A19" s="6" t="s">
        <v>1567</v>
      </c>
      <c r="B19">
        <v>150</v>
      </c>
      <c r="D19" s="21" t="s">
        <v>1593</v>
      </c>
      <c r="E19">
        <v>19772.48</v>
      </c>
      <c r="J19" s="6" t="s">
        <v>282</v>
      </c>
      <c r="K19">
        <v>3697.85</v>
      </c>
    </row>
    <row r="20" spans="1:11" x14ac:dyDescent="0.3">
      <c r="D20" s="21" t="s">
        <v>1594</v>
      </c>
      <c r="E20">
        <v>22459.45</v>
      </c>
      <c r="J20" s="6" t="s">
        <v>292</v>
      </c>
      <c r="K20">
        <v>6907.66</v>
      </c>
    </row>
    <row r="21" spans="1:11" x14ac:dyDescent="0.3">
      <c r="D21" s="21" t="s">
        <v>1595</v>
      </c>
      <c r="E21">
        <v>36783.180000000008</v>
      </c>
      <c r="J21" s="6" t="s">
        <v>307</v>
      </c>
      <c r="K21">
        <v>6191.28</v>
      </c>
    </row>
    <row r="22" spans="1:11" ht="15.6" x14ac:dyDescent="0.3">
      <c r="A22" s="23" t="s">
        <v>1610</v>
      </c>
      <c r="D22" s="21" t="s">
        <v>1596</v>
      </c>
      <c r="E22">
        <v>30174.360000000004</v>
      </c>
      <c r="J22" s="6" t="s">
        <v>321</v>
      </c>
      <c r="K22">
        <v>3644.8</v>
      </c>
    </row>
    <row r="23" spans="1:11" x14ac:dyDescent="0.3">
      <c r="D23" s="21" t="s">
        <v>1597</v>
      </c>
      <c r="E23">
        <v>37113.630000000005</v>
      </c>
      <c r="J23" s="6" t="s">
        <v>325</v>
      </c>
      <c r="K23">
        <v>9432.81</v>
      </c>
    </row>
    <row r="24" spans="1:11" x14ac:dyDescent="0.3">
      <c r="A24" s="15" t="s">
        <v>1576</v>
      </c>
      <c r="B24" t="s">
        <v>1589</v>
      </c>
      <c r="D24" s="21" t="s">
        <v>1598</v>
      </c>
      <c r="E24">
        <v>23176.800000000007</v>
      </c>
      <c r="J24" s="6" t="s">
        <v>344</v>
      </c>
      <c r="K24">
        <v>1059.4100000000001</v>
      </c>
    </row>
    <row r="25" spans="1:11" x14ac:dyDescent="0.3">
      <c r="A25" s="6" t="s">
        <v>1585</v>
      </c>
      <c r="B25">
        <v>91067.87</v>
      </c>
      <c r="D25" s="21" t="s">
        <v>1599</v>
      </c>
      <c r="E25">
        <v>32941.22</v>
      </c>
      <c r="J25" s="6" t="s">
        <v>347</v>
      </c>
      <c r="K25">
        <v>7912.8600000000006</v>
      </c>
    </row>
    <row r="26" spans="1:11" x14ac:dyDescent="0.3">
      <c r="A26" s="6" t="s">
        <v>1583</v>
      </c>
      <c r="B26">
        <v>198368.57</v>
      </c>
      <c r="D26" s="21" t="s">
        <v>1600</v>
      </c>
      <c r="E26">
        <v>18412.200000000004</v>
      </c>
      <c r="J26" s="6" t="s">
        <v>363</v>
      </c>
      <c r="K26">
        <v>7485.25</v>
      </c>
    </row>
    <row r="27" spans="1:11" x14ac:dyDescent="0.3">
      <c r="A27" s="6" t="s">
        <v>1586</v>
      </c>
      <c r="B27">
        <v>12753.869999999999</v>
      </c>
      <c r="D27" s="21" t="s">
        <v>1601</v>
      </c>
      <c r="E27">
        <v>19649.190000000002</v>
      </c>
      <c r="J27" s="6" t="s">
        <v>374</v>
      </c>
      <c r="K27">
        <v>4336.45</v>
      </c>
    </row>
    <row r="28" spans="1:11" x14ac:dyDescent="0.3">
      <c r="A28" s="6" t="s">
        <v>1584</v>
      </c>
      <c r="B28">
        <v>355995.99</v>
      </c>
      <c r="D28" s="21" t="s">
        <v>1602</v>
      </c>
      <c r="E28">
        <v>33377.329999999994</v>
      </c>
      <c r="J28" s="6" t="s">
        <v>383</v>
      </c>
      <c r="K28">
        <v>6858.8700000000008</v>
      </c>
    </row>
    <row r="29" spans="1:11" x14ac:dyDescent="0.3">
      <c r="A29" s="6" t="s">
        <v>1582</v>
      </c>
      <c r="B29">
        <v>159026.73000000001</v>
      </c>
      <c r="D29" s="21" t="s">
        <v>1603</v>
      </c>
      <c r="E29">
        <v>12332.4</v>
      </c>
      <c r="J29" s="6" t="s">
        <v>398</v>
      </c>
      <c r="K29">
        <v>1434.12</v>
      </c>
    </row>
    <row r="30" spans="1:11" x14ac:dyDescent="0.3">
      <c r="A30" s="6" t="s">
        <v>1567</v>
      </c>
      <c r="B30">
        <v>817213.03</v>
      </c>
      <c r="D30" s="6" t="s">
        <v>1605</v>
      </c>
      <c r="E30">
        <v>155559.28999999998</v>
      </c>
      <c r="J30" s="6" t="s">
        <v>404</v>
      </c>
      <c r="K30">
        <v>7603.57</v>
      </c>
    </row>
    <row r="31" spans="1:11" x14ac:dyDescent="0.3">
      <c r="D31" s="21" t="s">
        <v>1592</v>
      </c>
      <c r="E31">
        <v>28735.559999999998</v>
      </c>
      <c r="J31" s="6" t="s">
        <v>412</v>
      </c>
      <c r="K31">
        <v>4506.84</v>
      </c>
    </row>
    <row r="32" spans="1:11" x14ac:dyDescent="0.3">
      <c r="D32" s="21" t="s">
        <v>1593</v>
      </c>
      <c r="E32">
        <v>27269.850000000002</v>
      </c>
      <c r="J32" s="6" t="s">
        <v>419</v>
      </c>
      <c r="K32">
        <v>6224.4699999999993</v>
      </c>
    </row>
    <row r="33" spans="4:11" x14ac:dyDescent="0.3">
      <c r="D33" s="21" t="s">
        <v>1594</v>
      </c>
      <c r="E33">
        <v>11233.06</v>
      </c>
      <c r="J33" s="6" t="s">
        <v>435</v>
      </c>
      <c r="K33">
        <v>14930.059999999998</v>
      </c>
    </row>
    <row r="34" spans="4:11" x14ac:dyDescent="0.3">
      <c r="D34" s="21" t="s">
        <v>1595</v>
      </c>
      <c r="E34">
        <v>27337.039999999997</v>
      </c>
      <c r="J34" s="6" t="s">
        <v>453</v>
      </c>
      <c r="K34">
        <v>13630.140000000001</v>
      </c>
    </row>
    <row r="35" spans="4:11" x14ac:dyDescent="0.3">
      <c r="D35" s="21" t="s">
        <v>1596</v>
      </c>
      <c r="E35">
        <v>30727.729999999996</v>
      </c>
      <c r="J35" s="6" t="s">
        <v>466</v>
      </c>
      <c r="K35">
        <v>2025.9299999999998</v>
      </c>
    </row>
    <row r="36" spans="4:11" x14ac:dyDescent="0.3">
      <c r="D36" s="21" t="s">
        <v>1597</v>
      </c>
      <c r="E36">
        <v>28749.309999999998</v>
      </c>
      <c r="J36" s="6" t="s">
        <v>476</v>
      </c>
      <c r="K36">
        <v>8206.35</v>
      </c>
    </row>
    <row r="37" spans="4:11" x14ac:dyDescent="0.3">
      <c r="D37" s="21" t="s">
        <v>1598</v>
      </c>
      <c r="E37">
        <v>1506.74</v>
      </c>
      <c r="J37" s="6" t="s">
        <v>491</v>
      </c>
      <c r="K37">
        <v>10559.57</v>
      </c>
    </row>
    <row r="38" spans="4:11" x14ac:dyDescent="0.3">
      <c r="D38" s="6" t="s">
        <v>1567</v>
      </c>
      <c r="E38">
        <v>817213.03</v>
      </c>
      <c r="J38" s="6" t="s">
        <v>507</v>
      </c>
      <c r="K38">
        <v>7405.8400000000011</v>
      </c>
    </row>
    <row r="39" spans="4:11" x14ac:dyDescent="0.3">
      <c r="J39" s="6" t="s">
        <v>520</v>
      </c>
      <c r="K39">
        <v>2419.0700000000002</v>
      </c>
    </row>
    <row r="40" spans="4:11" x14ac:dyDescent="0.3">
      <c r="J40" s="6" t="s">
        <v>525</v>
      </c>
      <c r="K40">
        <v>6728.829999999999</v>
      </c>
    </row>
    <row r="41" spans="4:11" x14ac:dyDescent="0.3">
      <c r="J41" s="6" t="s">
        <v>543</v>
      </c>
      <c r="K41">
        <v>2475.85</v>
      </c>
    </row>
    <row r="42" spans="4:11" x14ac:dyDescent="0.3">
      <c r="J42" s="6" t="s">
        <v>552</v>
      </c>
      <c r="K42">
        <v>4747.59</v>
      </c>
    </row>
    <row r="43" spans="4:11" x14ac:dyDescent="0.3">
      <c r="J43" s="6" t="s">
        <v>561</v>
      </c>
      <c r="K43">
        <v>10037.14</v>
      </c>
    </row>
    <row r="44" spans="4:11" x14ac:dyDescent="0.3">
      <c r="J44" s="6" t="s">
        <v>579</v>
      </c>
      <c r="K44">
        <v>7267.7699999999995</v>
      </c>
    </row>
    <row r="45" spans="4:11" x14ac:dyDescent="0.3">
      <c r="J45" s="6" t="s">
        <v>590</v>
      </c>
      <c r="K45">
        <v>7733.86</v>
      </c>
    </row>
    <row r="46" spans="4:11" x14ac:dyDescent="0.3">
      <c r="J46" s="6" t="s">
        <v>606</v>
      </c>
      <c r="K46">
        <v>7232.0500000000011</v>
      </c>
    </row>
    <row r="47" spans="4:11" x14ac:dyDescent="0.3">
      <c r="J47" s="6" t="s">
        <v>616</v>
      </c>
      <c r="K47">
        <v>4997.4500000000007</v>
      </c>
    </row>
    <row r="48" spans="4:11" x14ac:dyDescent="0.3">
      <c r="J48" s="6" t="s">
        <v>625</v>
      </c>
      <c r="K48">
        <v>688.32999999999993</v>
      </c>
    </row>
    <row r="49" spans="10:11" x14ac:dyDescent="0.3">
      <c r="J49" s="6" t="s">
        <v>631</v>
      </c>
      <c r="K49">
        <v>6686.3099999999995</v>
      </c>
    </row>
    <row r="50" spans="10:11" x14ac:dyDescent="0.3">
      <c r="J50" s="6" t="s">
        <v>649</v>
      </c>
      <c r="K50">
        <v>1823.96</v>
      </c>
    </row>
    <row r="51" spans="10:11" x14ac:dyDescent="0.3">
      <c r="J51" s="6" t="s">
        <v>653</v>
      </c>
      <c r="K51">
        <v>4633.1200000000008</v>
      </c>
    </row>
    <row r="52" spans="10:11" x14ac:dyDescent="0.3">
      <c r="J52" s="6" t="s">
        <v>660</v>
      </c>
      <c r="K52">
        <v>7202.21</v>
      </c>
    </row>
    <row r="53" spans="10:11" x14ac:dyDescent="0.3">
      <c r="J53" s="6" t="s">
        <v>670</v>
      </c>
      <c r="K53">
        <v>1267.81</v>
      </c>
    </row>
    <row r="54" spans="10:11" x14ac:dyDescent="0.3">
      <c r="J54" s="6" t="s">
        <v>676</v>
      </c>
      <c r="K54">
        <v>4492.2700000000004</v>
      </c>
    </row>
    <row r="55" spans="10:11" x14ac:dyDescent="0.3">
      <c r="J55" s="6" t="s">
        <v>683</v>
      </c>
      <c r="K55">
        <v>1400.13</v>
      </c>
    </row>
    <row r="56" spans="10:11" x14ac:dyDescent="0.3">
      <c r="J56" s="6" t="s">
        <v>689</v>
      </c>
      <c r="K56">
        <v>7740.75</v>
      </c>
    </row>
    <row r="57" spans="10:11" x14ac:dyDescent="0.3">
      <c r="J57" s="6" t="s">
        <v>703</v>
      </c>
      <c r="K57">
        <v>2996.25</v>
      </c>
    </row>
    <row r="58" spans="10:11" x14ac:dyDescent="0.3">
      <c r="J58" s="6" t="s">
        <v>710</v>
      </c>
      <c r="K58">
        <v>14378.39</v>
      </c>
    </row>
    <row r="59" spans="10:11" x14ac:dyDescent="0.3">
      <c r="J59" s="6" t="s">
        <v>727</v>
      </c>
      <c r="K59">
        <v>3526.47</v>
      </c>
    </row>
    <row r="60" spans="10:11" x14ac:dyDescent="0.3">
      <c r="J60" s="6" t="s">
        <v>736</v>
      </c>
      <c r="K60">
        <v>1308.8599999999999</v>
      </c>
    </row>
    <row r="61" spans="10:11" x14ac:dyDescent="0.3">
      <c r="J61" s="6" t="s">
        <v>742</v>
      </c>
      <c r="K61">
        <v>9201.16</v>
      </c>
    </row>
    <row r="62" spans="10:11" x14ac:dyDescent="0.3">
      <c r="J62" s="6" t="s">
        <v>754</v>
      </c>
      <c r="K62">
        <v>1071.4100000000001</v>
      </c>
    </row>
    <row r="63" spans="10:11" x14ac:dyDescent="0.3">
      <c r="J63" s="6" t="s">
        <v>757</v>
      </c>
      <c r="K63">
        <v>8885.6</v>
      </c>
    </row>
    <row r="64" spans="10:11" x14ac:dyDescent="0.3">
      <c r="J64" s="6" t="s">
        <v>771</v>
      </c>
      <c r="K64">
        <v>10156.509999999998</v>
      </c>
    </row>
    <row r="65" spans="10:11" x14ac:dyDescent="0.3">
      <c r="J65" s="6" t="s">
        <v>782</v>
      </c>
      <c r="K65">
        <v>844.74</v>
      </c>
    </row>
    <row r="66" spans="10:11" x14ac:dyDescent="0.3">
      <c r="J66" s="6" t="s">
        <v>787</v>
      </c>
      <c r="K66">
        <v>11151.68</v>
      </c>
    </row>
    <row r="67" spans="10:11" x14ac:dyDescent="0.3">
      <c r="J67" s="6" t="s">
        <v>801</v>
      </c>
      <c r="K67">
        <v>3596.12</v>
      </c>
    </row>
    <row r="68" spans="10:11" x14ac:dyDescent="0.3">
      <c r="J68" s="6" t="s">
        <v>809</v>
      </c>
      <c r="K68">
        <v>6579.1799999999994</v>
      </c>
    </row>
    <row r="69" spans="10:11" x14ac:dyDescent="0.3">
      <c r="J69" s="6" t="s">
        <v>818</v>
      </c>
      <c r="K69">
        <v>8070.3700000000008</v>
      </c>
    </row>
    <row r="70" spans="10:11" x14ac:dyDescent="0.3">
      <c r="J70" s="6" t="s">
        <v>829</v>
      </c>
      <c r="K70">
        <v>3032.65</v>
      </c>
    </row>
    <row r="71" spans="10:11" x14ac:dyDescent="0.3">
      <c r="J71" s="6" t="s">
        <v>835</v>
      </c>
      <c r="K71">
        <v>7236.35</v>
      </c>
    </row>
    <row r="72" spans="10:11" x14ac:dyDescent="0.3">
      <c r="J72" s="6" t="s">
        <v>847</v>
      </c>
      <c r="K72">
        <v>8787.27</v>
      </c>
    </row>
    <row r="73" spans="10:11" x14ac:dyDescent="0.3">
      <c r="J73" s="6" t="s">
        <v>856</v>
      </c>
      <c r="K73">
        <v>9705.14</v>
      </c>
    </row>
    <row r="74" spans="10:11" x14ac:dyDescent="0.3">
      <c r="J74" s="6" t="s">
        <v>871</v>
      </c>
      <c r="K74">
        <v>4270.95</v>
      </c>
    </row>
    <row r="75" spans="10:11" x14ac:dyDescent="0.3">
      <c r="J75" s="6" t="s">
        <v>875</v>
      </c>
      <c r="K75">
        <v>1130.1600000000001</v>
      </c>
    </row>
    <row r="76" spans="10:11" x14ac:dyDescent="0.3">
      <c r="J76" s="6" t="s">
        <v>880</v>
      </c>
      <c r="K76">
        <v>6147.99</v>
      </c>
    </row>
    <row r="77" spans="10:11" x14ac:dyDescent="0.3">
      <c r="J77" s="6" t="s">
        <v>887</v>
      </c>
      <c r="K77">
        <v>7210.41</v>
      </c>
    </row>
    <row r="78" spans="10:11" x14ac:dyDescent="0.3">
      <c r="J78" s="6" t="s">
        <v>896</v>
      </c>
      <c r="K78">
        <v>5461.92</v>
      </c>
    </row>
    <row r="79" spans="10:11" x14ac:dyDescent="0.3">
      <c r="J79" s="6" t="s">
        <v>906</v>
      </c>
      <c r="K79">
        <v>1847.44</v>
      </c>
    </row>
    <row r="80" spans="10:11" x14ac:dyDescent="0.3">
      <c r="J80" s="6" t="s">
        <v>912</v>
      </c>
      <c r="K80">
        <v>6175.26</v>
      </c>
    </row>
    <row r="81" spans="10:11" x14ac:dyDescent="0.3">
      <c r="J81" s="6" t="s">
        <v>923</v>
      </c>
      <c r="K81">
        <v>5588.59</v>
      </c>
    </row>
    <row r="82" spans="10:11" x14ac:dyDescent="0.3">
      <c r="J82" s="6" t="s">
        <v>929</v>
      </c>
      <c r="K82">
        <v>11583.599999999999</v>
      </c>
    </row>
    <row r="83" spans="10:11" x14ac:dyDescent="0.3">
      <c r="J83" s="6" t="s">
        <v>943</v>
      </c>
      <c r="K83">
        <v>5392.97</v>
      </c>
    </row>
    <row r="84" spans="10:11" x14ac:dyDescent="0.3">
      <c r="J84" s="6" t="s">
        <v>948</v>
      </c>
      <c r="K84">
        <v>6459.8899999999994</v>
      </c>
    </row>
    <row r="85" spans="10:11" x14ac:dyDescent="0.3">
      <c r="J85" s="6" t="s">
        <v>963</v>
      </c>
      <c r="K85">
        <v>1129.19</v>
      </c>
    </row>
    <row r="86" spans="10:11" x14ac:dyDescent="0.3">
      <c r="J86" s="6" t="s">
        <v>969</v>
      </c>
      <c r="K86">
        <v>1392.82</v>
      </c>
    </row>
    <row r="87" spans="10:11" x14ac:dyDescent="0.3">
      <c r="J87" s="6" t="s">
        <v>976</v>
      </c>
      <c r="K87">
        <v>6183.74</v>
      </c>
    </row>
    <row r="88" spans="10:11" x14ac:dyDescent="0.3">
      <c r="J88" s="6" t="s">
        <v>985</v>
      </c>
      <c r="K88">
        <v>13439.130000000001</v>
      </c>
    </row>
    <row r="89" spans="10:11" x14ac:dyDescent="0.3">
      <c r="J89" s="6" t="s">
        <v>1000</v>
      </c>
      <c r="K89">
        <v>6247.9400000000005</v>
      </c>
    </row>
    <row r="90" spans="10:11" x14ac:dyDescent="0.3">
      <c r="J90" s="6" t="s">
        <v>1013</v>
      </c>
      <c r="K90">
        <v>360.83</v>
      </c>
    </row>
    <row r="91" spans="10:11" x14ac:dyDescent="0.3">
      <c r="J91" s="6" t="s">
        <v>1016</v>
      </c>
      <c r="K91">
        <v>6742.73</v>
      </c>
    </row>
    <row r="92" spans="10:11" x14ac:dyDescent="0.3">
      <c r="J92" s="6" t="s">
        <v>1026</v>
      </c>
      <c r="K92">
        <v>6949.22</v>
      </c>
    </row>
    <row r="93" spans="10:11" x14ac:dyDescent="0.3">
      <c r="J93" s="6" t="s">
        <v>1037</v>
      </c>
      <c r="K93">
        <v>8553.76</v>
      </c>
    </row>
    <row r="94" spans="10:11" x14ac:dyDescent="0.3">
      <c r="J94" s="6" t="s">
        <v>1050</v>
      </c>
      <c r="K94">
        <v>7886.39</v>
      </c>
    </row>
    <row r="95" spans="10:11" x14ac:dyDescent="0.3">
      <c r="J95" s="6" t="s">
        <v>1064</v>
      </c>
      <c r="K95">
        <v>9124.8599999999988</v>
      </c>
    </row>
    <row r="96" spans="10:11" x14ac:dyDescent="0.3">
      <c r="J96" s="6" t="s">
        <v>1075</v>
      </c>
      <c r="K96">
        <v>6311.32</v>
      </c>
    </row>
    <row r="97" spans="10:11" x14ac:dyDescent="0.3">
      <c r="J97" s="6" t="s">
        <v>1086</v>
      </c>
      <c r="K97">
        <v>2578.87</v>
      </c>
    </row>
    <row r="98" spans="10:11" x14ac:dyDescent="0.3">
      <c r="J98" s="6" t="s">
        <v>1091</v>
      </c>
      <c r="K98">
        <v>8732.619999999999</v>
      </c>
    </row>
    <row r="99" spans="10:11" x14ac:dyDescent="0.3">
      <c r="J99" s="6" t="s">
        <v>1104</v>
      </c>
      <c r="K99">
        <v>3057.3</v>
      </c>
    </row>
    <row r="100" spans="10:11" x14ac:dyDescent="0.3">
      <c r="J100" s="6" t="s">
        <v>1109</v>
      </c>
      <c r="K100">
        <v>4867.6400000000003</v>
      </c>
    </row>
    <row r="101" spans="10:11" x14ac:dyDescent="0.3">
      <c r="J101" s="6" t="s">
        <v>1119</v>
      </c>
      <c r="K101">
        <v>1094.46</v>
      </c>
    </row>
    <row r="102" spans="10:11" x14ac:dyDescent="0.3">
      <c r="J102" s="6" t="s">
        <v>1122</v>
      </c>
      <c r="K102">
        <v>5520.7499999999991</v>
      </c>
    </row>
    <row r="103" spans="10:11" x14ac:dyDescent="0.3">
      <c r="J103" s="6" t="s">
        <v>1133</v>
      </c>
      <c r="K103">
        <v>1331.61</v>
      </c>
    </row>
    <row r="104" spans="10:11" x14ac:dyDescent="0.3">
      <c r="J104" s="6" t="s">
        <v>1136</v>
      </c>
      <c r="K104">
        <v>6295.42</v>
      </c>
    </row>
    <row r="105" spans="10:11" x14ac:dyDescent="0.3">
      <c r="J105" s="6" t="s">
        <v>1145</v>
      </c>
      <c r="K105">
        <v>1534.4</v>
      </c>
    </row>
    <row r="106" spans="10:11" x14ac:dyDescent="0.3">
      <c r="J106" s="6" t="s">
        <v>1148</v>
      </c>
      <c r="K106">
        <v>8250.19</v>
      </c>
    </row>
    <row r="107" spans="10:11" x14ac:dyDescent="0.3">
      <c r="J107" s="6" t="s">
        <v>1156</v>
      </c>
      <c r="K107">
        <v>6445.0599999999995</v>
      </c>
    </row>
    <row r="108" spans="10:11" x14ac:dyDescent="0.3">
      <c r="J108" s="6" t="s">
        <v>1166</v>
      </c>
      <c r="K108">
        <v>7787.03</v>
      </c>
    </row>
    <row r="109" spans="10:11" x14ac:dyDescent="0.3">
      <c r="J109" s="6" t="s">
        <v>1177</v>
      </c>
      <c r="K109">
        <v>7235.67</v>
      </c>
    </row>
    <row r="110" spans="10:11" x14ac:dyDescent="0.3">
      <c r="J110" s="6" t="s">
        <v>1190</v>
      </c>
      <c r="K110">
        <v>5652.73</v>
      </c>
    </row>
    <row r="111" spans="10:11" x14ac:dyDescent="0.3">
      <c r="J111" s="6" t="s">
        <v>1200</v>
      </c>
      <c r="K111">
        <v>12328.689999999999</v>
      </c>
    </row>
    <row r="112" spans="10:11" x14ac:dyDescent="0.3">
      <c r="J112" s="6" t="s">
        <v>1213</v>
      </c>
      <c r="K112">
        <v>11306.31</v>
      </c>
    </row>
    <row r="113" spans="10:11" x14ac:dyDescent="0.3">
      <c r="J113" s="6" t="s">
        <v>1226</v>
      </c>
      <c r="K113">
        <v>6940.92</v>
      </c>
    </row>
    <row r="114" spans="10:11" x14ac:dyDescent="0.3">
      <c r="J114" s="6" t="s">
        <v>1234</v>
      </c>
      <c r="K114">
        <v>1250.0899999999999</v>
      </c>
    </row>
    <row r="115" spans="10:11" x14ac:dyDescent="0.3">
      <c r="J115" s="6" t="s">
        <v>1241</v>
      </c>
      <c r="K115">
        <v>5603.130000000001</v>
      </c>
    </row>
    <row r="116" spans="10:11" x14ac:dyDescent="0.3">
      <c r="J116" s="6" t="s">
        <v>1248</v>
      </c>
      <c r="K116">
        <v>1569.52</v>
      </c>
    </row>
    <row r="117" spans="10:11" x14ac:dyDescent="0.3">
      <c r="J117" s="6" t="s">
        <v>1260</v>
      </c>
      <c r="K117">
        <v>95.78</v>
      </c>
    </row>
    <row r="118" spans="10:11" x14ac:dyDescent="0.3">
      <c r="J118" s="6" t="s">
        <v>1263</v>
      </c>
      <c r="K118">
        <v>1746.72</v>
      </c>
    </row>
    <row r="119" spans="10:11" x14ac:dyDescent="0.3">
      <c r="J119" s="6" t="s">
        <v>1272</v>
      </c>
      <c r="K119">
        <v>8052.77</v>
      </c>
    </row>
    <row r="120" spans="10:11" x14ac:dyDescent="0.3">
      <c r="J120" s="6" t="s">
        <v>1285</v>
      </c>
      <c r="K120">
        <v>5271.28</v>
      </c>
    </row>
    <row r="121" spans="10:11" x14ac:dyDescent="0.3">
      <c r="J121" s="6" t="s">
        <v>1294</v>
      </c>
      <c r="K121">
        <v>7471.6</v>
      </c>
    </row>
    <row r="122" spans="10:11" x14ac:dyDescent="0.3">
      <c r="J122" s="6" t="s">
        <v>1307</v>
      </c>
      <c r="K122">
        <v>3078.42</v>
      </c>
    </row>
    <row r="123" spans="10:11" x14ac:dyDescent="0.3">
      <c r="J123" s="6" t="s">
        <v>1317</v>
      </c>
      <c r="K123">
        <v>2955.5199999999995</v>
      </c>
    </row>
    <row r="124" spans="10:11" x14ac:dyDescent="0.3">
      <c r="J124" s="6" t="s">
        <v>1322</v>
      </c>
      <c r="K124">
        <v>4594.3499999999995</v>
      </c>
    </row>
    <row r="125" spans="10:11" x14ac:dyDescent="0.3">
      <c r="J125" s="6" t="s">
        <v>1335</v>
      </c>
      <c r="K125">
        <v>5476.2</v>
      </c>
    </row>
    <row r="126" spans="10:11" x14ac:dyDescent="0.3">
      <c r="J126" s="6" t="s">
        <v>1350</v>
      </c>
      <c r="K126">
        <v>1171.29</v>
      </c>
    </row>
    <row r="127" spans="10:11" x14ac:dyDescent="0.3">
      <c r="J127" s="6" t="s">
        <v>1355</v>
      </c>
      <c r="K127">
        <v>5087.8</v>
      </c>
    </row>
    <row r="128" spans="10:11" x14ac:dyDescent="0.3">
      <c r="J128" s="6" t="s">
        <v>1360</v>
      </c>
      <c r="K128">
        <v>5199.3900000000003</v>
      </c>
    </row>
    <row r="129" spans="10:11" x14ac:dyDescent="0.3">
      <c r="J129" s="6" t="s">
        <v>1369</v>
      </c>
      <c r="K129">
        <v>990.54</v>
      </c>
    </row>
    <row r="130" spans="10:11" x14ac:dyDescent="0.3">
      <c r="J130" s="6" t="s">
        <v>1376</v>
      </c>
      <c r="K130">
        <v>2298.1299999999997</v>
      </c>
    </row>
    <row r="131" spans="10:11" x14ac:dyDescent="0.3">
      <c r="J131" s="6" t="s">
        <v>1384</v>
      </c>
      <c r="K131">
        <v>1202.22</v>
      </c>
    </row>
    <row r="132" spans="10:11" x14ac:dyDescent="0.3">
      <c r="J132" s="6" t="s">
        <v>1389</v>
      </c>
      <c r="K132">
        <v>3633.34</v>
      </c>
    </row>
    <row r="133" spans="10:11" x14ac:dyDescent="0.3">
      <c r="J133" s="6" t="s">
        <v>1394</v>
      </c>
      <c r="K133">
        <v>7032.68</v>
      </c>
    </row>
    <row r="134" spans="10:11" x14ac:dyDescent="0.3">
      <c r="J134" s="6" t="s">
        <v>1403</v>
      </c>
      <c r="K134">
        <v>2625.2</v>
      </c>
    </row>
    <row r="135" spans="10:11" x14ac:dyDescent="0.3">
      <c r="J135" s="6" t="s">
        <v>1410</v>
      </c>
      <c r="K135">
        <v>3513.96</v>
      </c>
    </row>
    <row r="136" spans="10:11" x14ac:dyDescent="0.3">
      <c r="J136" s="6" t="s">
        <v>1417</v>
      </c>
      <c r="K136">
        <v>4103.0199999999995</v>
      </c>
    </row>
    <row r="137" spans="10:11" x14ac:dyDescent="0.3">
      <c r="J137" s="6" t="s">
        <v>1428</v>
      </c>
      <c r="K137">
        <v>4400.4400000000005</v>
      </c>
    </row>
    <row r="138" spans="10:11" x14ac:dyDescent="0.3">
      <c r="J138" s="6" t="s">
        <v>1437</v>
      </c>
      <c r="K138">
        <v>5029.5199999999995</v>
      </c>
    </row>
    <row r="139" spans="10:11" x14ac:dyDescent="0.3">
      <c r="J139" s="6" t="s">
        <v>1444</v>
      </c>
      <c r="K139">
        <v>2773.3999999999996</v>
      </c>
    </row>
    <row r="140" spans="10:11" x14ac:dyDescent="0.3">
      <c r="J140" s="6" t="s">
        <v>1449</v>
      </c>
      <c r="K140">
        <v>2477.13</v>
      </c>
    </row>
    <row r="141" spans="10:11" x14ac:dyDescent="0.3">
      <c r="J141" s="6" t="s">
        <v>1456</v>
      </c>
      <c r="K141">
        <v>1607.17</v>
      </c>
    </row>
    <row r="142" spans="10:11" x14ac:dyDescent="0.3">
      <c r="J142" s="6" t="s">
        <v>1459</v>
      </c>
      <c r="K142">
        <v>3093.63</v>
      </c>
    </row>
    <row r="143" spans="10:11" x14ac:dyDescent="0.3">
      <c r="J143" s="6" t="s">
        <v>1466</v>
      </c>
      <c r="K143">
        <v>4533.97</v>
      </c>
    </row>
    <row r="144" spans="10:11" x14ac:dyDescent="0.3">
      <c r="J144" s="6" t="s">
        <v>1477</v>
      </c>
      <c r="K144">
        <v>2893.9700000000003</v>
      </c>
    </row>
    <row r="145" spans="10:11" x14ac:dyDescent="0.3">
      <c r="J145" s="6" t="s">
        <v>1484</v>
      </c>
      <c r="K145">
        <v>3671.29</v>
      </c>
    </row>
    <row r="146" spans="10:11" x14ac:dyDescent="0.3">
      <c r="J146" s="6" t="s">
        <v>1489</v>
      </c>
      <c r="K146">
        <v>3799.77</v>
      </c>
    </row>
    <row r="147" spans="10:11" x14ac:dyDescent="0.3">
      <c r="J147" s="6" t="s">
        <v>1496</v>
      </c>
      <c r="K147">
        <v>5711.71</v>
      </c>
    </row>
    <row r="148" spans="10:11" x14ac:dyDescent="0.3">
      <c r="J148" s="6" t="s">
        <v>1503</v>
      </c>
      <c r="K148">
        <v>5132</v>
      </c>
    </row>
    <row r="149" spans="10:11" x14ac:dyDescent="0.3">
      <c r="J149" s="6" t="s">
        <v>1516</v>
      </c>
      <c r="K149">
        <v>5520.01</v>
      </c>
    </row>
    <row r="150" spans="10:11" x14ac:dyDescent="0.3">
      <c r="J150" s="6" t="s">
        <v>1523</v>
      </c>
      <c r="K150">
        <v>4274.57</v>
      </c>
    </row>
    <row r="151" spans="10:11" x14ac:dyDescent="0.3">
      <c r="J151" s="6" t="s">
        <v>1532</v>
      </c>
      <c r="K151">
        <v>6790.13</v>
      </c>
    </row>
    <row r="152" spans="10:11" x14ac:dyDescent="0.3">
      <c r="J152" s="6" t="s">
        <v>1543</v>
      </c>
      <c r="K152">
        <v>4469.4500000000007</v>
      </c>
    </row>
    <row r="153" spans="10:11" x14ac:dyDescent="0.3">
      <c r="J153" s="6" t="s">
        <v>1552</v>
      </c>
      <c r="K153">
        <v>5423.2400000000007</v>
      </c>
    </row>
    <row r="154" spans="10:11" x14ac:dyDescent="0.3">
      <c r="J154" s="6" t="s">
        <v>1567</v>
      </c>
      <c r="K154">
        <v>817213.03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2" zoomScale="70" workbookViewId="0">
      <selection activeCell="U30" sqref="U30"/>
    </sheetView>
  </sheetViews>
  <sheetFormatPr defaultRowHeight="14.4" x14ac:dyDescent="0.3"/>
  <cols>
    <col min="1" max="1" width="9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Pivottable overview</vt:lpstr>
      <vt:lpstr>RFM</vt:lpstr>
      <vt:lpstr>Data_Analysis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maha lakshmi</cp:lastModifiedBy>
  <cp:revision>0</cp:revision>
  <dcterms:created xsi:type="dcterms:W3CDTF">2026-09-23T13:28:49Z</dcterms:created>
  <dcterms:modified xsi:type="dcterms:W3CDTF">2026-10-21T14:47:08Z</dcterms:modified>
  <dc:language>en-US</dc:language>
</cp:coreProperties>
</file>